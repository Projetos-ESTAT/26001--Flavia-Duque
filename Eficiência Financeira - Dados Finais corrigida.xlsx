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599560dc2f212cc/DOutorado/coleta de dados/Eficiencia Financeira/"/>
    </mc:Choice>
  </mc:AlternateContent>
  <xr:revisionPtr revIDLastSave="280" documentId="8_{46A88CAC-37F9-4345-B7B8-AE7A03548F5A}" xr6:coauthVersionLast="47" xr6:coauthVersionMax="47" xr10:uidLastSave="{ECA5EAD6-172A-474F-A9FE-B37EFE3B879A}"/>
  <bookViews>
    <workbookView xWindow="-28920" yWindow="-120" windowWidth="29040" windowHeight="15720" xr2:uid="{0D7CD7FE-B0A8-4037-95F7-F16E5E3DC8A5}"/>
  </bookViews>
  <sheets>
    <sheet name="Indicadores" sheetId="2" r:id="rId1"/>
    <sheet name="Dado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H3" i="2"/>
  <c r="E3" i="2"/>
  <c r="D3" i="2"/>
  <c r="Y122" i="2"/>
  <c r="Y121" i="2"/>
  <c r="Y120" i="2"/>
  <c r="Y57" i="2"/>
  <c r="Y56" i="2"/>
  <c r="Y13" i="2"/>
  <c r="Y8" i="2"/>
  <c r="S3" i="2"/>
  <c r="Q57" i="2"/>
  <c r="Q56" i="2"/>
  <c r="Q34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L4" i="2"/>
  <c r="AL5" i="2"/>
  <c r="AL7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I4" i="2"/>
  <c r="AI5" i="2"/>
  <c r="AI7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D4" i="2"/>
  <c r="AD5" i="2"/>
  <c r="AD6" i="2"/>
  <c r="AD7" i="2"/>
  <c r="AD10" i="2"/>
  <c r="AD11" i="2"/>
  <c r="AD12" i="2"/>
  <c r="AD14" i="2"/>
  <c r="AD15" i="2"/>
  <c r="AD16" i="2"/>
  <c r="AD17" i="2"/>
  <c r="AD19" i="2"/>
  <c r="AD20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A4" i="2"/>
  <c r="AA5" i="2"/>
  <c r="AA6" i="2"/>
  <c r="AA7" i="2"/>
  <c r="AA10" i="2"/>
  <c r="AA11" i="2"/>
  <c r="AA12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H3" i="2"/>
  <c r="AG3" i="2"/>
  <c r="AE3" i="2"/>
  <c r="AD3" i="2"/>
  <c r="AP3" i="2"/>
  <c r="AO3" i="2"/>
  <c r="AM3" i="2"/>
  <c r="AL3" i="2"/>
  <c r="AI3" i="2"/>
  <c r="AA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Y32" i="2"/>
  <c r="W4" i="2"/>
  <c r="W5" i="2"/>
  <c r="W6" i="2"/>
  <c r="W7" i="2"/>
  <c r="W8" i="2"/>
  <c r="W9" i="2"/>
  <c r="W10" i="2"/>
  <c r="W11" i="2"/>
  <c r="W12" i="2"/>
  <c r="W13" i="2"/>
  <c r="W14" i="2"/>
  <c r="W15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V4" i="2"/>
  <c r="V5" i="2"/>
  <c r="V6" i="2"/>
  <c r="V7" i="2"/>
  <c r="V9" i="2"/>
  <c r="V10" i="2"/>
  <c r="V11" i="2"/>
  <c r="V12" i="2"/>
  <c r="V14" i="2"/>
  <c r="V15" i="2"/>
  <c r="V16" i="2"/>
  <c r="V17" i="2"/>
  <c r="V19" i="2"/>
  <c r="V20" i="2"/>
  <c r="V22" i="2"/>
  <c r="V23" i="2"/>
  <c r="V24" i="2"/>
  <c r="V25" i="2"/>
  <c r="V26" i="2"/>
  <c r="V27" i="2"/>
  <c r="V28" i="2"/>
  <c r="V29" i="2"/>
  <c r="V30" i="2"/>
  <c r="V31" i="2"/>
  <c r="V32" i="2"/>
  <c r="V33" i="2"/>
  <c r="V35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S32" i="2"/>
  <c r="S120" i="2"/>
  <c r="S121" i="2"/>
  <c r="S122" i="2"/>
  <c r="Z3" i="2"/>
  <c r="Y3" i="2"/>
  <c r="W3" i="2"/>
  <c r="V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32" i="2"/>
  <c r="Q70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R3" i="2"/>
  <c r="Q3" i="2"/>
  <c r="O3" i="2"/>
  <c r="N4" i="2"/>
  <c r="N5" i="2"/>
  <c r="N6" i="2"/>
  <c r="N7" i="2"/>
  <c r="N9" i="2"/>
  <c r="N10" i="2"/>
  <c r="N11" i="2"/>
  <c r="N12" i="2"/>
  <c r="N14" i="2"/>
  <c r="N15" i="2"/>
  <c r="N16" i="2"/>
  <c r="N17" i="2"/>
  <c r="N18" i="2"/>
  <c r="N19" i="2"/>
  <c r="N21" i="2"/>
  <c r="N22" i="2"/>
  <c r="N23" i="2"/>
  <c r="N24" i="2"/>
  <c r="N25" i="2"/>
  <c r="N26" i="2"/>
  <c r="N27" i="2"/>
  <c r="N28" i="2"/>
  <c r="N29" i="2"/>
  <c r="N30" i="2"/>
  <c r="N31" i="2"/>
  <c r="N32" i="2"/>
  <c r="N34" i="2"/>
  <c r="N35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K4" i="2"/>
  <c r="K5" i="2"/>
  <c r="K6" i="2"/>
  <c r="K7" i="2"/>
  <c r="K9" i="2"/>
  <c r="K10" i="2"/>
  <c r="K11" i="2"/>
  <c r="K12" i="2"/>
  <c r="K14" i="2"/>
  <c r="K15" i="2"/>
  <c r="K16" i="2"/>
  <c r="K17" i="2"/>
  <c r="K18" i="2"/>
  <c r="K19" i="2"/>
  <c r="K20" i="2"/>
  <c r="K32" i="2"/>
  <c r="K70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N3" i="2"/>
  <c r="K3" i="2"/>
  <c r="J3" i="2"/>
  <c r="I3" i="2"/>
  <c r="G3" i="2"/>
  <c r="F3" i="2"/>
  <c r="C3" i="2"/>
  <c r="AP56" i="1"/>
  <c r="AL57" i="2" s="1"/>
  <c r="AG56" i="1"/>
  <c r="AD57" i="2" s="1"/>
  <c r="X56" i="1"/>
  <c r="V57" i="2" s="1"/>
  <c r="O56" i="1"/>
  <c r="F56" i="1"/>
  <c r="AP55" i="1"/>
  <c r="AL56" i="2" s="1"/>
  <c r="AG55" i="1"/>
  <c r="AA56" i="2" s="1"/>
  <c r="X55" i="1"/>
  <c r="O55" i="1"/>
  <c r="F55" i="1"/>
  <c r="AB54" i="1"/>
  <c r="V55" i="2" s="1"/>
  <c r="AR44" i="1"/>
  <c r="AI44" i="1"/>
  <c r="Q44" i="1"/>
  <c r="H44" i="1"/>
  <c r="AB35" i="1"/>
  <c r="V36" i="2" s="1"/>
  <c r="S35" i="1"/>
  <c r="N36" i="2" s="1"/>
  <c r="AP33" i="1"/>
  <c r="AG33" i="1"/>
  <c r="AA34" i="2" s="1"/>
  <c r="X33" i="1"/>
  <c r="V34" i="2" s="1"/>
  <c r="O33" i="1"/>
  <c r="F33" i="1"/>
  <c r="S32" i="1"/>
  <c r="N33" i="2" s="1"/>
  <c r="AK21" i="1"/>
  <c r="AD21" i="2" s="1"/>
  <c r="AB21" i="1"/>
  <c r="V21" i="2" s="1"/>
  <c r="J21" i="1"/>
  <c r="S20" i="1"/>
  <c r="N20" i="2" s="1"/>
  <c r="AK18" i="1"/>
  <c r="AD18" i="2" s="1"/>
  <c r="AB18" i="1"/>
  <c r="V18" i="2" s="1"/>
  <c r="AC16" i="1"/>
  <c r="W16" i="2" s="1"/>
  <c r="AG13" i="1"/>
  <c r="X13" i="1"/>
  <c r="O13" i="1"/>
  <c r="F13" i="1"/>
  <c r="F11" i="1"/>
  <c r="AG9" i="1"/>
  <c r="AA9" i="2" s="1"/>
  <c r="AP8" i="1"/>
  <c r="AL8" i="2" s="1"/>
  <c r="AG8" i="1"/>
  <c r="AA8" i="2" s="1"/>
  <c r="X8" i="1"/>
  <c r="O8" i="1"/>
  <c r="K8" i="2" s="1"/>
  <c r="F8" i="1"/>
  <c r="AP6" i="1"/>
  <c r="AI6" i="2" s="1"/>
  <c r="S56" i="2" l="1"/>
  <c r="S13" i="2"/>
  <c r="S8" i="2"/>
  <c r="Y119" i="2"/>
  <c r="S119" i="2"/>
  <c r="Y118" i="2"/>
  <c r="S118" i="2"/>
  <c r="Y117" i="2"/>
  <c r="S117" i="2"/>
  <c r="Y116" i="2"/>
  <c r="S116" i="2"/>
  <c r="S115" i="2"/>
  <c r="Y115" i="2"/>
  <c r="Y114" i="2"/>
  <c r="S114" i="2"/>
  <c r="Y113" i="2"/>
  <c r="S113" i="2"/>
  <c r="Y112" i="2"/>
  <c r="S112" i="2"/>
  <c r="S111" i="2"/>
  <c r="Y111" i="2"/>
  <c r="S110" i="2"/>
  <c r="Y110" i="2"/>
  <c r="S109" i="2"/>
  <c r="Y109" i="2"/>
  <c r="Y108" i="2"/>
  <c r="S108" i="2"/>
  <c r="S107" i="2"/>
  <c r="Y107" i="2"/>
  <c r="Y106" i="2"/>
  <c r="S106" i="2"/>
  <c r="Y105" i="2"/>
  <c r="S105" i="2"/>
  <c r="Y104" i="2"/>
  <c r="S104" i="2"/>
  <c r="Y103" i="2"/>
  <c r="S103" i="2"/>
  <c r="S102" i="2"/>
  <c r="Y102" i="2"/>
  <c r="S101" i="2"/>
  <c r="Y101" i="2"/>
  <c r="S100" i="2"/>
  <c r="Y100" i="2"/>
  <c r="S99" i="2"/>
  <c r="Y99" i="2"/>
  <c r="S98" i="2"/>
  <c r="Y98" i="2"/>
  <c r="S97" i="2"/>
  <c r="Y97" i="2"/>
  <c r="S96" i="2"/>
  <c r="Y96" i="2"/>
  <c r="S95" i="2"/>
  <c r="Y95" i="2"/>
  <c r="S94" i="2"/>
  <c r="Y94" i="2"/>
  <c r="S93" i="2"/>
  <c r="Y93" i="2"/>
  <c r="S92" i="2"/>
  <c r="Y92" i="2"/>
  <c r="S91" i="2"/>
  <c r="Y91" i="2"/>
  <c r="S90" i="2"/>
  <c r="Y90" i="2"/>
  <c r="Y89" i="2"/>
  <c r="S89" i="2"/>
  <c r="Y88" i="2"/>
  <c r="S88" i="2"/>
  <c r="Y87" i="2"/>
  <c r="S87" i="2"/>
  <c r="Y86" i="2"/>
  <c r="S86" i="2"/>
  <c r="Y85" i="2"/>
  <c r="S85" i="2"/>
  <c r="Y84" i="2"/>
  <c r="S84" i="2"/>
  <c r="Y83" i="2"/>
  <c r="S83" i="2"/>
  <c r="Y82" i="2"/>
  <c r="S82" i="2"/>
  <c r="Y81" i="2"/>
  <c r="S81" i="2"/>
  <c r="Y80" i="2"/>
  <c r="S80" i="2"/>
  <c r="Y79" i="2"/>
  <c r="S79" i="2"/>
  <c r="Y78" i="2"/>
  <c r="S78" i="2"/>
  <c r="Y77" i="2"/>
  <c r="S77" i="2"/>
  <c r="Y76" i="2"/>
  <c r="S76" i="2"/>
  <c r="Y75" i="2"/>
  <c r="S75" i="2"/>
  <c r="Y74" i="2"/>
  <c r="S74" i="2"/>
  <c r="Y73" i="2"/>
  <c r="S73" i="2"/>
  <c r="Y72" i="2"/>
  <c r="S72" i="2"/>
  <c r="S71" i="2"/>
  <c r="Y71" i="2"/>
  <c r="S70" i="2"/>
  <c r="Y70" i="2"/>
  <c r="S69" i="2"/>
  <c r="Y69" i="2"/>
  <c r="S68" i="2"/>
  <c r="Y68" i="2"/>
  <c r="S67" i="2"/>
  <c r="Y67" i="2"/>
  <c r="S66" i="2"/>
  <c r="Y66" i="2"/>
  <c r="S65" i="2"/>
  <c r="Y65" i="2"/>
  <c r="S64" i="2"/>
  <c r="Y64" i="2"/>
  <c r="Y63" i="2"/>
  <c r="S63" i="2"/>
  <c r="Y62" i="2"/>
  <c r="S62" i="2"/>
  <c r="S61" i="2"/>
  <c r="Y61" i="2"/>
  <c r="S60" i="2"/>
  <c r="Y60" i="2"/>
  <c r="Y59" i="2"/>
  <c r="S59" i="2"/>
  <c r="Y58" i="2"/>
  <c r="S58" i="2"/>
  <c r="S55" i="2"/>
  <c r="Y55" i="2"/>
  <c r="S54" i="2"/>
  <c r="Y54" i="2"/>
  <c r="S53" i="2"/>
  <c r="Y53" i="2"/>
  <c r="Y52" i="2"/>
  <c r="S52" i="2"/>
  <c r="Y51" i="2"/>
  <c r="S51" i="2"/>
  <c r="Y50" i="2"/>
  <c r="S50" i="2"/>
  <c r="Y49" i="2"/>
  <c r="S49" i="2"/>
  <c r="Y48" i="2"/>
  <c r="S48" i="2"/>
  <c r="Y47" i="2"/>
  <c r="S47" i="2"/>
  <c r="Y46" i="2"/>
  <c r="S46" i="2"/>
  <c r="S45" i="2"/>
  <c r="Y45" i="2"/>
  <c r="S44" i="2"/>
  <c r="Y44" i="2"/>
  <c r="S43" i="2"/>
  <c r="Y43" i="2"/>
  <c r="Y42" i="2"/>
  <c r="S42" i="2"/>
  <c r="S41" i="2"/>
  <c r="Y41" i="2"/>
  <c r="Y40" i="2"/>
  <c r="S40" i="2"/>
  <c r="S39" i="2"/>
  <c r="Y39" i="2"/>
  <c r="Y38" i="2"/>
  <c r="S38" i="2"/>
  <c r="Y37" i="2"/>
  <c r="S37" i="2"/>
  <c r="S36" i="2"/>
  <c r="Y36" i="2"/>
  <c r="Y35" i="2"/>
  <c r="S35" i="2"/>
  <c r="Y34" i="2"/>
  <c r="S34" i="2"/>
  <c r="Y33" i="2"/>
  <c r="S33" i="2"/>
  <c r="S31" i="2"/>
  <c r="Y31" i="2"/>
  <c r="S30" i="2"/>
  <c r="Y30" i="2"/>
  <c r="Y29" i="2"/>
  <c r="S29" i="2"/>
  <c r="Y28" i="2"/>
  <c r="S28" i="2"/>
  <c r="Y27" i="2"/>
  <c r="S27" i="2"/>
  <c r="Y26" i="2"/>
  <c r="S26" i="2"/>
  <c r="Y25" i="2"/>
  <c r="S25" i="2"/>
  <c r="Y24" i="2"/>
  <c r="S24" i="2"/>
  <c r="Y23" i="2"/>
  <c r="S23" i="2"/>
  <c r="Y22" i="2"/>
  <c r="S22" i="2"/>
  <c r="Y21" i="2"/>
  <c r="S21" i="2"/>
  <c r="Y20" i="2"/>
  <c r="S20" i="2"/>
  <c r="Y19" i="2"/>
  <c r="S19" i="2"/>
  <c r="Y18" i="2"/>
  <c r="S18" i="2"/>
  <c r="Y17" i="2"/>
  <c r="S17" i="2"/>
  <c r="Y16" i="2"/>
  <c r="S16" i="2"/>
  <c r="Y15" i="2"/>
  <c r="S15" i="2"/>
  <c r="Y14" i="2"/>
  <c r="S14" i="2"/>
  <c r="Y12" i="2"/>
  <c r="S12" i="2"/>
  <c r="Y11" i="2"/>
  <c r="S11" i="2"/>
  <c r="S10" i="2"/>
  <c r="Y10" i="2"/>
  <c r="S9" i="2"/>
  <c r="Y9" i="2"/>
  <c r="S7" i="2"/>
  <c r="Y7" i="2"/>
  <c r="S6" i="2"/>
  <c r="Y6" i="2"/>
  <c r="S5" i="2"/>
  <c r="Y5" i="2"/>
  <c r="S4" i="2"/>
  <c r="Y4" i="2"/>
  <c r="K57" i="2"/>
  <c r="K56" i="2"/>
  <c r="K76" i="2"/>
  <c r="Q76" i="2"/>
  <c r="Q75" i="2"/>
  <c r="K75" i="2"/>
  <c r="Q74" i="2"/>
  <c r="K74" i="2"/>
  <c r="Q73" i="2"/>
  <c r="K73" i="2"/>
  <c r="Q72" i="2"/>
  <c r="K72" i="2"/>
  <c r="K71" i="2"/>
  <c r="Q71" i="2"/>
  <c r="Q69" i="2"/>
  <c r="K69" i="2"/>
  <c r="Q68" i="2"/>
  <c r="K68" i="2"/>
  <c r="Q67" i="2"/>
  <c r="K67" i="2"/>
  <c r="Q66" i="2"/>
  <c r="K66" i="2"/>
  <c r="K65" i="2"/>
  <c r="Q65" i="2"/>
  <c r="K64" i="2"/>
  <c r="Q64" i="2"/>
  <c r="Q63" i="2"/>
  <c r="K63" i="2"/>
  <c r="K62" i="2"/>
  <c r="Q62" i="2"/>
  <c r="K61" i="2"/>
  <c r="Q61" i="2"/>
  <c r="Q60" i="2"/>
  <c r="K60" i="2"/>
  <c r="K59" i="2"/>
  <c r="Q59" i="2"/>
  <c r="K58" i="2"/>
  <c r="Q58" i="2"/>
  <c r="Q55" i="2"/>
  <c r="K55" i="2"/>
  <c r="K54" i="2"/>
  <c r="Q54" i="2"/>
  <c r="K53" i="2"/>
  <c r="Q53" i="2"/>
  <c r="K52" i="2"/>
  <c r="Q52" i="2"/>
  <c r="K51" i="2"/>
  <c r="Q51" i="2"/>
  <c r="Q50" i="2"/>
  <c r="K50" i="2"/>
  <c r="K49" i="2"/>
  <c r="Q49" i="2"/>
  <c r="Q48" i="2"/>
  <c r="K48" i="2"/>
  <c r="K47" i="2"/>
  <c r="Q47" i="2"/>
  <c r="K46" i="2"/>
  <c r="Q46" i="2"/>
  <c r="Q45" i="2"/>
  <c r="K45" i="2"/>
  <c r="K44" i="2"/>
  <c r="Q44" i="2"/>
  <c r="Q43" i="2"/>
  <c r="K43" i="2"/>
  <c r="Q42" i="2"/>
  <c r="K42" i="2"/>
  <c r="K41" i="2"/>
  <c r="Q41" i="2"/>
  <c r="Q40" i="2"/>
  <c r="K40" i="2"/>
  <c r="K39" i="2"/>
  <c r="Q39" i="2"/>
  <c r="K38" i="2"/>
  <c r="Q38" i="2"/>
  <c r="K37" i="2"/>
  <c r="Q37" i="2"/>
  <c r="K36" i="2"/>
  <c r="Q36" i="2"/>
  <c r="K35" i="2"/>
  <c r="Q35" i="2"/>
  <c r="K33" i="2"/>
  <c r="Q33" i="2"/>
  <c r="K31" i="2"/>
  <c r="Q31" i="2"/>
  <c r="Q30" i="2"/>
  <c r="K30" i="2"/>
  <c r="K29" i="2"/>
  <c r="Q29" i="2"/>
  <c r="Q28" i="2"/>
  <c r="K28" i="2"/>
  <c r="Q27" i="2"/>
  <c r="K27" i="2"/>
  <c r="Q26" i="2"/>
  <c r="K26" i="2"/>
  <c r="Q25" i="2"/>
  <c r="K25" i="2"/>
  <c r="Q24" i="2"/>
  <c r="K24" i="2"/>
  <c r="Q23" i="2"/>
  <c r="K23" i="2"/>
  <c r="Q22" i="2"/>
  <c r="K22" i="2"/>
  <c r="Q21" i="2"/>
  <c r="K21" i="2"/>
  <c r="N56" i="2"/>
  <c r="AA57" i="2"/>
  <c r="AD8" i="2"/>
  <c r="V8" i="2"/>
  <c r="K34" i="2"/>
  <c r="N13" i="2"/>
  <c r="V56" i="2"/>
  <c r="AI34" i="2"/>
  <c r="AK9" i="1"/>
  <c r="AD9" i="2" s="1"/>
  <c r="AI57" i="2"/>
  <c r="AL6" i="2"/>
  <c r="S57" i="2"/>
  <c r="AI56" i="2"/>
  <c r="AI8" i="2"/>
  <c r="AD13" i="2"/>
  <c r="AA13" i="2"/>
  <c r="K13" i="2"/>
  <c r="AD34" i="2"/>
  <c r="N57" i="2"/>
  <c r="V13" i="2"/>
  <c r="N8" i="2"/>
  <c r="AD56" i="2"/>
  <c r="AL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tc={5FDB0F2C-D6A8-4FB2-B10D-9B52B7B5F6ED}</author>
    <author>tc={96091B7D-3BB6-418F-B5DC-A724C6692C1C}</author>
    <author>tc={B195DBE0-1F2D-4A39-AD52-94321455EC3F}</author>
    <author>tc={A21BBA3F-8307-45CB-8EE5-5D992243812E}</author>
    <author>tc={62844C6B-5ED0-49A2-B531-5F918A688886}</author>
    <author>tc={E195EE34-76B0-42F9-BBB3-F2461420893F}</author>
    <author>tc={7A8C2D41-ED24-4324-BDC8-522AB6C9DBB7}</author>
    <author>tc={AB30AA09-A23A-468A-B3D6-F424B625DC31}</author>
    <author>tc={4A683E32-7C1D-4C44-9D5B-F4E9E885E5D3}</author>
    <author>tc={75AFFF1C-F47B-45C4-B909-ADA860146446}</author>
    <author>tc={2AC6B038-9E82-4AB9-BC8B-4F5D863E1ACB}</author>
    <author>tc={443A39FF-537C-476C-9D52-EB5793677A8B}</author>
    <author>tc={83972DBA-0D25-47E7-B41C-B28BFC73008E}</author>
    <author>tc={ED5BC54B-8A7C-4C14-9E84-1434B5BDE0E5}</author>
    <author>tc={AF87A6CB-47BB-4BAB-A28A-57419B44E7D7}</author>
    <author>tc={6FC3DBDE-1B6D-4CC1-A26A-1DDFBE853C06}</author>
    <author>tc={39E97B43-30CE-4660-8008-4B95CD9294CF}</author>
    <author>tc={54D83587-9EEC-484C-B344-059112C03C66}</author>
    <author>tc={D4001DF3-0AD6-4878-A8EC-A066D41DF42A}</author>
    <author>tc={DFB8A4F8-63A2-42E5-98C1-FE0D3A88065D}</author>
    <author>tc={64A9498B-FB86-4D57-8E4A-8AB94152777E}</author>
    <author>tc={C30F6B17-D273-43BD-B3DD-A5347B269DD8}</author>
    <author>tc={CB40B2E6-F298-409B-83DF-54A8DAF6E5CC}</author>
    <author>tc={105ABB40-A54C-46EA-9839-C774083AE3C7}</author>
    <author>tc={B34F798C-059F-4C33-826D-EF75AFE6D7FE}</author>
    <author>tc={990E0D68-2298-46E0-BD36-3452A9568DE7}</author>
    <author>tc={483817CC-77B0-4EBE-9F1D-EFCF791718E7}</author>
    <author>tc={41BC1256-5F62-46FB-8307-384CA9A00EB2}</author>
    <author>tc={E76A3971-92A8-49D4-AB15-EA0084BEFD1B}</author>
    <author>tc={BD7FC617-C6BE-4BC7-8260-EF8E8F507486}</author>
    <author>tc={6896DDA4-2B37-47E6-A601-D8AAFF1FB246}</author>
    <author>tc={DB72D6EA-214B-49A5-8801-6C9786CCE630}</author>
    <author>tc={DB81D1AA-6523-4269-95D5-4BC0836DB058}</author>
    <author>tc={8114BF9D-6AA9-4E52-A31C-96A0E89C225A}</author>
    <author>tc={2D7BBCB4-1195-4539-84A3-89EA2B47392E}</author>
    <author>tc={37216696-BED9-452C-895C-ED0D0B0CDF70}</author>
    <author>tc={1579208D-107C-463C-9B76-2088B86E615D}</author>
  </authors>
  <commentList>
    <comment ref="C2" authorId="0" shapeId="0" xr:uid="{5FDB0F2C-D6A8-4FB2-B10D-9B52B7B5F6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D2" authorId="1" shapeId="0" xr:uid="{96091B7D-3BB6-418F-B5DC-A724C6692C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E2" authorId="2" shapeId="0" xr:uid="{B195DBE0-1F2D-4A39-AD52-94321455E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F2" authorId="3" shapeId="0" xr:uid="{A21BBA3F-8307-45CB-8EE5-5D99224381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G2" authorId="4" shapeId="0" xr:uid="{62844C6B-5ED0-49A2-B531-5F918A6888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H2" authorId="5" shapeId="0" xr:uid="{E195EE34-76B0-42F9-BBB3-F2461420893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I2" authorId="6" shapeId="0" xr:uid="{7A8C2D41-ED24-4324-BDC8-522AB6C9DB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J2" authorId="7" shapeId="0" xr:uid="{AB30AA09-A23A-468A-B3D6-F424B625DC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K2" authorId="8" shapeId="0" xr:uid="{4A683E32-7C1D-4C44-9D5B-F4E9E885E5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L2" authorId="9" shapeId="0" xr:uid="{75AFFF1C-F47B-45C4-B909-ADA8601464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M2" authorId="10" shapeId="0" xr:uid="{2AC6B038-9E82-4AB9-BC8B-4F5D863E1A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N2" authorId="11" shapeId="0" xr:uid="{443A39FF-537C-476C-9D52-EB5793677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O2" authorId="12" shapeId="0" xr:uid="{83972DBA-0D25-47E7-B41C-B28BFC7300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P2" authorId="13" shapeId="0" xr:uid="{ED5BC54B-8A7C-4C14-9E84-1434B5BDE0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Q2" authorId="14" shapeId="0" xr:uid="{AF87A6CB-47BB-4BAB-A28A-57419B44E7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S2" authorId="15" shapeId="0" xr:uid="{6FC3DBDE-1B6D-4CC1-A26A-1DDFBE853C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T2" authorId="16" shapeId="0" xr:uid="{39E97B43-30CE-4660-8008-4B95CD9294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U2" authorId="17" shapeId="0" xr:uid="{54D83587-9EEC-484C-B344-059112C03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V2" authorId="18" shapeId="0" xr:uid="{D4001DF3-0AD6-4878-A8EC-A066D41DF4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W2" authorId="19" shapeId="0" xr:uid="{DFB8A4F8-63A2-42E5-98C1-FE0D3A8806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X2" authorId="20" shapeId="0" xr:uid="{64A9498B-FB86-4D57-8E4A-8AB9415277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Y2" authorId="21" shapeId="0" xr:uid="{C30F6B17-D273-43BD-B3DD-A5347B269D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A2" authorId="22" shapeId="0" xr:uid="{CB40B2E6-F298-409B-83DF-54A8DAF6E5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B2" authorId="23" shapeId="0" xr:uid="{105ABB40-A54C-46EA-9839-C774083AE3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C2" authorId="24" shapeId="0" xr:uid="{B34F798C-059F-4C33-826D-EF75AFE6D7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D2" authorId="25" shapeId="0" xr:uid="{990E0D68-2298-46E0-BD36-3452A9568D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E2" authorId="26" shapeId="0" xr:uid="{483817CC-77B0-4EBE-9F1D-EFCF791718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F2" authorId="27" shapeId="0" xr:uid="{41BC1256-5F62-46FB-8307-384CA9A00E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G2" authorId="28" shapeId="0" xr:uid="{E76A3971-92A8-49D4-AB15-EA0084BEFD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I2" authorId="29" shapeId="0" xr:uid="{BD7FC617-C6BE-4BC7-8260-EF8E8F5074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J2" authorId="30" shapeId="0" xr:uid="{6896DDA4-2B37-47E6-A601-D8AAFF1FB2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K2" authorId="31" shapeId="0" xr:uid="{DB72D6EA-214B-49A5-8801-6C9786CCE6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L2" authorId="32" shapeId="0" xr:uid="{DB81D1AA-6523-4269-95D5-4BC0836DB0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M2" authorId="33" shapeId="0" xr:uid="{8114BF9D-6AA9-4E52-A31C-96A0E89C22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N2" authorId="34" shapeId="0" xr:uid="{2D7BBCB4-1195-4539-84A3-89EA2B4739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AO2" authorId="35" shapeId="0" xr:uid="{37216696-BED9-452C-895C-ED0D0B0CDF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B22" authorId="36" shapeId="0" xr:uid="{1579208D-107C-463C-9B76-2088B86E61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tc={94AB8181-82E1-41D3-80DF-A035463C9D9F}</author>
    <author>tc={5C6851FA-8736-4932-B866-F049C9D0FEC3}</author>
    <author>tc={36889021-8F02-495B-9E73-8DEEF784E894}</author>
    <author>tc={1B925E03-139B-400D-864B-94AF44E5283C}</author>
    <author>tc={1DC45B5E-2C55-4B7C-91D6-EB37CDE81364}</author>
    <author>tc={0CEEB846-5AA5-4431-A86C-662849222CAC}</author>
    <author>tc={CAB294B4-F8E4-4975-BA3C-6D3D5F830722}</author>
    <author>tc={2AA2ABA9-A71B-45F6-86F1-E52D7B1DA2B2}</author>
    <author>tc={8F7EFB98-C8DB-425A-9542-326C1BDEC023}</author>
  </authors>
  <commentList>
    <comment ref="F2" authorId="0" shapeId="0" xr:uid="{94AB8181-82E1-41D3-80DF-A035463C9D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orçamentário* (não apresenta deduções da receita): Receita Orçamentária Total Realizada
</t>
      </text>
    </comment>
    <comment ref="H2" authorId="1" shapeId="0" xr:uid="{5C6851FA-8736-4932-B866-F049C9D0FE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*Balanço Orçamentário&gt;valor realizado (empanhado)
</t>
      </text>
    </comment>
    <comment ref="I2" authorId="2" shapeId="0" xr:uid="{36889021-8F02-495B-9E73-8DEEF784E8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*Balanço orçamentário
</t>
      </text>
    </comment>
    <comment ref="J2" authorId="3" shapeId="0" xr:uid="{1B925E03-139B-400D-864B-94AF44E528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
Responder:
    Balanço Patrimonial (Ativo Financeiro – Passivo Financeiro) ou Balanço Orçamentário (“Saldos de exercícios anteriores – Superávit Financeiro”). </t>
      </text>
    </comment>
    <comment ref="K2" authorId="4" shapeId="0" xr:uid="{1DC45B5E-2C55-4B7C-91D6-EB37CDE813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 → Ativo Circulante → Caixa e Equivalentes de Caixa. </t>
      </text>
    </comment>
    <comment ref="L2" authorId="5" shapeId="0" xr:uid="{0CEEB846-5AA5-4431-A86C-662849222C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orçamentário *
</t>
      </text>
    </comment>
    <comment ref="M2" authorId="6" shapeId="0" xr:uid="{CAB294B4-F8E4-4975-BA3C-6D3D5F8307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Patrimonial*&gt;Passivo circulante</t>
      </text>
    </comment>
    <comment ref="N2" authorId="7" shapeId="0" xr:uid="{2AA2ABA9-A71B-45F6-86F1-E52D7B1DA2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 → Passivo Não Circulante</t>
      </text>
    </comment>
    <comment ref="B22" authorId="8" shapeId="0" xr:uid="{8F7EFB98-C8DB-425A-9542-326C1BDEC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sharedStrings.xml><?xml version="1.0" encoding="utf-8"?>
<sst xmlns="http://schemas.openxmlformats.org/spreadsheetml/2006/main" count="689" uniqueCount="287">
  <si>
    <t>ID</t>
  </si>
  <si>
    <t>Nome</t>
  </si>
  <si>
    <r>
      <t xml:space="preserve">Receita </t>
    </r>
    <r>
      <rPr>
        <b/>
        <i/>
        <sz val="11"/>
        <color theme="7"/>
        <rFont val="Calibri"/>
        <family val="2"/>
      </rPr>
      <t>per capita</t>
    </r>
  </si>
  <si>
    <t>Participação dos gastos operacionais</t>
  </si>
  <si>
    <t>Cobertura de despesas</t>
  </si>
  <si>
    <t>Recursos para cobertura de queda de receita</t>
  </si>
  <si>
    <t>Recursos para cobertura de obrigações correntes</t>
  </si>
  <si>
    <t>Compromentimento das receitas com as obrigações correntes</t>
  </si>
  <si>
    <r>
      <t xml:space="preserve">Dívida </t>
    </r>
    <r>
      <rPr>
        <b/>
        <i/>
        <sz val="11"/>
        <color theme="1"/>
        <rFont val="Calibri"/>
        <family val="2"/>
      </rPr>
      <t>per capita</t>
    </r>
  </si>
  <si>
    <t>Comprometimento das receitas correntes com o endividamento</t>
  </si>
  <si>
    <t>Consórcio Público da Região Polo Sul - CIM POLO SUL</t>
  </si>
  <si>
    <t>Consórcio Público Intermunicipal de Saúde do Alto Paranaíba - CISALP</t>
  </si>
  <si>
    <t>Consórcio Intermunicipal de Saúde da Mata Leste CISLESTE</t>
  </si>
  <si>
    <t>Consórcio Intermunicipal de Saúde da Microrregião de Viçosa CISMIV</t>
  </si>
  <si>
    <t>Consórcio Intermunicipal de Saúde do Alto das Vertentes - CISALV</t>
  </si>
  <si>
    <t>Consorcio Intermunicipal de Especialidades - CIESP</t>
  </si>
  <si>
    <t>Consórcio Público Intermunicipal de Saúde do Triângulo Mineiro CISTM</t>
  </si>
  <si>
    <t>Consórcio Intermunicipal de Saúde da Rede de Urgência e Emergência da Região Ampliada do Noroeste CISREUNO</t>
  </si>
  <si>
    <t>Consórcio Intermunicipal Multifinalitário do Vale de Paraibuna - CIMPAR</t>
  </si>
  <si>
    <t>Consórcio Intermunicipal de Saúde do Médio Espinhaço CISAME</t>
  </si>
  <si>
    <t xml:space="preserve">Consórcio Intermunicipal de Saúde do Sistema Microrregional de Saúde de São Lourenço Cis Circuito das Águas </t>
  </si>
  <si>
    <t>Consórcio Intermunicipal de Desenvolvimento da Região Leste Fluminense - CONLESTE</t>
  </si>
  <si>
    <t>Consórcio Intermunicipal de Serviços da Nova Alta Paulista - CISNAP</t>
  </si>
  <si>
    <t>Consórcio Público Intermunicipal de Saúde da Região de Jales - CONSIRJ</t>
  </si>
  <si>
    <t>Consórcio Intermunicipal Serra da Mantiqueira - CISMA</t>
  </si>
  <si>
    <t>Consórcio Intermunicipal do Vale do Paranapanema: Saúde - CIVAP SAÚDE</t>
  </si>
  <si>
    <t>Consórcio Intermunicipal de Saúde 8 de Abril - CON8</t>
  </si>
  <si>
    <t>Consórcio Intermunicipal da Região Oeste Metropolitana de São Paulo - CIOESTE</t>
  </si>
  <si>
    <t>Consórcio Público Intermunicipal de Saúde da Região de Catanduva - CONSIRC</t>
  </si>
  <si>
    <t>Consórcio Intermunicipal do Centro do Estado de Sao Paulo - Cicesp - CICESP</t>
  </si>
  <si>
    <t>Consórcio Público da Região Noroeste - CIM NOROESTE</t>
  </si>
  <si>
    <t>Consórcio Público da Região Sudoeste Serrana - CIM PEDRA AZUL</t>
  </si>
  <si>
    <t>Consórcio Público da Região Expandida Sul - CIM EXPANDIDA SUL</t>
  </si>
  <si>
    <t>Consórcio Intermunicipal de Saúde da Região do Vale do Itapecerica - CISVI</t>
  </si>
  <si>
    <t>Consórcio Intermunicipal de Saúde do Alto Jequitinhonha - CISAJE</t>
  </si>
  <si>
    <t>Consórcio Intermunicipal de Saúde do Centro Leste - CISCEL</t>
  </si>
  <si>
    <t>Consórcio Intermunicipal de Saúde dos Municípios da Região dos Lagos do Sul de Minas - CISLAGOS</t>
  </si>
  <si>
    <t>Consórcio Intermunicipal de Saúde das Vertentes - CISVER</t>
  </si>
  <si>
    <t>Consórcio Intermunicipal de Saúde Verde - CISVERDE</t>
  </si>
  <si>
    <t>Consórcio Intermunicipal de Desenvolvimento Economico e Social dos Municipios do Leste de Minas - CIDES-LESTE</t>
  </si>
  <si>
    <t>Consórcio Intermunicipal de Saúde dos Municípios da Microrregião do Alto Sapucaí - CISMAS</t>
  </si>
  <si>
    <t>Agência de Cooperação Intermunicipal em Saúde Pé da Serra - ACISPES</t>
  </si>
  <si>
    <t>Consórcio Público Intermunicipal de Saúde do Norte e Noroeste Fluminense - CISNOVO</t>
  </si>
  <si>
    <t>Consórcio Intermunicipal de Saúde da Região Serrana - CIS-SERRA</t>
  </si>
  <si>
    <t>Consórcio Público Intermunicipal de Saúde da Região dos Grandes Lagos - CONSAGRA</t>
  </si>
  <si>
    <t>Consórcio Intermunicipal do Extremo Noroeste de São Paulo - CIENSP</t>
  </si>
  <si>
    <t>Consórcio Intermunicipal de Saúde - CIMSA</t>
  </si>
  <si>
    <t>Consórcio Intermunicipal de Saúde da Microrregião de Penápolis - CIMPE</t>
  </si>
  <si>
    <t>Consórcio Regional Intermunicipal de Saúde - CRIS</t>
  </si>
  <si>
    <t>Consórcio de Desenvolvimento do Vale do Rio Grande - CODEVAR</t>
  </si>
  <si>
    <t>Consórcio Intermunicipal de Saúde do Circuito das Águas - CONISCA</t>
  </si>
  <si>
    <t>Consórcio Intermunicipal de Saúde da Região Metropolitana de Campinas - CISMETRO</t>
  </si>
  <si>
    <t>União dos Municípios da Média Sorocabana - UMMES</t>
  </si>
  <si>
    <t>Consórcio Intermunicipal do Alto Vale do Paranapanema - AMVAPA</t>
  </si>
  <si>
    <t>Consórcio de Desenvolvimento das Regiões Sul e Sudoeste do Estado de São Paulo - CONDERSUL</t>
  </si>
  <si>
    <t>Consórcio Intermunicipal Três Rios - COINTRI</t>
  </si>
  <si>
    <t>Consórcio de Desenvolvimento dos Municípios do Alto Tietê - CONDEMAT</t>
  </si>
  <si>
    <t>Consórcio Intermunicipal Grande Abc - CIGABC</t>
  </si>
  <si>
    <t>Consórcio Intermunicipal da Região Sudoeste da Grande São Paulo - CONISUD</t>
  </si>
  <si>
    <t>Consórcio Intermunicipal de Saúde da Região de Fernandópolis - CISARF</t>
  </si>
  <si>
    <t>Consórcio Público Intermunicipal de Inovacao e Desenvolvimento do Estado de Sao Paulo - CinDesp - CINDESP</t>
  </si>
  <si>
    <t>Consórcio de Municípios da Região Central - CONCEM</t>
  </si>
  <si>
    <t>Consórcio Intermunicipal da Região de Saúde de Itapeva - CIRSIT</t>
  </si>
  <si>
    <t>Consórcio Intermunicipal de Saúde da Rede de Urgência Centro Sul - CISRU</t>
  </si>
  <si>
    <t>Consórcio Intermunicipal de Saúde Para Gerenciamento da Rede de Urgência e Emergência da Macro Sudeste - CISDESTE</t>
  </si>
  <si>
    <t>Consórcio Intermunicipal de Saúde da Macrorregião do Sul de Minas - CISSUL</t>
  </si>
  <si>
    <t>Consórcio Inetmunicipal de Saúde da Baixada Fluminense - CISBAF</t>
  </si>
  <si>
    <t>Consórcio Intermunicipal de Saúde do Alto Vale do Paraíba - CONSAVAP</t>
  </si>
  <si>
    <t>Consórcio Intermunicipal de Saúde do Norte do Paraná - CISNOP</t>
  </si>
  <si>
    <t>Consórcio Intermunicipal de Saúde - CONIMS</t>
  </si>
  <si>
    <t>Consórcio Intergestores Paraná Saúde - CIPS</t>
  </si>
  <si>
    <t>Consórcio Intermunicipal de Saúde do Litoral do Paraná - CISLIPA</t>
  </si>
  <si>
    <t>Consórcio Intermunicipal de Saúde Cisa Amerios 12º R.S.</t>
  </si>
  <si>
    <t>Consórcio Intermunicipal do Noroeste do Estado do Rio Grande do Sul - CISA-IJUI</t>
  </si>
  <si>
    <t>Consórcio Intermunicipal de Saúde das Missões - CISMISSÕES</t>
  </si>
  <si>
    <t>Consórcio de Saúde Intermunicipal e desenvolvimento Regional - CONSIM</t>
  </si>
  <si>
    <t>Consórcio Intermunicipal de Saúde do Nordeste de Santa Catarina - CISNORDESTE</t>
  </si>
  <si>
    <t>Consórcio Público Intermunicipal de Saúde do Centro Noroeste da Região do Paraná - CISCENOP</t>
  </si>
  <si>
    <t>Consórcio Intermunicipal de Saúde do Vale do Ivai e Região - CISVIR</t>
  </si>
  <si>
    <t>Consórcio Público Intermunicipal de Saúde do Norte Pioneiro - CISNORPI</t>
  </si>
  <si>
    <t>Consórcio Intermunicipal Para o Desenvolvimento Regional do Território Divisa Norte do Paraná - CODREN</t>
  </si>
  <si>
    <t>Consórcio Público Intermunicipal de Atenção A Sanidade Agropecuária, Desenvolvimento Rural e Urbano Sustentável da Região Central do Estado do Paraná - CID CENTRO</t>
  </si>
  <si>
    <t>Consórcio Intergestores de Saúde da 5A Região de Saúde do Parana - CIS5RS</t>
  </si>
  <si>
    <t>Consórcio Intermunicipal de Saúde dos Campos Gerais - CIMSAÚDE</t>
  </si>
  <si>
    <t>Consórcio Intermunicipal de Saúde da Região Amcespar - CIS AMCESPAR</t>
  </si>
  <si>
    <t>Consórcio Intermunicipal de Saúde do Vale do Iguaçu - CISVALI</t>
  </si>
  <si>
    <t>Consórcio Intermunicipal da Fronteira - CIF</t>
  </si>
  <si>
    <t>Consórcio Intermunicipal de Saúde Iguaçu - CISI</t>
  </si>
  <si>
    <t>Consórcio Público da Fronteira Noroeste - COFRON</t>
  </si>
  <si>
    <t>Consórcio Intermunicipal de Saúde da Microrregião de São Luiz Gonzaga - COIS</t>
  </si>
  <si>
    <t>Consórcio Público Intermunicipal Para Assuntos Estratégicos do G8 - CIPAE G8</t>
  </si>
  <si>
    <t>Consórcio Intermunicipal do Vale do Rio Caí - CISCAÍ</t>
  </si>
  <si>
    <t>Consórcio Intermunicipal Ci Centro-Sul - CI CENTRO-SUL</t>
  </si>
  <si>
    <t>Consórcio Intermunicipal de Saúde da Ameosc - CIS AMEOSC</t>
  </si>
  <si>
    <t>Consórcio Intermunicipal de Saúde do Oeste do Paraná - CISOP</t>
  </si>
  <si>
    <t>Consórcio Intermunicipal de Saúde do Médio Paranapanema - CISMEPAR</t>
  </si>
  <si>
    <t>Associação Intermunicipal de Saúde do Centro Oeste do Parana-Assiscop - ASSISCOP</t>
  </si>
  <si>
    <t>Consórcio Intermunicipal de Desenvolvimento do Pampa Gaúcho - CODEPAMPA</t>
  </si>
  <si>
    <t>Consórcio Intermunicipal da Rede de Urgência e Emergência do Noroeste do Paraná - CIUENP</t>
  </si>
  <si>
    <t>Consórcio Público Intermunicipal de Gestão da Amusep - PROAMUSEP</t>
  </si>
  <si>
    <t>Consórcio Regional de Resíduos Sólidos do Sertão Alagoano - CRERSSAL</t>
  </si>
  <si>
    <t>Consórcio Intermunicipal do Agreste Alagoano - CONAGRESTE</t>
  </si>
  <si>
    <t>Consórcio Público da Saúde da Microrregião de Russas - CPSMR</t>
  </si>
  <si>
    <t>Consórcio Público de Saúde da Microrregião Iguatu - CPSMIG</t>
  </si>
  <si>
    <t>Consórcio Público Intermunicipal do Agreste Pernambucano e Fronteiras - CONIAPE</t>
  </si>
  <si>
    <t>Consórcio Intermunicipal de Desenvolvimento do Circuito do Diamante da Chapada Diamantina - CIDCD</t>
  </si>
  <si>
    <t>Consórcio Público de Desenvolvimento Sustentável do Território de Identidade do Médio Sudoeste da Bahia - CDS DO COTEMESB</t>
  </si>
  <si>
    <t>Consórcio Público de Saúde Microrregião de Sobral - CPSMS</t>
  </si>
  <si>
    <t>Consórcio Público de Saúde da Microrregião de Acaraú - CPSMA</t>
  </si>
  <si>
    <t>Consórcio Público de Saúde da Microrregião de Canindé - CPSMCA</t>
  </si>
  <si>
    <t>Consórcio Público de Saúde do Maciço de Baturite - CPSMB</t>
  </si>
  <si>
    <t>Consórcio Público de Saúde da Microrregião de Juazeiro do Norte - CPSMJN</t>
  </si>
  <si>
    <t>Consórcio Público de Saúde da Microrregião de Quixadá - CPSMQ</t>
  </si>
  <si>
    <t>Consórcio Público de Saúde da Região de Maracanaú - Cpsrm - CPSRM</t>
  </si>
  <si>
    <t>Consórcio Intermunicipal Multimodal - CIM</t>
  </si>
  <si>
    <t>Consórcio Público Intermunicipal de Saúde do Cariri Oriental - CISCOR</t>
  </si>
  <si>
    <t>Consórcio de Integração do Municípios do Pajeú - CIMPAJEÚ</t>
  </si>
  <si>
    <t>Consórcio Público Para o Desenvolvimento da Região Agreste Meridional de Pernambuco - CODEAM</t>
  </si>
  <si>
    <t>Consórcio Intermunicipal Portal da Mata Sul - PORTAL SUL CONSORCIO</t>
  </si>
  <si>
    <t>Consórcio Intermunicipal do Vale do São Francisco - CONIVALES</t>
  </si>
  <si>
    <t>Consórcio dos Municípios Pernambucanos - COMUPE</t>
  </si>
  <si>
    <t>Consórcio Intermunicipal de Saúde da Região do Garças/Araguaia CISRGA</t>
  </si>
  <si>
    <t>Consórcio Intermunicipal Para o Desenvolvimento Sustentável da Bacia do Rio Taquari COINTA</t>
  </si>
  <si>
    <t>Consórcio Nacional de Vacinas das Cidades Brasileiras - CONECTAR</t>
  </si>
  <si>
    <t>Consórcio Intermunicipal Para o Desenvolvimento da Costa Leste - CIDECOL</t>
  </si>
  <si>
    <t>Consórcio Intermunicipal de Saúde da Região do Alto Tapajós - CISRAT</t>
  </si>
  <si>
    <t>Consórcio Intermunicipal de Saúde da Região Norte Matogrossense - CISRNM</t>
  </si>
  <si>
    <t>Consórcio Público de Saúde Vale do Teles Pires - CONSÓRCIO VALE DO TELES PIRES</t>
  </si>
  <si>
    <t>Consórcio Intermunicipal de Saúde da Região Centro-Norte de Mato Grosso - CISCN</t>
  </si>
  <si>
    <t>Consórcio Intermunicipal de Saúde do Vale do Juruena - CISVJ</t>
  </si>
  <si>
    <t>CNPJ</t>
  </si>
  <si>
    <t>Estado</t>
  </si>
  <si>
    <t>Região</t>
  </si>
  <si>
    <t>Receita total</t>
  </si>
  <si>
    <t>População atendida</t>
  </si>
  <si>
    <t xml:space="preserve"> Despesa  corrente </t>
  </si>
  <si>
    <t xml:space="preserve"> Despesa Total Empenhada </t>
  </si>
  <si>
    <t>Superávit financeiro</t>
  </si>
  <si>
    <t xml:space="preserve">Disponibilidades </t>
  </si>
  <si>
    <t>Receita corrente</t>
  </si>
  <si>
    <t>Obrigações  correntes</t>
  </si>
  <si>
    <t>Divida consolidada</t>
  </si>
  <si>
    <t>02.722.566/0001-52</t>
  </si>
  <si>
    <t>Espirito Santo</t>
  </si>
  <si>
    <t>Sudeste</t>
  </si>
  <si>
    <t>02.319.394/0001-70</t>
  </si>
  <si>
    <t>Minas Gerais</t>
  </si>
  <si>
    <t>00.738.236/0001-20</t>
  </si>
  <si>
    <t>02.326.365/0001-36</t>
  </si>
  <si>
    <t>02.334.933/0001-40</t>
  </si>
  <si>
    <t>07.356.999/0001-55</t>
  </si>
  <si>
    <t>18.151.467/0001-06</t>
  </si>
  <si>
    <t>20.433.216/0001-58</t>
  </si>
  <si>
    <t>21.565.740/0001-45</t>
  </si>
  <si>
    <t>31.974.558/0001-00</t>
  </si>
  <si>
    <t>71.203.715/0001-90</t>
  </si>
  <si>
    <t>08.932.750/0001-03</t>
  </si>
  <si>
    <t>Rio de Janeiro</t>
  </si>
  <si>
    <t>02.655.907/0001-14</t>
  </si>
  <si>
    <t>São Paulo</t>
  </si>
  <si>
    <t>04.685.273/0001-78</t>
  </si>
  <si>
    <t>04.894.776/0001-53</t>
  </si>
  <si>
    <t>04.903.422/0001-28</t>
  </si>
  <si>
    <t>08.996.378/0001-07</t>
  </si>
  <si>
    <t>20.301.484/0001-16</t>
  </si>
  <si>
    <t>25.103.884/0001-30</t>
  </si>
  <si>
    <t>36.580.300/0001-34</t>
  </si>
  <si>
    <t>02.236.721/0001-20</t>
  </si>
  <si>
    <t>Espírito Santo</t>
  </si>
  <si>
    <t>02.760.004/0001-01</t>
  </si>
  <si>
    <t>03.657.784/0001-13</t>
  </si>
  <si>
    <t>00.639.952/0001-50</t>
  </si>
  <si>
    <t>00.699.767/0001-50</t>
  </si>
  <si>
    <t>01.921.228/0001-87</t>
  </si>
  <si>
    <t>01.243.423/0001-03</t>
  </si>
  <si>
    <t>01.098.929/0001-68</t>
  </si>
  <si>
    <t>02.034.350/0001-02</t>
  </si>
  <si>
    <t>01.111.142/0001-99</t>
  </si>
  <si>
    <t>01.203.485/0001-83</t>
  </si>
  <si>
    <t>27.927.406/0001-70</t>
  </si>
  <si>
    <t>07.015.626/0001-10</t>
  </si>
  <si>
    <t>00.973.293/0001-93</t>
  </si>
  <si>
    <t>07.309.266/0001-60</t>
  </si>
  <si>
    <t>03.714.880/0001-56</t>
  </si>
  <si>
    <t>55.750.301/0001-24</t>
  </si>
  <si>
    <t>07.833.463/0001-83</t>
  </si>
  <si>
    <t>23.816.422/0001-35</t>
  </si>
  <si>
    <t>06.138.766/0001-13</t>
  </si>
  <si>
    <t>19.947.645/0001-64</t>
  </si>
  <si>
    <t>01.488.169/0001-03</t>
  </si>
  <si>
    <t>03.753.263/0001-60</t>
  </si>
  <si>
    <t>01.089.454/0001-43</t>
  </si>
  <si>
    <t>04.611.637/0001-75</t>
  </si>
  <si>
    <t>13.569.532/0001-96</t>
  </si>
  <si>
    <t>58.151.580/0001-06</t>
  </si>
  <si>
    <t>05.031.043/0001-58</t>
  </si>
  <si>
    <t>05.655.308/0001-99</t>
  </si>
  <si>
    <t>29.185.021/0001-00</t>
  </si>
  <si>
    <t>45.080.766/0001-61</t>
  </si>
  <si>
    <t>34.909.476/0001-61</t>
  </si>
  <si>
    <t>11.938.399/0001-72</t>
  </si>
  <si>
    <t>17.813.026/0001-51</t>
  </si>
  <si>
    <t>13.985.869/0001-84</t>
  </si>
  <si>
    <t>03.681.070/0001-40</t>
  </si>
  <si>
    <t>19.701.130/0001-80</t>
  </si>
  <si>
    <t>00.126.737/0001-55</t>
  </si>
  <si>
    <t>Paraná</t>
  </si>
  <si>
    <t>Sul</t>
  </si>
  <si>
    <t>00.136.858/0001-88</t>
  </si>
  <si>
    <t>03.273.207/0001-28</t>
  </si>
  <si>
    <t>13.681.884/0001-39</t>
  </si>
  <si>
    <t>86.689.023/0001-70</t>
  </si>
  <si>
    <t>02.231.696/0001-92</t>
  </si>
  <si>
    <t>Rio grande do Sul</t>
  </si>
  <si>
    <t>02.264.781/0001-57</t>
  </si>
  <si>
    <t>08.007.591/0001-30</t>
  </si>
  <si>
    <t>03.222.337/0001-31</t>
  </si>
  <si>
    <t>Santa Catarina</t>
  </si>
  <si>
    <t>01.178.931/0001-47</t>
  </si>
  <si>
    <t>01.010.042/0001-76</t>
  </si>
  <si>
    <t>00.476.612/0001-55</t>
  </si>
  <si>
    <t>16.834.978/0001-99</t>
  </si>
  <si>
    <t>11.881.350/0001-20</t>
  </si>
  <si>
    <t>36.330.988/0001-02</t>
  </si>
  <si>
    <t>03.878.900/0001-24</t>
  </si>
  <si>
    <t> 00.358.098/0001-53</t>
  </si>
  <si>
    <t>00.956.801/0001-25</t>
  </si>
  <si>
    <t>10.865.793/0001-65</t>
  </si>
  <si>
    <t>00.879.976/0001-86</t>
  </si>
  <si>
    <t>94.188.208/0001-20</t>
  </si>
  <si>
    <t>Rio Grande do Sul</t>
  </si>
  <si>
    <t>93.592.368/0001-77</t>
  </si>
  <si>
    <t>11.884.641/0001-72</t>
  </si>
  <si>
    <t>07.662.324/0001-34</t>
  </si>
  <si>
    <t>07.926.117/0001-40</t>
  </si>
  <si>
    <t>02.311.972/0001-22</t>
  </si>
  <si>
    <t>00.944.673/0001-08</t>
  </si>
  <si>
    <t>00.445.188/0001-81</t>
  </si>
  <si>
    <t>02.322.413/0001-18</t>
  </si>
  <si>
    <t>23.639.923/0001-93</t>
  </si>
  <si>
    <t>15.718.459/0001-00</t>
  </si>
  <si>
    <t>17.989.386/0001-09</t>
  </si>
  <si>
    <t>19.019.626/0001-78</t>
  </si>
  <si>
    <t>Alagoas</t>
  </si>
  <si>
    <t>Nordeste</t>
  </si>
  <si>
    <t>19.904.298/0001-92</t>
  </si>
  <si>
    <t>11.487.835/0001-34</t>
  </si>
  <si>
    <t>Ceara</t>
  </si>
  <si>
    <t>14.770.466/0001-80</t>
  </si>
  <si>
    <t>15.091.751/0001-38</t>
  </si>
  <si>
    <t>Pernambuco</t>
  </si>
  <si>
    <t>18.810.874/0001-70</t>
  </si>
  <si>
    <t>Bahia</t>
  </si>
  <si>
    <t>19.299.110/0001-24</t>
  </si>
  <si>
    <t>12.208.466/0001-66</t>
  </si>
  <si>
    <t>Ceará</t>
  </si>
  <si>
    <t>1.156.101,34 |</t>
  </si>
  <si>
    <t>11.795.563/0001-30</t>
  </si>
  <si>
    <t>13.179.412/0001-82</t>
  </si>
  <si>
    <t>11.490.043/0001-19</t>
  </si>
  <si>
    <t>11.436.747/0001-03</t>
  </si>
  <si>
    <t>14.530.768/0001-81</t>
  </si>
  <si>
    <t>12.940.254/0001-79</t>
  </si>
  <si>
    <t>18.562.245/0001-78</t>
  </si>
  <si>
    <t>Maranhão</t>
  </si>
  <si>
    <t>08.609.617/0001-10</t>
  </si>
  <si>
    <t>Paraíba</t>
  </si>
  <si>
    <t>08.915.880/0001-38</t>
  </si>
  <si>
    <t>11.274.563/0001-94</t>
  </si>
  <si>
    <t>18.538.240/0001-00</t>
  </si>
  <si>
    <t>28.715.986/0001-03</t>
  </si>
  <si>
    <t>Sergipe</t>
  </si>
  <si>
    <t>22.824.173/0001-67</t>
  </si>
  <si>
    <t>02.575.700/0001-30</t>
  </si>
  <si>
    <t>Mato Grosso</t>
  </si>
  <si>
    <t>Centro-oeste</t>
  </si>
  <si>
    <t>02.104.328/0001-83</t>
  </si>
  <si>
    <t>Mato grosso do Sul</t>
  </si>
  <si>
    <t>41.774.599/0001-06</t>
  </si>
  <si>
    <t>Distrito Federal</t>
  </si>
  <si>
    <t>22.067.253/0001-15</t>
  </si>
  <si>
    <t>Mato Grosso do Sul</t>
  </si>
  <si>
    <t>02.228.364/0001-59</t>
  </si>
  <si>
    <t>02.056.667/0001-31</t>
  </si>
  <si>
    <t>23.019.551/0001-00</t>
  </si>
  <si>
    <t>07.588.711/0001-78</t>
  </si>
  <si>
    <t>04.931.808/0001-43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</si>
</sst>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3" tint="0.499984740745262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1"/>
      <color theme="7"/>
      <name val="Calibri"/>
      <family val="2"/>
    </font>
    <font>
      <b/>
      <i/>
      <sz val="11"/>
      <color theme="7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4" fontId="5" fillId="0" borderId="23" xfId="0" applyNumberFormat="1" applyFont="1" applyBorder="1" applyAlignment="1">
      <alignment vertical="center"/>
    </xf>
    <xf numFmtId="44" fontId="5" fillId="0" borderId="21" xfId="0" applyNumberFormat="1" applyFont="1" applyBorder="1" applyAlignment="1">
      <alignment vertical="center"/>
    </xf>
    <xf numFmtId="44" fontId="5" fillId="0" borderId="22" xfId="0" applyNumberFormat="1" applyFont="1" applyBorder="1" applyAlignment="1">
      <alignment vertical="center"/>
    </xf>
    <xf numFmtId="44" fontId="5" fillId="0" borderId="24" xfId="0" applyNumberFormat="1" applyFont="1" applyBorder="1" applyAlignment="1">
      <alignment vertical="center"/>
    </xf>
    <xf numFmtId="44" fontId="5" fillId="0" borderId="25" xfId="0" applyNumberFormat="1" applyFont="1" applyBorder="1" applyAlignment="1">
      <alignment vertical="center"/>
    </xf>
    <xf numFmtId="44" fontId="6" fillId="0" borderId="21" xfId="0" applyNumberFormat="1" applyFont="1" applyBorder="1" applyAlignment="1">
      <alignment vertical="center"/>
    </xf>
    <xf numFmtId="44" fontId="5" fillId="3" borderId="21" xfId="0" applyNumberFormat="1" applyFont="1" applyFill="1" applyBorder="1" applyAlignment="1">
      <alignment vertical="center"/>
    </xf>
    <xf numFmtId="44" fontId="5" fillId="3" borderId="22" xfId="0" applyNumberFormat="1" applyFont="1" applyFill="1" applyBorder="1" applyAlignment="1">
      <alignment vertical="center"/>
    </xf>
    <xf numFmtId="44" fontId="5" fillId="3" borderId="24" xfId="0" applyNumberFormat="1" applyFont="1" applyFill="1" applyBorder="1" applyAlignment="1">
      <alignment vertical="center"/>
    </xf>
    <xf numFmtId="44" fontId="5" fillId="3" borderId="23" xfId="0" applyNumberFormat="1" applyFont="1" applyFill="1" applyBorder="1" applyAlignment="1">
      <alignment vertical="center"/>
    </xf>
    <xf numFmtId="44" fontId="5" fillId="3" borderId="25" xfId="0" applyNumberFormat="1" applyFont="1" applyFill="1" applyBorder="1" applyAlignment="1">
      <alignment vertical="center"/>
    </xf>
    <xf numFmtId="44" fontId="5" fillId="4" borderId="23" xfId="0" applyNumberFormat="1" applyFont="1" applyFill="1" applyBorder="1" applyAlignment="1">
      <alignment vertical="center"/>
    </xf>
    <xf numFmtId="44" fontId="5" fillId="4" borderId="21" xfId="0" applyNumberFormat="1" applyFont="1" applyFill="1" applyBorder="1" applyAlignment="1">
      <alignment vertical="center"/>
    </xf>
    <xf numFmtId="44" fontId="5" fillId="4" borderId="25" xfId="0" applyNumberFormat="1" applyFont="1" applyFill="1" applyBorder="1" applyAlignment="1">
      <alignment vertical="center"/>
    </xf>
    <xf numFmtId="44" fontId="5" fillId="2" borderId="25" xfId="0" applyNumberFormat="1" applyFont="1" applyFill="1" applyBorder="1" applyAlignment="1">
      <alignment vertical="center"/>
    </xf>
    <xf numFmtId="44" fontId="5" fillId="2" borderId="21" xfId="0" applyNumberFormat="1" applyFont="1" applyFill="1" applyBorder="1" applyAlignment="1">
      <alignment vertical="center"/>
    </xf>
    <xf numFmtId="44" fontId="5" fillId="3" borderId="26" xfId="0" applyNumberFormat="1" applyFont="1" applyFill="1" applyBorder="1" applyAlignment="1">
      <alignment vertical="center"/>
    </xf>
    <xf numFmtId="44" fontId="5" fillId="3" borderId="27" xfId="0" applyNumberFormat="1" applyFont="1" applyFill="1" applyBorder="1" applyAlignment="1">
      <alignment vertical="center"/>
    </xf>
    <xf numFmtId="0" fontId="6" fillId="0" borderId="2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4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44" fontId="6" fillId="2" borderId="21" xfId="0" applyNumberFormat="1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44" fontId="6" fillId="3" borderId="21" xfId="0" applyNumberFormat="1" applyFont="1" applyFill="1" applyBorder="1" applyAlignment="1">
      <alignment vertical="center"/>
    </xf>
    <xf numFmtId="44" fontId="6" fillId="0" borderId="24" xfId="0" applyNumberFormat="1" applyFont="1" applyBorder="1" applyAlignment="1">
      <alignment vertical="center"/>
    </xf>
    <xf numFmtId="164" fontId="5" fillId="0" borderId="21" xfId="0" applyNumberFormat="1" applyFont="1" applyBorder="1" applyAlignment="1">
      <alignment horizontal="center" vertical="center"/>
    </xf>
    <xf numFmtId="44" fontId="5" fillId="2" borderId="28" xfId="0" applyNumberFormat="1" applyFont="1" applyFill="1" applyBorder="1" applyAlignment="1">
      <alignment vertical="center"/>
    </xf>
    <xf numFmtId="44" fontId="5" fillId="0" borderId="29" xfId="0" applyNumberFormat="1" applyFont="1" applyBorder="1" applyAlignment="1">
      <alignment vertical="center"/>
    </xf>
    <xf numFmtId="44" fontId="5" fillId="0" borderId="30" xfId="0" applyNumberFormat="1" applyFont="1" applyBorder="1" applyAlignment="1">
      <alignment vertical="center"/>
    </xf>
    <xf numFmtId="164" fontId="5" fillId="2" borderId="21" xfId="0" applyNumberFormat="1" applyFont="1" applyFill="1" applyBorder="1" applyAlignment="1">
      <alignment horizontal="center" vertical="center"/>
    </xf>
    <xf numFmtId="44" fontId="5" fillId="0" borderId="21" xfId="0" applyNumberFormat="1" applyFont="1" applyBorder="1" applyAlignment="1">
      <alignment vertical="center" wrapText="1"/>
    </xf>
    <xf numFmtId="44" fontId="5" fillId="0" borderId="31" xfId="0" applyNumberFormat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ávia Duque" id="{253426FE-39B0-45AF-AC1B-20F4C0A3F6E3}" userId="3599560dc2f212c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1-09T12:10:14.15" personId="{253426FE-39B0-45AF-AC1B-20F4C0A3F6E3}" id="{5FDB0F2C-D6A8-4FB2-B10D-9B52B7B5F6ED}">
    <text>Output</text>
  </threadedComment>
  <threadedComment ref="D2" dT="2026-01-09T13:38:23.68" personId="{253426FE-39B0-45AF-AC1B-20F4C0A3F6E3}" id="{96091B7D-3BB6-418F-B5DC-A724C6692C1C}">
    <text>Input</text>
  </threadedComment>
  <threadedComment ref="E2" dT="2026-01-09T12:10:35.59" personId="{253426FE-39B0-45AF-AC1B-20F4C0A3F6E3}" id="{B195DBE0-1F2D-4A39-AD52-94321455EC3F}">
    <text>output</text>
  </threadedComment>
  <threadedComment ref="F2" dT="2026-01-09T12:10:29.63" personId="{253426FE-39B0-45AF-AC1B-20F4C0A3F6E3}" id="{A21BBA3F-8307-45CB-8EE5-5D992243812E}">
    <text>output</text>
  </threadedComment>
  <threadedComment ref="G2" dT="2026-01-09T12:22:02.12" personId="{253426FE-39B0-45AF-AC1B-20F4C0A3F6E3}" id="{62844C6B-5ED0-49A2-B531-5F918A688886}">
    <text>Input</text>
  </threadedComment>
  <threadedComment ref="H2" dT="2026-02-24T20:02:50.53" personId="{253426FE-39B0-45AF-AC1B-20F4C0A3F6E3}" id="{E195EE34-76B0-42F9-BBB3-F2461420893F}">
    <text xml:space="preserve">Input
</text>
  </threadedComment>
  <threadedComment ref="I2" dT="2026-01-09T13:38:42.89" personId="{253426FE-39B0-45AF-AC1B-20F4C0A3F6E3}" id="{7A8C2D41-ED24-4324-BDC8-522AB6C9DBB7}">
    <text>Input</text>
  </threadedComment>
  <threadedComment ref="J2" dT="2026-01-09T13:39:26.94" personId="{253426FE-39B0-45AF-AC1B-20F4C0A3F6E3}" id="{AB30AA09-A23A-468A-B3D6-F424B625DC31}">
    <text>Input</text>
  </threadedComment>
  <threadedComment ref="K2" dT="2026-01-09T12:10:14.15" personId="{253426FE-39B0-45AF-AC1B-20F4C0A3F6E3}" id="{4A683E32-7C1D-4C44-9D5B-F4E9E885E5D3}">
    <text>Output</text>
  </threadedComment>
  <threadedComment ref="L2" dT="2026-01-09T13:38:23.68" personId="{253426FE-39B0-45AF-AC1B-20F4C0A3F6E3}" id="{75AFFF1C-F47B-45C4-B909-ADA860146446}">
    <text>Input</text>
  </threadedComment>
  <threadedComment ref="M2" dT="2026-01-09T12:10:35.59" personId="{253426FE-39B0-45AF-AC1B-20F4C0A3F6E3}" id="{2AC6B038-9E82-4AB9-BC8B-4F5D863E1ACB}">
    <text>output</text>
  </threadedComment>
  <threadedComment ref="N2" dT="2026-01-09T12:10:29.63" personId="{253426FE-39B0-45AF-AC1B-20F4C0A3F6E3}" id="{443A39FF-537C-476C-9D52-EB5793677A8B}">
    <text>output</text>
  </threadedComment>
  <threadedComment ref="O2" dT="2026-01-09T12:22:02.12" personId="{253426FE-39B0-45AF-AC1B-20F4C0A3F6E3}" id="{83972DBA-0D25-47E7-B41C-B28BFC73008E}">
    <text>Output</text>
  </threadedComment>
  <threadedComment ref="P2" dT="2026-02-24T20:03:53.40" personId="{253426FE-39B0-45AF-AC1B-20F4C0A3F6E3}" id="{ED5BC54B-8A7C-4C14-9E84-1434B5BDE0E5}">
    <text xml:space="preserve">Input
</text>
  </threadedComment>
  <threadedComment ref="Q2" dT="2026-01-09T13:38:42.89" personId="{253426FE-39B0-45AF-AC1B-20F4C0A3F6E3}" id="{AF87A6CB-47BB-4BAB-A28A-57419B44E7D7}">
    <text>Input</text>
  </threadedComment>
  <threadedComment ref="S2" dT="2026-01-09T12:10:14.15" personId="{253426FE-39B0-45AF-AC1B-20F4C0A3F6E3}" id="{6FC3DBDE-1B6D-4CC1-A26A-1DDFBE853C06}">
    <text>Output</text>
  </threadedComment>
  <threadedComment ref="T2" dT="2026-01-09T13:38:23.68" personId="{253426FE-39B0-45AF-AC1B-20F4C0A3F6E3}" id="{39E97B43-30CE-4660-8008-4B95CD9294CF}">
    <text>Input</text>
  </threadedComment>
  <threadedComment ref="U2" dT="2026-01-09T12:10:35.59" personId="{253426FE-39B0-45AF-AC1B-20F4C0A3F6E3}" id="{54D83587-9EEC-484C-B344-059112C03C66}">
    <text>output</text>
  </threadedComment>
  <threadedComment ref="V2" dT="2026-01-09T12:10:29.63" personId="{253426FE-39B0-45AF-AC1B-20F4C0A3F6E3}" id="{D4001DF3-0AD6-4878-A8EC-A066D41DF42A}">
    <text>output</text>
  </threadedComment>
  <threadedComment ref="W2" dT="2026-01-09T12:22:02.12" personId="{253426FE-39B0-45AF-AC1B-20F4C0A3F6E3}" id="{DFB8A4F8-63A2-42E5-98C1-FE0D3A88065D}">
    <text>Output</text>
  </threadedComment>
  <threadedComment ref="X2" dT="2026-02-24T20:04:11.18" personId="{253426FE-39B0-45AF-AC1B-20F4C0A3F6E3}" id="{64A9498B-FB86-4D57-8E4A-8AB94152777E}">
    <text xml:space="preserve">Input
</text>
  </threadedComment>
  <threadedComment ref="Y2" dT="2026-01-09T13:38:42.89" personId="{253426FE-39B0-45AF-AC1B-20F4C0A3F6E3}" id="{C30F6B17-D273-43BD-B3DD-A5347B269DD8}">
    <text>Input</text>
  </threadedComment>
  <threadedComment ref="AA2" dT="2026-01-09T12:10:14.15" personId="{253426FE-39B0-45AF-AC1B-20F4C0A3F6E3}" id="{CB40B2E6-F298-409B-83DF-54A8DAF6E5CC}">
    <text>Output</text>
  </threadedComment>
  <threadedComment ref="AB2" dT="2026-01-09T13:38:23.68" personId="{253426FE-39B0-45AF-AC1B-20F4C0A3F6E3}" id="{105ABB40-A54C-46EA-9839-C774083AE3C7}">
    <text>Input</text>
  </threadedComment>
  <threadedComment ref="AC2" dT="2026-01-09T12:10:35.59" personId="{253426FE-39B0-45AF-AC1B-20F4C0A3F6E3}" id="{B34F798C-059F-4C33-826D-EF75AFE6D7FE}">
    <text>output</text>
  </threadedComment>
  <threadedComment ref="AD2" dT="2026-01-09T12:10:29.63" personId="{253426FE-39B0-45AF-AC1B-20F4C0A3F6E3}" id="{990E0D68-2298-46E0-BD36-3452A9568DE7}">
    <text>output</text>
  </threadedComment>
  <threadedComment ref="AE2" dT="2026-01-09T12:22:02.12" personId="{253426FE-39B0-45AF-AC1B-20F4C0A3F6E3}" id="{483817CC-77B0-4EBE-9F1D-EFCF791718E7}">
    <text>Output</text>
  </threadedComment>
  <threadedComment ref="AF2" dT="2026-02-24T20:04:24.37" personId="{253426FE-39B0-45AF-AC1B-20F4C0A3F6E3}" id="{41BC1256-5F62-46FB-8307-384CA9A00EB2}">
    <text>Input</text>
  </threadedComment>
  <threadedComment ref="AG2" dT="2026-01-09T13:38:42.89" personId="{253426FE-39B0-45AF-AC1B-20F4C0A3F6E3}" id="{E76A3971-92A8-49D4-AB15-EA0084BEFD1B}">
    <text>Input</text>
  </threadedComment>
  <threadedComment ref="AI2" dT="2026-01-09T12:10:14.15" personId="{253426FE-39B0-45AF-AC1B-20F4C0A3F6E3}" id="{BD7FC617-C6BE-4BC7-8260-EF8E8F507486}">
    <text>Output</text>
  </threadedComment>
  <threadedComment ref="AJ2" dT="2026-01-09T13:38:23.68" personId="{253426FE-39B0-45AF-AC1B-20F4C0A3F6E3}" id="{6896DDA4-2B37-47E6-A601-D8AAFF1FB246}">
    <text>Input</text>
  </threadedComment>
  <threadedComment ref="AK2" dT="2026-01-09T12:10:35.59" personId="{253426FE-39B0-45AF-AC1B-20F4C0A3F6E3}" id="{DB72D6EA-214B-49A5-8801-6C9786CCE630}">
    <text>output</text>
  </threadedComment>
  <threadedComment ref="AL2" dT="2026-01-09T12:10:29.63" personId="{253426FE-39B0-45AF-AC1B-20F4C0A3F6E3}" id="{DB81D1AA-6523-4269-95D5-4BC0836DB058}">
    <text>output</text>
  </threadedComment>
  <threadedComment ref="AM2" dT="2026-01-09T12:22:02.12" personId="{253426FE-39B0-45AF-AC1B-20F4C0A3F6E3}" id="{8114BF9D-6AA9-4E52-A31C-96A0E89C225A}">
    <text>Output</text>
  </threadedComment>
  <threadedComment ref="AN2" dT="2026-02-24T20:04:36.78" personId="{253426FE-39B0-45AF-AC1B-20F4C0A3F6E3}" id="{2D7BBCB4-1195-4539-84A3-89EA2B47392E}">
    <text xml:space="preserve">Input
</text>
  </threadedComment>
  <threadedComment ref="AO2" dT="2026-01-09T13:38:42.89" personId="{253426FE-39B0-45AF-AC1B-20F4C0A3F6E3}" id="{37216696-BED9-452C-895C-ED0D0B0CDF70}">
    <text>Input</text>
  </threadedComment>
  <threadedComment ref="B22" dT="2026-01-05T22:33:56.86" personId="{253426FE-39B0-45AF-AC1B-20F4C0A3F6E3}" id="{1579208D-107C-463C-9B76-2088B86E615D}">
    <text>Iniciou as atividades em 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5-04-18T14:03:17.02" personId="{253426FE-39B0-45AF-AC1B-20F4C0A3F6E3}" id="{94AB8181-82E1-41D3-80DF-A035463C9D9F}">
    <text xml:space="preserve">Balanço orçamentário* (não apresenta deduções da receita): Receita Orçamentária Total Realizada
</text>
  </threadedComment>
  <threadedComment ref="H2" dT="2024-04-08T14:24:05.85" personId="{253426FE-39B0-45AF-AC1B-20F4C0A3F6E3}" id="{5C6851FA-8736-4932-B866-F049C9D0FEC3}">
    <text xml:space="preserve">*Balanço Orçamentário&gt;valor realizado (empanhado)
</text>
  </threadedComment>
  <threadedComment ref="I2" dT="2024-04-08T14:27:02.61" personId="{253426FE-39B0-45AF-AC1B-20F4C0A3F6E3}" id="{36889021-8F02-495B-9E73-8DEEF784E894}">
    <text xml:space="preserve">*Balanço orçamentário
</text>
  </threadedComment>
  <threadedComment ref="J2" dT="2025-04-18T14:37:18.93" personId="{253426FE-39B0-45AF-AC1B-20F4C0A3F6E3}" id="{1B925E03-139B-400D-864B-94AF44E5283C}">
    <text>Balanço patrimonial</text>
  </threadedComment>
  <threadedComment ref="J2" dT="2025-04-23T14:30:59.75" personId="{253426FE-39B0-45AF-AC1B-20F4C0A3F6E3}" id="{C0E5ACD8-2505-4801-8FFB-01D4BAD1DB40}" parentId="{1B925E03-139B-400D-864B-94AF44E5283C}">
    <text xml:space="preserve">Balanço Patrimonial (Ativo Financeiro – Passivo Financeiro) ou Balanço Orçamentário (“Saldos de exercícios anteriores – Superávit Financeiro”). </text>
  </threadedComment>
  <threadedComment ref="K2" dT="2024-04-08T14:36:32.09" personId="{253426FE-39B0-45AF-AC1B-20F4C0A3F6E3}" id="{1DC45B5E-2C55-4B7C-91D6-EB37CDE81364}">
    <text xml:space="preserve">Balanço Patrimonial → Ativo Circulante → Caixa e Equivalentes de Caixa. </text>
  </threadedComment>
  <threadedComment ref="L2" dT="2024-04-08T14:35:10.55" personId="{253426FE-39B0-45AF-AC1B-20F4C0A3F6E3}" id="{0CEEB846-5AA5-4431-A86C-662849222CAC}">
    <text xml:space="preserve">Balanço orçamentário *
</text>
  </threadedComment>
  <threadedComment ref="M2" dT="2025-02-19T18:43:55.23" personId="{253426FE-39B0-45AF-AC1B-20F4C0A3F6E3}" id="{CAB294B4-F8E4-4975-BA3C-6D3D5F830722}">
    <text>Balanço Patrimonial*&gt;Passivo circulante</text>
  </threadedComment>
  <threadedComment ref="N2" dT="2024-04-08T14:29:31.53" personId="{253426FE-39B0-45AF-AC1B-20F4C0A3F6E3}" id="{2AA2ABA9-A71B-45F6-86F1-E52D7B1DA2B2}">
    <text>Balanço Patrimonial → Passivo Não Circulante</text>
  </threadedComment>
  <threadedComment ref="B22" dT="2026-01-05T22:33:56.86" personId="{253426FE-39B0-45AF-AC1B-20F4C0A3F6E3}" id="{8F7EFB98-C8DB-425A-9542-326C1BDEC023}">
    <text>Iniciou as atividades em 2021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05D9-99C5-4337-AABA-A0672E4A6B9F}">
  <dimension ref="A1:AP122"/>
  <sheetViews>
    <sheetView tabSelected="1" workbookViewId="0">
      <selection activeCell="F5" sqref="F5"/>
    </sheetView>
  </sheetViews>
  <sheetFormatPr defaultRowHeight="15" x14ac:dyDescent="0.25"/>
  <cols>
    <col min="2" max="2" width="61.85546875" customWidth="1"/>
    <col min="3" max="7" width="15.7109375" customWidth="1"/>
    <col min="8" max="8" width="19.7109375" customWidth="1"/>
    <col min="9" max="9" width="15.7109375" customWidth="1"/>
    <col min="10" max="10" width="19.7109375" customWidth="1"/>
    <col min="11" max="15" width="15.7109375" customWidth="1"/>
    <col min="16" max="16" width="19.7109375" customWidth="1"/>
    <col min="17" max="17" width="15.7109375" customWidth="1"/>
    <col min="18" max="18" width="19.7109375" customWidth="1"/>
    <col min="19" max="23" width="15.7109375" customWidth="1"/>
    <col min="24" max="24" width="19.7109375" customWidth="1"/>
    <col min="25" max="25" width="15.7109375" customWidth="1"/>
    <col min="26" max="26" width="19.7109375" customWidth="1"/>
    <col min="27" max="31" width="15.7109375" customWidth="1"/>
    <col min="32" max="32" width="19.7109375" customWidth="1"/>
    <col min="33" max="33" width="15.7109375" customWidth="1"/>
    <col min="34" max="34" width="19.7109375" customWidth="1"/>
    <col min="35" max="39" width="15.7109375" customWidth="1"/>
    <col min="40" max="40" width="19.7109375" customWidth="1"/>
    <col min="41" max="41" width="15.7109375" customWidth="1"/>
    <col min="42" max="42" width="19.7109375" customWidth="1"/>
  </cols>
  <sheetData>
    <row r="1" spans="1:42" x14ac:dyDescent="0.25">
      <c r="A1" s="53" t="s">
        <v>0</v>
      </c>
      <c r="B1" s="55" t="s">
        <v>1</v>
      </c>
      <c r="C1" s="51">
        <v>2024</v>
      </c>
      <c r="D1" s="51"/>
      <c r="E1" s="51"/>
      <c r="F1" s="51"/>
      <c r="G1" s="51"/>
      <c r="H1" s="51"/>
      <c r="I1" s="51"/>
      <c r="J1" s="51"/>
      <c r="K1" s="51">
        <v>2023</v>
      </c>
      <c r="L1" s="51"/>
      <c r="M1" s="51"/>
      <c r="N1" s="51"/>
      <c r="O1" s="51"/>
      <c r="P1" s="51"/>
      <c r="Q1" s="51"/>
      <c r="R1" s="51"/>
      <c r="S1" s="51">
        <v>2022</v>
      </c>
      <c r="T1" s="51"/>
      <c r="U1" s="51"/>
      <c r="V1" s="51"/>
      <c r="W1" s="51"/>
      <c r="X1" s="51"/>
      <c r="Y1" s="51"/>
      <c r="Z1" s="51"/>
      <c r="AA1" s="51">
        <v>2021</v>
      </c>
      <c r="AB1" s="51"/>
      <c r="AC1" s="51"/>
      <c r="AD1" s="51"/>
      <c r="AE1" s="51"/>
      <c r="AF1" s="51"/>
      <c r="AG1" s="51"/>
      <c r="AH1" s="51"/>
      <c r="AI1" s="51">
        <v>2020</v>
      </c>
      <c r="AJ1" s="51"/>
      <c r="AK1" s="51"/>
      <c r="AL1" s="51"/>
      <c r="AM1" s="51"/>
      <c r="AN1" s="51"/>
      <c r="AO1" s="51"/>
      <c r="AP1" s="52"/>
    </row>
    <row r="2" spans="1:42" ht="60" x14ac:dyDescent="0.25">
      <c r="A2" s="54"/>
      <c r="B2" s="56"/>
      <c r="C2" s="36" t="s">
        <v>2</v>
      </c>
      <c r="D2" s="41" t="s">
        <v>3</v>
      </c>
      <c r="E2" s="36" t="s">
        <v>4</v>
      </c>
      <c r="F2" s="36" t="s">
        <v>5</v>
      </c>
      <c r="G2" s="68" t="s">
        <v>6</v>
      </c>
      <c r="H2" s="41" t="s">
        <v>7</v>
      </c>
      <c r="I2" s="41" t="s">
        <v>8</v>
      </c>
      <c r="J2" s="41" t="s">
        <v>9</v>
      </c>
      <c r="K2" s="36" t="s">
        <v>2</v>
      </c>
      <c r="L2" s="41" t="s">
        <v>3</v>
      </c>
      <c r="M2" s="36" t="s">
        <v>4</v>
      </c>
      <c r="N2" s="36" t="s">
        <v>5</v>
      </c>
      <c r="O2" s="36" t="s">
        <v>6</v>
      </c>
      <c r="P2" s="41" t="s">
        <v>7</v>
      </c>
      <c r="Q2" s="41" t="s">
        <v>8</v>
      </c>
      <c r="R2" s="41" t="s">
        <v>9</v>
      </c>
      <c r="S2" s="36" t="s">
        <v>2</v>
      </c>
      <c r="T2" s="41" t="s">
        <v>3</v>
      </c>
      <c r="U2" s="36" t="s">
        <v>4</v>
      </c>
      <c r="V2" s="36" t="s">
        <v>5</v>
      </c>
      <c r="W2" s="36" t="s">
        <v>6</v>
      </c>
      <c r="X2" s="41" t="s">
        <v>7</v>
      </c>
      <c r="Y2" s="41" t="s">
        <v>8</v>
      </c>
      <c r="Z2" s="41" t="s">
        <v>9</v>
      </c>
      <c r="AA2" s="36" t="s">
        <v>2</v>
      </c>
      <c r="AB2" s="41" t="s">
        <v>3</v>
      </c>
      <c r="AC2" s="36" t="s">
        <v>4</v>
      </c>
      <c r="AD2" s="36" t="s">
        <v>5</v>
      </c>
      <c r="AE2" s="36" t="s">
        <v>6</v>
      </c>
      <c r="AF2" s="41" t="s">
        <v>7</v>
      </c>
      <c r="AG2" s="41" t="s">
        <v>8</v>
      </c>
      <c r="AH2" s="41" t="s">
        <v>9</v>
      </c>
      <c r="AI2" s="36" t="s">
        <v>2</v>
      </c>
      <c r="AJ2" s="41" t="s">
        <v>3</v>
      </c>
      <c r="AK2" s="36" t="s">
        <v>4</v>
      </c>
      <c r="AL2" s="36" t="s">
        <v>5</v>
      </c>
      <c r="AM2" s="36" t="s">
        <v>6</v>
      </c>
      <c r="AN2" s="41" t="s">
        <v>7</v>
      </c>
      <c r="AO2" s="41" t="s">
        <v>8</v>
      </c>
      <c r="AP2" s="41" t="s">
        <v>9</v>
      </c>
    </row>
    <row r="3" spans="1:42" x14ac:dyDescent="0.25">
      <c r="A3" s="12">
        <v>9</v>
      </c>
      <c r="B3" s="13" t="s">
        <v>10</v>
      </c>
      <c r="C3" s="37">
        <f>Dados!F3/Dados!G3</f>
        <v>131.98120692461481</v>
      </c>
      <c r="D3" s="38">
        <f>Dados!H3/Dados!I3</f>
        <v>0.99379143680211024</v>
      </c>
      <c r="E3" s="38">
        <f>Dados!F3/Dados!I3</f>
        <v>1.0458449123295921</v>
      </c>
      <c r="F3" s="38">
        <f>Dados!J3/Dados!F3</f>
        <v>4.383528742084121E-2</v>
      </c>
      <c r="G3" s="38">
        <f>Dados!K3/Dados!M3</f>
        <v>4876.8988711742113</v>
      </c>
      <c r="H3" s="38">
        <f>Dados!M3/Dados!F3</f>
        <v>2.9992424178219761E-6</v>
      </c>
      <c r="I3" s="37">
        <f>Dados!N3/Dados!G3</f>
        <v>0</v>
      </c>
      <c r="J3" s="38">
        <f>Dados!N3/Dados!L3</f>
        <v>0</v>
      </c>
      <c r="K3" s="37">
        <f>Dados!O3/Dados!P3</f>
        <v>118.12805352253164</v>
      </c>
      <c r="L3" s="38">
        <f>Dados!Q3/Dados!R3</f>
        <v>0.98602512168990919</v>
      </c>
      <c r="M3" s="38">
        <f>Dados!O3/Dados!R3</f>
        <v>1.0012242075907583</v>
      </c>
      <c r="N3" s="38">
        <f>Dados!S3/Dados!O3</f>
        <v>1.2227107389904254E-3</v>
      </c>
      <c r="O3" s="38">
        <f>Dados!T3/Dados!V3</f>
        <v>145.02035887382499</v>
      </c>
      <c r="P3" s="38">
        <f>Dados!V3/Dados!O3</f>
        <v>6.7837287257767255E-4</v>
      </c>
      <c r="Q3" s="37">
        <f>Dados!W3/Dados!P3</f>
        <v>0</v>
      </c>
      <c r="R3" s="38">
        <f>Dados!W3/Dados!U3</f>
        <v>0</v>
      </c>
      <c r="S3" s="37">
        <f>Dados!X3/Dados!Y3</f>
        <v>88.942867786989538</v>
      </c>
      <c r="T3" s="38">
        <f>Dados!Z3/Dados!AA3</f>
        <v>0.97864604227506746</v>
      </c>
      <c r="U3" s="38">
        <f>Dados!X3/Dados!AA3</f>
        <v>1.0223185773530739</v>
      </c>
      <c r="V3" s="38">
        <f>Dados!AB3/Dados!X3</f>
        <v>2.1831333057509238E-2</v>
      </c>
      <c r="W3" s="38">
        <f>Dados!AC3/Dados!AE3</f>
        <v>16.740434419085293</v>
      </c>
      <c r="X3" s="38">
        <f>Dados!AE3/Dados!X3</f>
        <v>7.6911137470587485E-3</v>
      </c>
      <c r="Y3" s="37">
        <f>Dados!AF3/Dados!Y3</f>
        <v>0</v>
      </c>
      <c r="Z3" s="38">
        <f>Dados!AF3/Dados!AD3</f>
        <v>0</v>
      </c>
      <c r="AA3" s="37">
        <f>Dados!AG3/Dados!AH3</f>
        <v>68.968679509681152</v>
      </c>
      <c r="AB3" s="38">
        <f>Dados!AI3/Dados!AJ3</f>
        <v>0.99949881391761952</v>
      </c>
      <c r="AC3" s="38">
        <f>Dados!AG3/Dados!AJ3</f>
        <v>1.0632335888763136</v>
      </c>
      <c r="AD3" s="38">
        <f>Dados!AK3/Dados!AG3</f>
        <v>5.9472903732417301E-2</v>
      </c>
      <c r="AE3" s="38">
        <f>Dados!AL3/Dados!AN3</f>
        <v>258.86675381287205</v>
      </c>
      <c r="AF3" s="38">
        <f>Dados!AN3/Dados!AG3</f>
        <v>4.9883075311614011E-4</v>
      </c>
      <c r="AG3" s="37">
        <f>Dados!AO3/Dados!AH3</f>
        <v>0</v>
      </c>
      <c r="AH3" s="38">
        <f>Dados!AO3/Dados!AM3</f>
        <v>0</v>
      </c>
      <c r="AI3" s="37">
        <f>Dados!AP3/Dados!AQ3</f>
        <v>34.956593584355858</v>
      </c>
      <c r="AJ3" s="38">
        <f>Dados!AR3/Dados!AS3</f>
        <v>0.9956160110004868</v>
      </c>
      <c r="AK3" s="38">
        <f>Dados!AP3/Dados!AS3</f>
        <v>1.0691753800553836</v>
      </c>
      <c r="AL3" s="38">
        <f>Dados!AT3/Dados!AP3</f>
        <v>6.4699750242846313E-2</v>
      </c>
      <c r="AM3" s="38">
        <f>Dados!AU3/Dados!AW3</f>
        <v>153.86168250554266</v>
      </c>
      <c r="AN3" s="38">
        <f>Dados!AW3/Dados!AP3</f>
        <v>8.9588769091827772E-4</v>
      </c>
      <c r="AO3" s="37">
        <f>Dados!AX3/Dados!AQ3</f>
        <v>0</v>
      </c>
      <c r="AP3" s="39">
        <f>Dados!AX3/Dados!AV3</f>
        <v>0</v>
      </c>
    </row>
    <row r="4" spans="1:42" x14ac:dyDescent="0.25">
      <c r="A4" s="12">
        <v>20</v>
      </c>
      <c r="B4" s="13" t="s">
        <v>11</v>
      </c>
      <c r="C4" s="37">
        <f>Dados!F4/Dados!G4</f>
        <v>298.14327478033584</v>
      </c>
      <c r="D4" s="38">
        <f>Dados!H4/Dados!I4</f>
        <v>0.95393903539752234</v>
      </c>
      <c r="E4" s="38">
        <f>Dados!F4/Dados!I4</f>
        <v>1.0798704739716865</v>
      </c>
      <c r="F4" s="38">
        <f>Dados!J4/Dados!F4</f>
        <v>7.3963013062046709E-2</v>
      </c>
      <c r="G4" s="38">
        <f>Dados!K4/Dados!M4</f>
        <v>61.770846998959655</v>
      </c>
      <c r="H4" s="38">
        <f>Dados!M4/Dados!F4</f>
        <v>4.8483244927966934E-3</v>
      </c>
      <c r="I4" s="37">
        <f>Dados!N4/Dados!G4</f>
        <v>0</v>
      </c>
      <c r="J4" s="38">
        <f>Dados!N4/Dados!L4</f>
        <v>0</v>
      </c>
      <c r="K4" s="37">
        <f>Dados!O4/Dados!P4</f>
        <v>192.56048240087827</v>
      </c>
      <c r="L4" s="38">
        <f>Dados!Q4/Dados!R4</f>
        <v>0.98686508816919849</v>
      </c>
      <c r="M4" s="38">
        <f>Dados!O4/Dados!R4</f>
        <v>1.1597657178958183</v>
      </c>
      <c r="N4" s="38">
        <f>Dados!S4/Dados!O4</f>
        <v>0.13775688954290155</v>
      </c>
      <c r="O4" s="38">
        <f>Dados!T4/Dados!V4</f>
        <v>24.202511619585557</v>
      </c>
      <c r="P4" s="38">
        <f>Dados!V4/Dados!O4</f>
        <v>1.0297430809616927E-2</v>
      </c>
      <c r="Q4" s="37">
        <f>Dados!W4/Dados!P4</f>
        <v>0</v>
      </c>
      <c r="R4" s="38">
        <f>Dados!W4/Dados!U4</f>
        <v>0</v>
      </c>
      <c r="S4" s="37">
        <f>Dados!X4/Dados!Y4</f>
        <v>76.994652133000329</v>
      </c>
      <c r="T4" s="38">
        <f>Dados!Z4/Dados!AA4</f>
        <v>0.99767171801273324</v>
      </c>
      <c r="U4" s="38">
        <f>Dados!X4/Dados!AA4</f>
        <v>1.0936364705588375</v>
      </c>
      <c r="V4" s="38">
        <f>Dados!AB4/Dados!X4</f>
        <v>8.5619374517558008E-2</v>
      </c>
      <c r="W4" s="38">
        <f>Dados!AC4/Dados!AE4</f>
        <v>55.532879922072816</v>
      </c>
      <c r="X4" s="38">
        <f>Dados!AE4/Dados!X4</f>
        <v>3.2764693847679304E-3</v>
      </c>
      <c r="Y4" s="37">
        <f>Dados!AF4/Dados!Y4</f>
        <v>0</v>
      </c>
      <c r="Z4" s="38">
        <f>Dados!AF4/Dados!AD4</f>
        <v>0</v>
      </c>
      <c r="AA4" s="37">
        <f>Dados!AG4/Dados!AH4</f>
        <v>30.963749952168978</v>
      </c>
      <c r="AB4" s="38">
        <f>Dados!AI4/Dados!AJ4</f>
        <v>0.99410858342790687</v>
      </c>
      <c r="AC4" s="38">
        <f>Dados!AG4/Dados!AJ4</f>
        <v>0.99688524834654513</v>
      </c>
      <c r="AD4" s="38">
        <f>Dados!AK4/Dados!AG4</f>
        <v>-3.1244836440515035E-3</v>
      </c>
      <c r="AE4" s="38">
        <f>Dados!AL4/Dados!AN4</f>
        <v>4.4063119488394102</v>
      </c>
      <c r="AF4" s="38">
        <f>Dados!AN4/Dados!AG4</f>
        <v>2.8615468740638857E-2</v>
      </c>
      <c r="AG4" s="37">
        <f>Dados!AO4/Dados!AH4</f>
        <v>0</v>
      </c>
      <c r="AH4" s="38">
        <f>Dados!AO4/Dados!AM4</f>
        <v>0</v>
      </c>
      <c r="AI4" s="37">
        <f>Dados!AP4/Dados!AQ4</f>
        <v>14.98239872090101</v>
      </c>
      <c r="AJ4" s="38">
        <f>Dados!AR4/Dados!AS4</f>
        <v>0.99770233508210282</v>
      </c>
      <c r="AK4" s="38">
        <f>Dados!AP4/Dados!AS4</f>
        <v>0.96231249600729252</v>
      </c>
      <c r="AL4" s="38">
        <f>Dados!AT4/Dados!AP4</f>
        <v>-3.9163477715477887E-2</v>
      </c>
      <c r="AM4" s="38">
        <f>Dados!AU4/Dados!AW4</f>
        <v>7.4026333409957976</v>
      </c>
      <c r="AN4" s="38">
        <f>Dados!AW4/Dados!AP4</f>
        <v>1.366289190011861E-2</v>
      </c>
      <c r="AO4" s="37">
        <f>Dados!AX4/Dados!AQ4</f>
        <v>0</v>
      </c>
      <c r="AP4" s="39">
        <f>Dados!AX4/Dados!AV4</f>
        <v>0</v>
      </c>
    </row>
    <row r="5" spans="1:42" x14ac:dyDescent="0.25">
      <c r="A5" s="12">
        <v>21</v>
      </c>
      <c r="B5" s="13" t="s">
        <v>12</v>
      </c>
      <c r="C5" s="37">
        <f>Dados!F5/Dados!G5</f>
        <v>192.19074611441127</v>
      </c>
      <c r="D5" s="38">
        <f>Dados!H5/Dados!I5</f>
        <v>0.94680415681186492</v>
      </c>
      <c r="E5" s="38">
        <f>Dados!F5/Dados!I5</f>
        <v>1.0847601514367984</v>
      </c>
      <c r="F5" s="38">
        <f>Dados!J5/Dados!F5</f>
        <v>7.8137228146269083E-2</v>
      </c>
      <c r="G5" s="38" t="e">
        <f>Dados!K5/Dados!M5</f>
        <v>#DIV/0!</v>
      </c>
      <c r="H5" s="38">
        <f>Dados!M5/Dados!F5</f>
        <v>0</v>
      </c>
      <c r="I5" s="37">
        <f>Dados!N5/Dados!G5</f>
        <v>0</v>
      </c>
      <c r="J5" s="38">
        <f>Dados!N5/Dados!L5</f>
        <v>0</v>
      </c>
      <c r="K5" s="37">
        <f>Dados!O5/Dados!P5</f>
        <v>144.36713768491998</v>
      </c>
      <c r="L5" s="38">
        <f>Dados!Q5/Dados!R5</f>
        <v>0.99332917577495605</v>
      </c>
      <c r="M5" s="38">
        <f>Dados!O5/Dados!R5</f>
        <v>1.1421290277675236</v>
      </c>
      <c r="N5" s="38">
        <f>Dados!S5/Dados!O5</f>
        <v>0.12444218149795014</v>
      </c>
      <c r="O5" s="38" t="e">
        <f>Dados!T5/Dados!V5</f>
        <v>#DIV/0!</v>
      </c>
      <c r="P5" s="38">
        <f>Dados!V5/Dados!O5</f>
        <v>0</v>
      </c>
      <c r="Q5" s="37">
        <f>Dados!W5/Dados!P5</f>
        <v>0</v>
      </c>
      <c r="R5" s="38">
        <f>Dados!W5/Dados!U5</f>
        <v>0</v>
      </c>
      <c r="S5" s="37">
        <f>Dados!X5/Dados!Y5</f>
        <v>109.27206089146716</v>
      </c>
      <c r="T5" s="38">
        <f>Dados!Z5/Dados!AA5</f>
        <v>0.99794734135443353</v>
      </c>
      <c r="U5" s="38">
        <f>Dados!X5/Dados!AA5</f>
        <v>1.1075065966604847</v>
      </c>
      <c r="V5" s="38">
        <f>Dados!AB5/Dados!X5</f>
        <v>9.707084091837849E-2</v>
      </c>
      <c r="W5" s="38" t="e">
        <f>Dados!AC5/Dados!AE5</f>
        <v>#DIV/0!</v>
      </c>
      <c r="X5" s="38">
        <f>Dados!AE5/Dados!X5</f>
        <v>0</v>
      </c>
      <c r="Y5" s="37">
        <f>Dados!AF5/Dados!Y5</f>
        <v>0</v>
      </c>
      <c r="Z5" s="38">
        <f>Dados!AF5/Dados!AD5</f>
        <v>0</v>
      </c>
      <c r="AA5" s="37">
        <f>Dados!AG5/Dados!AH5</f>
        <v>71.917029502826438</v>
      </c>
      <c r="AB5" s="38">
        <f>Dados!AI5/Dados!AJ5</f>
        <v>0.99105926645465703</v>
      </c>
      <c r="AC5" s="38">
        <f>Dados!AG5/Dados!AJ5</f>
        <v>0.98457617393445451</v>
      </c>
      <c r="AD5" s="38">
        <f>Dados!AK5/Dados!AG5</f>
        <v>-1.5665447198372033E-2</v>
      </c>
      <c r="AE5" s="38" t="e">
        <f>Dados!AL5/Dados!AN5</f>
        <v>#DIV/0!</v>
      </c>
      <c r="AF5" s="38">
        <f>Dados!AN5/Dados!AG5</f>
        <v>0</v>
      </c>
      <c r="AG5" s="37">
        <f>Dados!AO5/Dados!AH5</f>
        <v>0</v>
      </c>
      <c r="AH5" s="38">
        <f>Dados!AO5/Dados!AM5</f>
        <v>0</v>
      </c>
      <c r="AI5" s="37">
        <f>Dados!AP5/Dados!AQ5</f>
        <v>46.53710577794169</v>
      </c>
      <c r="AJ5" s="38">
        <f>Dados!AR5/Dados!AS5</f>
        <v>0.97749582603792839</v>
      </c>
      <c r="AK5" s="38">
        <f>Dados!AP5/Dados!AS5</f>
        <v>0.97551812944520067</v>
      </c>
      <c r="AL5" s="38">
        <f>Dados!AT5/Dados!AP5</f>
        <v>-2.5096274293459599E-2</v>
      </c>
      <c r="AM5" s="38" t="e">
        <f>Dados!AU5/Dados!AW5</f>
        <v>#DIV/0!</v>
      </c>
      <c r="AN5" s="38">
        <f>Dados!AW5/Dados!AP5</f>
        <v>0</v>
      </c>
      <c r="AO5" s="37">
        <f>Dados!AX5/Dados!AQ5</f>
        <v>0</v>
      </c>
      <c r="AP5" s="39">
        <f>Dados!AX5/Dados!AV5</f>
        <v>0</v>
      </c>
    </row>
    <row r="6" spans="1:42" x14ac:dyDescent="0.25">
      <c r="A6" s="12">
        <v>28</v>
      </c>
      <c r="B6" s="13" t="s">
        <v>13</v>
      </c>
      <c r="C6" s="37">
        <f>Dados!F6/Dados!G6</f>
        <v>149.17299297610228</v>
      </c>
      <c r="D6" s="38">
        <f>Dados!H6/Dados!I6</f>
        <v>0.74115328100804712</v>
      </c>
      <c r="E6" s="38">
        <f>Dados!F6/Dados!I6</f>
        <v>0.99155557336790967</v>
      </c>
      <c r="F6" s="38">
        <f>Dados!J6/Dados!F6</f>
        <v>-8.5163422594743791E-3</v>
      </c>
      <c r="G6" s="38">
        <f>Dados!K6/Dados!M6</f>
        <v>294.43769143055385</v>
      </c>
      <c r="H6" s="38">
        <f>Dados!M6/Dados!F6</f>
        <v>1.5851835972047401E-3</v>
      </c>
      <c r="I6" s="37">
        <f>Dados!N6/Dados!G6</f>
        <v>0</v>
      </c>
      <c r="J6" s="38">
        <f>Dados!N6/Dados!L6</f>
        <v>0</v>
      </c>
      <c r="K6" s="37">
        <f>Dados!O6/Dados!P6</f>
        <v>121.54991137007099</v>
      </c>
      <c r="L6" s="38">
        <f>Dados!Q6/Dados!R6</f>
        <v>0.86459488232371262</v>
      </c>
      <c r="M6" s="38">
        <f>Dados!O6/Dados!R6</f>
        <v>1.3073137158731516</v>
      </c>
      <c r="N6" s="38">
        <f>Dados!S6/Dados!O6</f>
        <v>0.23507266246946523</v>
      </c>
      <c r="O6" s="38">
        <f>Dados!T6/Dados!V6</f>
        <v>40.28719716145163</v>
      </c>
      <c r="P6" s="38">
        <f>Dados!V6/Dados!O6</f>
        <v>1.466004992729354E-2</v>
      </c>
      <c r="Q6" s="37">
        <f>Dados!W6/Dados!P6</f>
        <v>0</v>
      </c>
      <c r="R6" s="38">
        <f>Dados!W6/Dados!U6</f>
        <v>0</v>
      </c>
      <c r="S6" s="37">
        <f>Dados!X6/Dados!Y6</f>
        <v>98.931081928762339</v>
      </c>
      <c r="T6" s="38">
        <f>Dados!Z6/Dados!AA6</f>
        <v>0.96782592045979443</v>
      </c>
      <c r="U6" s="38">
        <f>Dados!X6/Dados!AA6</f>
        <v>1.2282707370943877</v>
      </c>
      <c r="V6" s="38">
        <f>Dados!AB6/Dados!X6</f>
        <v>0.18584724865658517</v>
      </c>
      <c r="W6" s="38">
        <f>Dados!AC6/Dados!AE6</f>
        <v>15.745738008358696</v>
      </c>
      <c r="X6" s="38">
        <f>Dados!AE6/Dados!X6</f>
        <v>2.2206005940248699E-2</v>
      </c>
      <c r="Y6" s="37">
        <f>Dados!AF6/Dados!Y6</f>
        <v>0</v>
      </c>
      <c r="Z6" s="38">
        <f>Dados!AF6/Dados!AD6</f>
        <v>0</v>
      </c>
      <c r="AA6" s="37">
        <f>Dados!AG6/Dados!AH6</f>
        <v>68.22039509999864</v>
      </c>
      <c r="AB6" s="38">
        <f>Dados!AI6/Dados!AJ6</f>
        <v>0.99558674345616027</v>
      </c>
      <c r="AC6" s="38">
        <f>Dados!AG6/Dados!AJ6</f>
        <v>1.0641193073752602</v>
      </c>
      <c r="AD6" s="38">
        <f>Dados!AK6/Dados!AG6</f>
        <v>6.0255750394582884E-2</v>
      </c>
      <c r="AE6" s="38">
        <f>Dados!AL6/Dados!AN6</f>
        <v>6.6373693010429999</v>
      </c>
      <c r="AF6" s="38">
        <f>Dados!AN6/Dados!AG6</f>
        <v>3.3210694409048475E-2</v>
      </c>
      <c r="AG6" s="37">
        <f>Dados!AO6/Dados!AH6</f>
        <v>0</v>
      </c>
      <c r="AH6" s="38">
        <f>Dados!AO6/Dados!AM6</f>
        <v>0</v>
      </c>
      <c r="AI6" s="37">
        <f>Dados!AP6/Dados!AQ6</f>
        <v>47.760846711442376</v>
      </c>
      <c r="AJ6" s="38">
        <f>Dados!AR6/Dados!AS6</f>
        <v>0.97341421967852693</v>
      </c>
      <c r="AK6" s="38">
        <f>Dados!AP6/Dados!AS6</f>
        <v>1.1436009341932123</v>
      </c>
      <c r="AL6" s="38">
        <f>Dados!AT6/Dados!AP6</f>
        <v>0.11842352866428806</v>
      </c>
      <c r="AM6" s="38">
        <f>Dados!AU6/Dados!AW6</f>
        <v>5.8236485999273082</v>
      </c>
      <c r="AN6" s="38">
        <f>Dados!AW6/Dados!AP6</f>
        <v>4.1164439295787704E-2</v>
      </c>
      <c r="AO6" s="37">
        <f>Dados!AX6/Dados!AQ6</f>
        <v>0</v>
      </c>
      <c r="AP6" s="39">
        <f>Dados!AX6/Dados!AV6</f>
        <v>0</v>
      </c>
    </row>
    <row r="7" spans="1:42" x14ac:dyDescent="0.25">
      <c r="A7" s="12">
        <v>29</v>
      </c>
      <c r="B7" s="13" t="s">
        <v>14</v>
      </c>
      <c r="C7" s="37">
        <f>Dados!F7/Dados!G7</f>
        <v>141.08762263451524</v>
      </c>
      <c r="D7" s="38">
        <f>Dados!H7/Dados!I7</f>
        <v>0.92236930455590749</v>
      </c>
      <c r="E7" s="38">
        <f>Dados!F7/Dados!I7</f>
        <v>1.4088142140746547</v>
      </c>
      <c r="F7" s="38">
        <f>Dados!J7/Dados!F7</f>
        <v>0.29018319803308784</v>
      </c>
      <c r="G7" s="38">
        <f>Dados!K7/Dados!M7</f>
        <v>46.497675837415485</v>
      </c>
      <c r="H7" s="38">
        <f>Dados!M7/Dados!F7</f>
        <v>1.021520800456315E-2</v>
      </c>
      <c r="I7" s="37">
        <f>Dados!N7/Dados!G7</f>
        <v>0</v>
      </c>
      <c r="J7" s="38">
        <f>Dados!N7/Dados!L7</f>
        <v>0</v>
      </c>
      <c r="K7" s="37">
        <f>Dados!O7/Dados!P7</f>
        <v>84.098521943250489</v>
      </c>
      <c r="L7" s="38">
        <f>Dados!Q7/Dados!R7</f>
        <v>0.76632518406540695</v>
      </c>
      <c r="M7" s="38">
        <f>Dados!O7/Dados!R7</f>
        <v>1.089297186801488</v>
      </c>
      <c r="N7" s="38">
        <f>Dados!S7/Dados!O7</f>
        <v>8.1976881867924442E-2</v>
      </c>
      <c r="O7" s="38">
        <f>Dados!T7/Dados!V7</f>
        <v>60.602592963426794</v>
      </c>
      <c r="P7" s="38">
        <f>Dados!V7/Dados!O7</f>
        <v>6.7740240417194777E-3</v>
      </c>
      <c r="Q7" s="37">
        <f>Dados!W7/Dados!P7</f>
        <v>0</v>
      </c>
      <c r="R7" s="38">
        <f>Dados!W7/Dados!U7</f>
        <v>0</v>
      </c>
      <c r="S7" s="37">
        <f>Dados!X7/Dados!Y7</f>
        <v>62.810079255017293</v>
      </c>
      <c r="T7" s="38">
        <f>Dados!Z7/Dados!AA7</f>
        <v>0.97986450090413812</v>
      </c>
      <c r="U7" s="38">
        <f>Dados!X7/Dados!AA7</f>
        <v>1.3544978297182995</v>
      </c>
      <c r="V7" s="38">
        <f>Dados!AB7/Dados!X7</f>
        <v>0.26171900902345913</v>
      </c>
      <c r="W7" s="38">
        <f>Dados!AC7/Dados!AE7</f>
        <v>221.28946029487071</v>
      </c>
      <c r="X7" s="38">
        <f>Dados!AE7/Dados!X7</f>
        <v>1.3991096384807927E-3</v>
      </c>
      <c r="Y7" s="37">
        <f>Dados!AF7/Dados!Y7</f>
        <v>0</v>
      </c>
      <c r="Z7" s="38">
        <f>Dados!AF7/Dados!AD7</f>
        <v>0</v>
      </c>
      <c r="AA7" s="37">
        <f>Dados!AG7/Dados!AH7</f>
        <v>33.105997029706501</v>
      </c>
      <c r="AB7" s="38">
        <f>Dados!AI7/Dados!AJ7</f>
        <v>0.98506871965420639</v>
      </c>
      <c r="AC7" s="38">
        <f>Dados!AG7/Dados!AJ7</f>
        <v>1.0303372678314093</v>
      </c>
      <c r="AD7" s="38">
        <f>Dados!AK7/Dados!AG7</f>
        <v>2.9444016807488083E-2</v>
      </c>
      <c r="AE7" s="38">
        <f>Dados!AL7/Dados!AN7</f>
        <v>226.29762414986837</v>
      </c>
      <c r="AF7" s="38">
        <f>Dados!AN7/Dados!AG7</f>
        <v>1.2052133110319716E-3</v>
      </c>
      <c r="AG7" s="37">
        <f>Dados!AO7/Dados!AH7</f>
        <v>0</v>
      </c>
      <c r="AH7" s="38">
        <f>Dados!AO7/Dados!AM7</f>
        <v>0</v>
      </c>
      <c r="AI7" s="37">
        <f>Dados!AP7/Dados!AQ7</f>
        <v>25.454375649283193</v>
      </c>
      <c r="AJ7" s="38">
        <f>Dados!AR7/Dados!AS7</f>
        <v>0.98998414055610606</v>
      </c>
      <c r="AK7" s="38">
        <f>Dados!AP7/Dados!AS7</f>
        <v>1.0417823390809409</v>
      </c>
      <c r="AL7" s="38">
        <f>Dados!AT7/Dados!AP7</f>
        <v>4.0106591860446815E-2</v>
      </c>
      <c r="AM7" s="38">
        <f>Dados!AU7/Dados!AW7</f>
        <v>42.702597121215767</v>
      </c>
      <c r="AN7" s="38">
        <f>Dados!AW7/Dados!AP7</f>
        <v>3.2152327912023213E-3</v>
      </c>
      <c r="AO7" s="37">
        <f>Dados!AX7/Dados!AQ7</f>
        <v>0</v>
      </c>
      <c r="AP7" s="39">
        <f>Dados!AX7/Dados!AV7</f>
        <v>0</v>
      </c>
    </row>
    <row r="8" spans="1:42" x14ac:dyDescent="0.25">
      <c r="A8" s="12">
        <v>31</v>
      </c>
      <c r="B8" s="13" t="s">
        <v>15</v>
      </c>
      <c r="C8" s="37">
        <f>Dados!F8/Dados!G8</f>
        <v>113.84360896062509</v>
      </c>
      <c r="D8" s="38">
        <f>Dados!H8/Dados!I8</f>
        <v>0.80886570240992739</v>
      </c>
      <c r="E8" s="38">
        <f>Dados!F8/Dados!I8</f>
        <v>1.674189454730173</v>
      </c>
      <c r="F8" s="38">
        <f>Dados!J8/Dados!F8</f>
        <v>0.40269603468433701</v>
      </c>
      <c r="G8" s="38">
        <f>Dados!K8/Dados!M8</f>
        <v>23.976610299237972</v>
      </c>
      <c r="H8" s="38">
        <f>Dados!M8/Dados!F8</f>
        <v>2.1598212323165264E-2</v>
      </c>
      <c r="I8" s="37">
        <f>Dados!N8/Dados!G8</f>
        <v>0</v>
      </c>
      <c r="J8" s="38">
        <f>Dados!N8/Dados!L8</f>
        <v>0</v>
      </c>
      <c r="K8" s="37">
        <f>Dados!O8/Dados!P8</f>
        <v>81.067086467985689</v>
      </c>
      <c r="L8" s="38">
        <f>Dados!Q8/Dados!R8</f>
        <v>0.78585290425175491</v>
      </c>
      <c r="M8" s="38">
        <f>Dados!O8/Dados!R8</f>
        <v>1.5564724714008211</v>
      </c>
      <c r="N8" s="38">
        <f>Dados!S8/Dados!O8</f>
        <v>0.3575215634234748</v>
      </c>
      <c r="O8" s="38">
        <f>Dados!T8/Dados!V8</f>
        <v>23.743863535451755</v>
      </c>
      <c r="P8" s="38">
        <f>Dados!V8/Dados!O8</f>
        <v>2.0880113735482684E-2</v>
      </c>
      <c r="Q8" s="37">
        <f>Dados!W8/Dados!P8</f>
        <v>0</v>
      </c>
      <c r="R8" s="38">
        <f>Dados!W8/Dados!U8</f>
        <v>0</v>
      </c>
      <c r="S8" s="37">
        <f>Dados!X8/Dados!Y8</f>
        <v>60.889553739843841</v>
      </c>
      <c r="T8" s="38">
        <f>Dados!Z8/Dados!AA8</f>
        <v>0.98499430434455737</v>
      </c>
      <c r="U8" s="38">
        <f>Dados!X8/Dados!AA8</f>
        <v>1.4709890634255318</v>
      </c>
      <c r="V8" s="38">
        <f>Dados!AB8/Dados!X8</f>
        <v>0.32018529242408306</v>
      </c>
      <c r="W8" s="38">
        <f>Dados!AC8/Dados!AE8</f>
        <v>29.416035301304394</v>
      </c>
      <c r="X8" s="38">
        <f>Dados!AE8/Dados!X8</f>
        <v>1.307787319384369E-2</v>
      </c>
      <c r="Y8" s="37">
        <f>Dados!AF8/Dados!Y8</f>
        <v>0</v>
      </c>
      <c r="Z8" s="38">
        <f>Dados!AF8/Dados!AD8</f>
        <v>0</v>
      </c>
      <c r="AA8" s="37">
        <f>Dados!AG8/Dados!AH8</f>
        <v>37.591366394517614</v>
      </c>
      <c r="AB8" s="38">
        <f>Dados!AI8/Dados!AJ8</f>
        <v>0.9924794504219745</v>
      </c>
      <c r="AC8" s="38">
        <f>Dados!AG8/Dados!AJ8</f>
        <v>1.1372945920281257</v>
      </c>
      <c r="AD8" s="38">
        <f>Dados!AK8/Dados!AG8</f>
        <v>0.12072034193294603</v>
      </c>
      <c r="AE8" s="38">
        <f>Dados!AL8/Dados!AN8</f>
        <v>3.5823569663381045</v>
      </c>
      <c r="AF8" s="38">
        <f>Dados!AN8/Dados!AG8</f>
        <v>9.3652920958767261E-2</v>
      </c>
      <c r="AG8" s="37">
        <f>Dados!AO8/Dados!AH8</f>
        <v>0</v>
      </c>
      <c r="AH8" s="38">
        <f>Dados!AO8/Dados!AM8</f>
        <v>0</v>
      </c>
      <c r="AI8" s="37">
        <f>Dados!AP8/Dados!AQ8</f>
        <v>28.357114195882467</v>
      </c>
      <c r="AJ8" s="38">
        <f>Dados!AR8/Dados!AS8</f>
        <v>0.98605302283848983</v>
      </c>
      <c r="AK8" s="38">
        <f>Dados!AP8/Dados!AS8</f>
        <v>1.0588013227387358</v>
      </c>
      <c r="AL8" s="38">
        <f>Dados!AT8/Dados!AP8</f>
        <v>5.5535747336089458E-2</v>
      </c>
      <c r="AM8" s="38">
        <f>Dados!AU8/Dados!AW8</f>
        <v>3.2915996566713677</v>
      </c>
      <c r="AN8" s="38">
        <f>Dados!AW8/Dados!AP8</f>
        <v>0.10685843417136059</v>
      </c>
      <c r="AO8" s="37">
        <f>Dados!AX8/Dados!AQ8</f>
        <v>0</v>
      </c>
      <c r="AP8" s="39">
        <f>Dados!AX8/Dados!AV8</f>
        <v>0</v>
      </c>
    </row>
    <row r="9" spans="1:42" x14ac:dyDescent="0.25">
      <c r="A9" s="12">
        <v>33</v>
      </c>
      <c r="B9" s="13" t="s">
        <v>16</v>
      </c>
      <c r="C9" s="37">
        <f>Dados!F9/Dados!G9</f>
        <v>0</v>
      </c>
      <c r="D9" s="38" t="e">
        <f>Dados!H9/Dados!I9</f>
        <v>#DIV/0!</v>
      </c>
      <c r="E9" s="38" t="e">
        <f>Dados!F9/Dados!I9</f>
        <v>#DIV/0!</v>
      </c>
      <c r="F9" s="38" t="e">
        <f>Dados!J9/Dados!F9</f>
        <v>#DIV/0!</v>
      </c>
      <c r="G9" s="38" t="e">
        <f>Dados!K9/Dados!M9</f>
        <v>#DIV/0!</v>
      </c>
      <c r="H9" s="38" t="e">
        <f>Dados!M9/Dados!F9</f>
        <v>#DIV/0!</v>
      </c>
      <c r="I9" s="37">
        <f>Dados!N9/Dados!G9</f>
        <v>0</v>
      </c>
      <c r="J9" s="38" t="e">
        <f>Dados!N9/Dados!L9</f>
        <v>#DIV/0!</v>
      </c>
      <c r="K9" s="37">
        <f>Dados!O9/Dados!P9</f>
        <v>0</v>
      </c>
      <c r="L9" s="38" t="e">
        <f>Dados!Q9/Dados!R9</f>
        <v>#DIV/0!</v>
      </c>
      <c r="M9" s="38" t="e">
        <f>Dados!O9/Dados!R9</f>
        <v>#DIV/0!</v>
      </c>
      <c r="N9" s="38" t="e">
        <f>Dados!S9/Dados!O9</f>
        <v>#DIV/0!</v>
      </c>
      <c r="O9" s="38" t="e">
        <f>Dados!T9/Dados!V9</f>
        <v>#DIV/0!</v>
      </c>
      <c r="P9" s="38" t="e">
        <f>Dados!V9/Dados!O9</f>
        <v>#DIV/0!</v>
      </c>
      <c r="Q9" s="37">
        <f>Dados!W9/Dados!P9</f>
        <v>0</v>
      </c>
      <c r="R9" s="38" t="e">
        <f>Dados!W9/Dados!U9</f>
        <v>#DIV/0!</v>
      </c>
      <c r="S9" s="37">
        <f>Dados!X9/Dados!Y9</f>
        <v>0</v>
      </c>
      <c r="T9" s="38" t="e">
        <f>Dados!Z9/Dados!AA9</f>
        <v>#DIV/0!</v>
      </c>
      <c r="U9" s="38" t="e">
        <f>Dados!X9/Dados!AA9</f>
        <v>#DIV/0!</v>
      </c>
      <c r="V9" s="38" t="e">
        <f>Dados!AB9/Dados!X9</f>
        <v>#DIV/0!</v>
      </c>
      <c r="W9" s="38" t="e">
        <f>Dados!AC9/Dados!AE9</f>
        <v>#DIV/0!</v>
      </c>
      <c r="X9" s="38" t="e">
        <f>Dados!AE9/Dados!X9</f>
        <v>#DIV/0!</v>
      </c>
      <c r="Y9" s="37">
        <f>Dados!AF9/Dados!Y9</f>
        <v>0</v>
      </c>
      <c r="Z9" s="38" t="e">
        <f>Dados!AF9/Dados!AD9</f>
        <v>#DIV/0!</v>
      </c>
      <c r="AA9" s="37">
        <f>Dados!AG9/Dados!AH9</f>
        <v>19.347946229936777</v>
      </c>
      <c r="AB9" s="38">
        <f>Dados!AI9/Dados!AJ9</f>
        <v>0.96468509739002462</v>
      </c>
      <c r="AC9" s="38">
        <f>Dados!AG9/Dados!AJ9</f>
        <v>0.98531075352119535</v>
      </c>
      <c r="AD9" s="38">
        <f>Dados!AK9/Dados!AG9</f>
        <v>-1.4908237250339343E-2</v>
      </c>
      <c r="AE9" s="38">
        <f>Dados!AL9/Dados!AN9</f>
        <v>134.20372830144868</v>
      </c>
      <c r="AF9" s="38">
        <f>Dados!AN9/Dados!AG9</f>
        <v>2.3500074171304178E-3</v>
      </c>
      <c r="AG9" s="37">
        <f>Dados!AO9/Dados!AH9</f>
        <v>0</v>
      </c>
      <c r="AH9" s="38">
        <f>Dados!AO9/Dados!AM9</f>
        <v>0</v>
      </c>
      <c r="AI9" s="37">
        <f>Dados!AP9/Dados!AQ9</f>
        <v>16.012790394877715</v>
      </c>
      <c r="AJ9" s="38">
        <f>Dados!AR9/Dados!AS9</f>
        <v>0.96270633423644325</v>
      </c>
      <c r="AK9" s="38">
        <f>Dados!AP9/Dados!AS9</f>
        <v>1.1212820376655466</v>
      </c>
      <c r="AL9" s="38">
        <f>Dados!AT9/Dados!AP9</f>
        <v>0.10816372116158192</v>
      </c>
      <c r="AM9" s="38">
        <f>Dados!AU9/Dados!AW9</f>
        <v>26.740109185694056</v>
      </c>
      <c r="AN9" s="38">
        <f>Dados!AW9/Dados!AP9</f>
        <v>1.3626377462074924E-2</v>
      </c>
      <c r="AO9" s="37">
        <f>Dados!AX9/Dados!AQ9</f>
        <v>0</v>
      </c>
      <c r="AP9" s="39">
        <f>Dados!AX9/Dados!AV9</f>
        <v>0</v>
      </c>
    </row>
    <row r="10" spans="1:42" ht="25.5" x14ac:dyDescent="0.25">
      <c r="A10" s="12">
        <v>36</v>
      </c>
      <c r="B10" s="13" t="s">
        <v>17</v>
      </c>
      <c r="C10" s="37">
        <f>Dados!F10/Dados!G10</f>
        <v>61.134074331182461</v>
      </c>
      <c r="D10" s="38">
        <f>Dados!H10/Dados!I10</f>
        <v>0.97218914125299405</v>
      </c>
      <c r="E10" s="38">
        <f>Dados!F10/Dados!I10</f>
        <v>0.95479087444502875</v>
      </c>
      <c r="F10" s="38">
        <f>Dados!J10/Dados!F10</f>
        <v>-4.7349767121778526E-2</v>
      </c>
      <c r="G10" s="38">
        <f>Dados!K10/Dados!M10</f>
        <v>12.417568665406053</v>
      </c>
      <c r="H10" s="38">
        <f>Dados!M10/Dados!F10</f>
        <v>3.9151113471502602E-2</v>
      </c>
      <c r="I10" s="37">
        <f>Dados!N10/Dados!G10</f>
        <v>0</v>
      </c>
      <c r="J10" s="38">
        <f>Dados!N10/Dados!L10</f>
        <v>0</v>
      </c>
      <c r="K10" s="37">
        <f>Dados!O10/Dados!P10</f>
        <v>59.47180264388134</v>
      </c>
      <c r="L10" s="38">
        <f>Dados!Q10/Dados!R10</f>
        <v>0.98452568627913206</v>
      </c>
      <c r="M10" s="38">
        <f>Dados!O10/Dados!R10</f>
        <v>1.1374786643995032</v>
      </c>
      <c r="N10" s="38">
        <f>Dados!S10/Dados!O10</f>
        <v>0.12086263127588487</v>
      </c>
      <c r="O10" s="38">
        <f>Dados!T10/Dados!V10</f>
        <v>73.579807357749729</v>
      </c>
      <c r="P10" s="38">
        <f>Dados!V10/Dados!O10</f>
        <v>7.007186894904655E-3</v>
      </c>
      <c r="Q10" s="37">
        <f>Dados!W10/Dados!P10</f>
        <v>0</v>
      </c>
      <c r="R10" s="38">
        <f>Dados!W10/Dados!U10</f>
        <v>0</v>
      </c>
      <c r="S10" s="37">
        <f>Dados!X10/Dados!Y10</f>
        <v>11.5299269423183</v>
      </c>
      <c r="T10" s="38">
        <f>Dados!Z10/Dados!AA10</f>
        <v>0.32061169297911157</v>
      </c>
      <c r="U10" s="38">
        <f>Dados!X10/Dados!AA10</f>
        <v>0.45311475212519264</v>
      </c>
      <c r="V10" s="38">
        <f>Dados!AB10/Dados!X10</f>
        <v>-1.2069464640244298</v>
      </c>
      <c r="W10" s="38">
        <f>Dados!AC10/Dados!AE10</f>
        <v>634.25152378762186</v>
      </c>
      <c r="X10" s="38">
        <f>Dados!AE10/Dados!X10</f>
        <v>2.52329982929087E-3</v>
      </c>
      <c r="Y10" s="37">
        <f>Dados!AF10/Dados!Y10</f>
        <v>0</v>
      </c>
      <c r="Z10" s="38">
        <f>Dados!AF10/Dados!AD10</f>
        <v>0</v>
      </c>
      <c r="AA10" s="37">
        <f>Dados!AG10/Dados!AH10</f>
        <v>0</v>
      </c>
      <c r="AB10" s="38" t="e">
        <f>Dados!AI10/Dados!AJ10</f>
        <v>#DIV/0!</v>
      </c>
      <c r="AC10" s="38" t="e">
        <f>Dados!AG10/Dados!AJ10</f>
        <v>#DIV/0!</v>
      </c>
      <c r="AD10" s="38" t="e">
        <f>Dados!AK10/Dados!AG10</f>
        <v>#DIV/0!</v>
      </c>
      <c r="AE10" s="38">
        <f>Dados!AL10/Dados!AN10</f>
        <v>10549.048019516244</v>
      </c>
      <c r="AF10" s="38" t="e">
        <f>Dados!AN10/Dados!AG10</f>
        <v>#DIV/0!</v>
      </c>
      <c r="AG10" s="37">
        <f>Dados!AO10/Dados!AH10</f>
        <v>0</v>
      </c>
      <c r="AH10" s="38" t="e">
        <f>Dados!AO10/Dados!AM10</f>
        <v>#DIV/0!</v>
      </c>
      <c r="AI10" s="37">
        <f>Dados!AP10/Dados!AQ10</f>
        <v>0</v>
      </c>
      <c r="AJ10" s="38" t="e">
        <f>Dados!AR10/Dados!AS10</f>
        <v>#DIV/0!</v>
      </c>
      <c r="AK10" s="38" t="e">
        <f>Dados!AP10/Dados!AS10</f>
        <v>#DIV/0!</v>
      </c>
      <c r="AL10" s="38" t="e">
        <f>Dados!AT10/Dados!AP10</f>
        <v>#DIV/0!</v>
      </c>
      <c r="AM10" s="38" t="e">
        <f>Dados!AU10/Dados!AW10</f>
        <v>#DIV/0!</v>
      </c>
      <c r="AN10" s="38" t="e">
        <f>Dados!AW10/Dados!AP10</f>
        <v>#DIV/0!</v>
      </c>
      <c r="AO10" s="37">
        <f>Dados!AX10/Dados!AQ10</f>
        <v>0</v>
      </c>
      <c r="AP10" s="39" t="e">
        <f>Dados!AX10/Dados!AV10</f>
        <v>#DIV/0!</v>
      </c>
    </row>
    <row r="11" spans="1:42" x14ac:dyDescent="0.25">
      <c r="A11" s="12">
        <v>37</v>
      </c>
      <c r="B11" s="13" t="s">
        <v>18</v>
      </c>
      <c r="C11" s="37">
        <f>Dados!F11/Dados!G11</f>
        <v>19.787758806301536</v>
      </c>
      <c r="D11" s="38">
        <f>Dados!H11/Dados!I11</f>
        <v>1</v>
      </c>
      <c r="E11" s="38">
        <f>Dados!F11/Dados!I11</f>
        <v>0.97959102627186767</v>
      </c>
      <c r="F11" s="38">
        <f>Dados!J11/Dados!F11</f>
        <v>-2.0834177917906215E-2</v>
      </c>
      <c r="G11" s="38">
        <f>Dados!K11/Dados!M11</f>
        <v>6.0059356002806616</v>
      </c>
      <c r="H11" s="38">
        <f>Dados!M11/Dados!F11</f>
        <v>2.0442819221968153E-2</v>
      </c>
      <c r="I11" s="37">
        <f>Dados!N11/Dados!G11</f>
        <v>0</v>
      </c>
      <c r="J11" s="38">
        <f>Dados!N11/Dados!L11</f>
        <v>0</v>
      </c>
      <c r="K11" s="37">
        <f>Dados!O11/Dados!P11</f>
        <v>15.653825914262567</v>
      </c>
      <c r="L11" s="38">
        <f>Dados!Q11/Dados!R11</f>
        <v>0.99746279844128538</v>
      </c>
      <c r="M11" s="38">
        <f>Dados!O11/Dados!R11</f>
        <v>1.0476682406283242</v>
      </c>
      <c r="N11" s="38">
        <f>Dados!S11/Dados!O11</f>
        <v>4.5499365905886172E-2</v>
      </c>
      <c r="O11" s="38">
        <f>Dados!T11/Dados!V11</f>
        <v>1.6183073418441556</v>
      </c>
      <c r="P11" s="38">
        <f>Dados!V11/Dados!O11</f>
        <v>9.6841776542759189E-2</v>
      </c>
      <c r="Q11" s="37">
        <f>Dados!W11/Dados!P11</f>
        <v>0</v>
      </c>
      <c r="R11" s="38">
        <f>Dados!W11/Dados!U11</f>
        <v>0</v>
      </c>
      <c r="S11" s="37">
        <f>Dados!X11/Dados!Y11</f>
        <v>0</v>
      </c>
      <c r="T11" s="38" t="e">
        <f>Dados!Z11/Dados!AA11</f>
        <v>#DIV/0!</v>
      </c>
      <c r="U11" s="38" t="e">
        <f>Dados!X11/Dados!AA11</f>
        <v>#DIV/0!</v>
      </c>
      <c r="V11" s="38" t="e">
        <f>Dados!AB11/Dados!X11</f>
        <v>#DIV/0!</v>
      </c>
      <c r="W11" s="38" t="e">
        <f>Dados!AC11/Dados!AE11</f>
        <v>#DIV/0!</v>
      </c>
      <c r="X11" s="38" t="e">
        <f>Dados!AE11/Dados!X11</f>
        <v>#DIV/0!</v>
      </c>
      <c r="Y11" s="37">
        <f>Dados!AF11/Dados!Y11</f>
        <v>0</v>
      </c>
      <c r="Z11" s="38" t="e">
        <f>Dados!AF11/Dados!AD11</f>
        <v>#DIV/0!</v>
      </c>
      <c r="AA11" s="37">
        <f>Dados!AG11/Dados!AH11</f>
        <v>0</v>
      </c>
      <c r="AB11" s="38" t="e">
        <f>Dados!AI11/Dados!AJ11</f>
        <v>#DIV/0!</v>
      </c>
      <c r="AC11" s="38" t="e">
        <f>Dados!AG11/Dados!AJ11</f>
        <v>#DIV/0!</v>
      </c>
      <c r="AD11" s="38" t="e">
        <f>Dados!AK11/Dados!AG11</f>
        <v>#DIV/0!</v>
      </c>
      <c r="AE11" s="38" t="e">
        <f>Dados!AL11/Dados!AN11</f>
        <v>#DIV/0!</v>
      </c>
      <c r="AF11" s="38" t="e">
        <f>Dados!AN11/Dados!AG11</f>
        <v>#DIV/0!</v>
      </c>
      <c r="AG11" s="37">
        <f>Dados!AO11/Dados!AH11</f>
        <v>0</v>
      </c>
      <c r="AH11" s="38" t="e">
        <f>Dados!AO11/Dados!AM11</f>
        <v>#DIV/0!</v>
      </c>
      <c r="AI11" s="37">
        <f>Dados!AP11/Dados!AQ11</f>
        <v>0</v>
      </c>
      <c r="AJ11" s="38" t="e">
        <f>Dados!AR11/Dados!AS11</f>
        <v>#DIV/0!</v>
      </c>
      <c r="AK11" s="38" t="e">
        <f>Dados!AP11/Dados!AS11</f>
        <v>#DIV/0!</v>
      </c>
      <c r="AL11" s="38" t="e">
        <f>Dados!AT11/Dados!AP11</f>
        <v>#DIV/0!</v>
      </c>
      <c r="AM11" s="38" t="e">
        <f>Dados!AU11/Dados!AW11</f>
        <v>#DIV/0!</v>
      </c>
      <c r="AN11" s="38" t="e">
        <f>Dados!AW11/Dados!AP11</f>
        <v>#DIV/0!</v>
      </c>
      <c r="AO11" s="37">
        <f>Dados!AX11/Dados!AQ11</f>
        <v>0</v>
      </c>
      <c r="AP11" s="39" t="e">
        <f>Dados!AX11/Dados!AV11</f>
        <v>#DIV/0!</v>
      </c>
    </row>
    <row r="12" spans="1:42" x14ac:dyDescent="0.25">
      <c r="A12" s="12">
        <v>39</v>
      </c>
      <c r="B12" s="13" t="s">
        <v>19</v>
      </c>
      <c r="C12" s="37">
        <f>Dados!F12/Dados!G12</f>
        <v>123.45463437118983</v>
      </c>
      <c r="D12" s="38">
        <f>Dados!H12/Dados!I12</f>
        <v>0.79776563564335268</v>
      </c>
      <c r="E12" s="38">
        <f>Dados!F12/Dados!I12</f>
        <v>2.4677844908456357</v>
      </c>
      <c r="F12" s="38">
        <f>Dados!J12/Dados!F12</f>
        <v>0.59477822974025973</v>
      </c>
      <c r="G12" s="38">
        <f>Dados!K12/Dados!M12</f>
        <v>42.17962816656587</v>
      </c>
      <c r="H12" s="38">
        <f>Dados!M12/Dados!F12</f>
        <v>1.6695941105046359E-2</v>
      </c>
      <c r="I12" s="37">
        <f>Dados!N12/Dados!G12</f>
        <v>0</v>
      </c>
      <c r="J12" s="38">
        <f>Dados!N12/Dados!L12</f>
        <v>0</v>
      </c>
      <c r="K12" s="37">
        <f>Dados!O12/Dados!P12</f>
        <v>38.496369253663744</v>
      </c>
      <c r="L12" s="38">
        <f>Dados!Q12/Dados!R12</f>
        <v>0.98399691726107741</v>
      </c>
      <c r="M12" s="38">
        <f>Dados!O12/Dados!R12</f>
        <v>0.71464137275953543</v>
      </c>
      <c r="N12" s="38">
        <f>Dados!S12/Dados!O12</f>
        <v>-0.3993032563152244</v>
      </c>
      <c r="O12" s="38">
        <f>Dados!T12/Dados!V12</f>
        <v>1.7945236108793592</v>
      </c>
      <c r="P12" s="38">
        <f>Dados!V12/Dados!O12</f>
        <v>5.7917431211857842E-2</v>
      </c>
      <c r="Q12" s="37">
        <f>Dados!W12/Dados!P12</f>
        <v>0</v>
      </c>
      <c r="R12" s="38">
        <f>Dados!W12/Dados!U12</f>
        <v>0</v>
      </c>
      <c r="S12" s="37">
        <f>Dados!X12/Dados!Y12</f>
        <v>45.151685050540877</v>
      </c>
      <c r="T12" s="38">
        <f>Dados!Z12/Dados!AA12</f>
        <v>1</v>
      </c>
      <c r="U12" s="38">
        <f>Dados!X12/Dados!AA12</f>
        <v>1.1475783129281683</v>
      </c>
      <c r="V12" s="38">
        <f>Dados!AB12/Dados!X12</f>
        <v>0.12859977507905884</v>
      </c>
      <c r="W12" s="38">
        <f>Dados!AC12/Dados!AE12</f>
        <v>16.118240972951199</v>
      </c>
      <c r="X12" s="38">
        <f>Dados!AE12/Dados!X12</f>
        <v>3.2483965930811799E-2</v>
      </c>
      <c r="Y12" s="37">
        <f>Dados!AF12/Dados!Y12</f>
        <v>0</v>
      </c>
      <c r="Z12" s="38">
        <f>Dados!AF12/Dados!AD12</f>
        <v>0</v>
      </c>
      <c r="AA12" s="37">
        <f>Dados!AG12/Dados!AH12</f>
        <v>0</v>
      </c>
      <c r="AB12" s="38" t="e">
        <f>Dados!AI12/Dados!AJ12</f>
        <v>#DIV/0!</v>
      </c>
      <c r="AC12" s="38" t="e">
        <f>Dados!AG12/Dados!AJ12</f>
        <v>#DIV/0!</v>
      </c>
      <c r="AD12" s="38" t="e">
        <f>Dados!AK12/Dados!AG12</f>
        <v>#DIV/0!</v>
      </c>
      <c r="AE12" s="38" t="e">
        <f>Dados!AL12/Dados!AN12</f>
        <v>#DIV/0!</v>
      </c>
      <c r="AF12" s="38" t="e">
        <f>Dados!AN12/Dados!AG12</f>
        <v>#DIV/0!</v>
      </c>
      <c r="AG12" s="37">
        <f>Dados!AO12/Dados!AH12</f>
        <v>0</v>
      </c>
      <c r="AH12" s="38" t="e">
        <f>Dados!AO12/Dados!AM12</f>
        <v>#DIV/0!</v>
      </c>
      <c r="AI12" s="37">
        <f>Dados!AP12/Dados!AQ12</f>
        <v>0</v>
      </c>
      <c r="AJ12" s="38" t="e">
        <f>Dados!AR12/Dados!AS12</f>
        <v>#DIV/0!</v>
      </c>
      <c r="AK12" s="38" t="e">
        <f>Dados!AP12/Dados!AS12</f>
        <v>#DIV/0!</v>
      </c>
      <c r="AL12" s="38" t="e">
        <f>Dados!AT12/Dados!AP12</f>
        <v>#DIV/0!</v>
      </c>
      <c r="AM12" s="38" t="e">
        <f>Dados!AU12/Dados!AW12</f>
        <v>#DIV/0!</v>
      </c>
      <c r="AN12" s="38" t="e">
        <f>Dados!AW12/Dados!AP12</f>
        <v>#DIV/0!</v>
      </c>
      <c r="AO12" s="37">
        <f>Dados!AX12/Dados!AQ12</f>
        <v>0</v>
      </c>
      <c r="AP12" s="39" t="e">
        <f>Dados!AX12/Dados!AV12</f>
        <v>#DIV/0!</v>
      </c>
    </row>
    <row r="13" spans="1:42" ht="25.5" x14ac:dyDescent="0.25">
      <c r="A13" s="12">
        <v>41</v>
      </c>
      <c r="B13" s="13" t="s">
        <v>20</v>
      </c>
      <c r="C13" s="37">
        <f>Dados!F13/Dados!G13</f>
        <v>412.47529127204331</v>
      </c>
      <c r="D13" s="38">
        <f>Dados!H13/Dados!I13</f>
        <v>0.92680335197092656</v>
      </c>
      <c r="E13" s="38">
        <f>Dados!F13/Dados!I13</f>
        <v>1.1939180903302598</v>
      </c>
      <c r="F13" s="38">
        <f>Dados!J13/Dados!F13</f>
        <v>0.16242160320782004</v>
      </c>
      <c r="G13" s="38">
        <f>Dados!K13/Dados!M13</f>
        <v>6.1431975197794229</v>
      </c>
      <c r="H13" s="38">
        <f>Dados!M13/Dados!F13</f>
        <v>3.2326428950992643E-2</v>
      </c>
      <c r="I13" s="37">
        <f>Dados!N13/Dados!G13</f>
        <v>0</v>
      </c>
      <c r="J13" s="38">
        <f>Dados!N13/Dados!L13</f>
        <v>0</v>
      </c>
      <c r="K13" s="37">
        <f>Dados!O13/Dados!P13</f>
        <v>231.45549206551405</v>
      </c>
      <c r="L13" s="38">
        <f>Dados!Q13/Dados!R13</f>
        <v>0.98612613032667806</v>
      </c>
      <c r="M13" s="38">
        <f>Dados!O13/Dados!R13</f>
        <v>1.0744024746100458</v>
      </c>
      <c r="N13" s="38">
        <f>Dados!S13/Dados!O13</f>
        <v>6.9250096093691607E-2</v>
      </c>
      <c r="O13" s="38">
        <f>Dados!T13/Dados!V13</f>
        <v>4.1574649559688055</v>
      </c>
      <c r="P13" s="38">
        <f>Dados!V13/Dados!O13</f>
        <v>1.5819072488117078E-2</v>
      </c>
      <c r="Q13" s="37">
        <f>Dados!W13/Dados!P13</f>
        <v>0.53039199643327839</v>
      </c>
      <c r="R13" s="38">
        <f>Dados!W13/Dados!U13</f>
        <v>2.4598947350420474E-3</v>
      </c>
      <c r="S13" s="37">
        <f>Dados!X13/Dados!Y13</f>
        <v>185.84368883915863</v>
      </c>
      <c r="T13" s="38">
        <f>Dados!Z13/Dados!AA13</f>
        <v>0.99899016775414651</v>
      </c>
      <c r="U13" s="38">
        <f>Dados!X13/Dados!AA13</f>
        <v>1.0246987673407708</v>
      </c>
      <c r="V13" s="38">
        <f>Dados!AB13/Dados!X13</f>
        <v>2.4103442033864598E-2</v>
      </c>
      <c r="W13" s="38">
        <f>Dados!AC13/Dados!AE13</f>
        <v>0.78701703578860738</v>
      </c>
      <c r="X13" s="38">
        <f>Dados!AE13/Dados!X13</f>
        <v>1.8388819455713485E-2</v>
      </c>
      <c r="Y13" s="37">
        <f>Dados!AF13/Dados!Y13</f>
        <v>0.30650800427941854</v>
      </c>
      <c r="Z13" s="38">
        <f>Dados!AF13/Dados!AD13</f>
        <v>1.655434228226692E-3</v>
      </c>
      <c r="AA13" s="37">
        <f>Dados!AG13/Dados!AH13</f>
        <v>138.69521887888783</v>
      </c>
      <c r="AB13" s="38">
        <f>Dados!AI13/Dados!AJ13</f>
        <v>0.99632332129459833</v>
      </c>
      <c r="AC13" s="38">
        <f>Dados!AG13/Dados!AJ13</f>
        <v>1.0123366005363952</v>
      </c>
      <c r="AD13" s="38">
        <f>Dados!AK13/Dados!AG13</f>
        <v>1.2186263471910768E-2</v>
      </c>
      <c r="AE13" s="38">
        <f>Dados!AL13/Dados!AN13</f>
        <v>0.50656634649458965</v>
      </c>
      <c r="AF13" s="38">
        <f>Dados!AN13/Dados!AG13</f>
        <v>2.5421543120729657E-2</v>
      </c>
      <c r="AG13" s="37">
        <f>Dados!AO13/Dados!AH13</f>
        <v>0.17247887407028703</v>
      </c>
      <c r="AH13" s="38">
        <f>Dados!AO13/Dados!AM13</f>
        <v>1.2444155892943338E-3</v>
      </c>
      <c r="AI13" s="37">
        <f>Dados!AP13/Dados!AQ13</f>
        <v>143.21338735664864</v>
      </c>
      <c r="AJ13" s="38">
        <f>Dados!AR13/Dados!AS13</f>
        <v>0.99591494708729511</v>
      </c>
      <c r="AK13" s="38">
        <f>Dados!AP13/Dados!AS13</f>
        <v>1.0406774949965867</v>
      </c>
      <c r="AL13" s="38">
        <f>Dados!AT13/Dados!AP13</f>
        <v>3.9087512886708732E-2</v>
      </c>
      <c r="AM13" s="38">
        <f>Dados!AU13/Dados!AW13</f>
        <v>4.0353104814246183</v>
      </c>
      <c r="AN13" s="38">
        <f>Dados!AW13/Dados!AP13</f>
        <v>1.2740122354753093E-2</v>
      </c>
      <c r="AO13" s="37">
        <f>Dados!AX13/Dados!AQ13</f>
        <v>0.59074350354301519</v>
      </c>
      <c r="AP13" s="39">
        <f>Dados!AX13/Dados!AV13</f>
        <v>4.1249181689409289E-3</v>
      </c>
    </row>
    <row r="14" spans="1:42" ht="25.5" x14ac:dyDescent="0.25">
      <c r="A14" s="12">
        <v>53</v>
      </c>
      <c r="B14" s="13" t="s">
        <v>21</v>
      </c>
      <c r="C14" s="37">
        <f>Dados!F14/Dados!G14</f>
        <v>0.2972213453899481</v>
      </c>
      <c r="D14" s="38">
        <f>Dados!H14/Dados!I14</f>
        <v>0.90257791694178235</v>
      </c>
      <c r="E14" s="38">
        <f>Dados!F14/Dados!I14</f>
        <v>0.88779128525284179</v>
      </c>
      <c r="F14" s="38">
        <f>Dados!J14/Dados!F14</f>
        <v>-0.12639087205637684</v>
      </c>
      <c r="G14" s="38">
        <f>Dados!K14/Dados!M14</f>
        <v>3.4187612380888273</v>
      </c>
      <c r="H14" s="38">
        <f>Dados!M14/Dados!F14</f>
        <v>2.8715112577734687E-2</v>
      </c>
      <c r="I14" s="37">
        <f>Dados!N14/Dados!G14</f>
        <v>2.7191403155365199E-2</v>
      </c>
      <c r="J14" s="38">
        <f>Dados!N14/Dados!L14</f>
        <v>9.1485364618381151E-2</v>
      </c>
      <c r="K14" s="37">
        <f>Dados!O14/Dados!P14</f>
        <v>0.34843856401170908</v>
      </c>
      <c r="L14" s="38">
        <f>Dados!Q14/Dados!R14</f>
        <v>0.88714441185479087</v>
      </c>
      <c r="M14" s="38">
        <f>Dados!O14/Dados!R14</f>
        <v>1.0963675752564117</v>
      </c>
      <c r="N14" s="38">
        <f>Dados!S14/Dados!O14</f>
        <v>8.7897140914509383E-2</v>
      </c>
      <c r="O14" s="38">
        <f>Dados!T14/Dados!V14</f>
        <v>7.0576661802291998</v>
      </c>
      <c r="P14" s="38">
        <f>Dados!V14/Dados!O14</f>
        <v>2.731396412020394E-2</v>
      </c>
      <c r="Q14" s="37">
        <f>Dados!W14/Dados!P14</f>
        <v>5.0445024462620398E-2</v>
      </c>
      <c r="R14" s="38">
        <f>Dados!W14/Dados!U14</f>
        <v>0.14477451600599878</v>
      </c>
      <c r="S14" s="37">
        <f>Dados!X14/Dados!Y14</f>
        <v>0.27295599940348575</v>
      </c>
      <c r="T14" s="38">
        <f>Dados!Z14/Dados!AA14</f>
        <v>0.88969793282219445</v>
      </c>
      <c r="U14" s="38">
        <f>Dados!X14/Dados!AA14</f>
        <v>0.86471057864656409</v>
      </c>
      <c r="V14" s="38">
        <f>Dados!AB14/Dados!X14</f>
        <v>-0.15645630421821524</v>
      </c>
      <c r="W14" s="38">
        <f>Dados!AC14/Dados!AE14</f>
        <v>60.731618682021747</v>
      </c>
      <c r="X14" s="38">
        <f>Dados!AE14/Dados!X14</f>
        <v>2.0593398501123129E-3</v>
      </c>
      <c r="Y14" s="37">
        <f>Dados!AF14/Dados!Y14</f>
        <v>5.5444169576911256E-2</v>
      </c>
      <c r="Z14" s="38">
        <f>Dados!AF14/Dados!AD14</f>
        <v>0.20312493478098365</v>
      </c>
      <c r="AA14" s="37">
        <f>Dados!AG14/Dados!AH14</f>
        <v>0.30807153806614135</v>
      </c>
      <c r="AB14" s="38">
        <f>Dados!AI14/Dados!AJ14</f>
        <v>0.94411050581452627</v>
      </c>
      <c r="AC14" s="38">
        <f>Dados!AG14/Dados!AJ14</f>
        <v>1.1424517725646717</v>
      </c>
      <c r="AD14" s="38">
        <f>Dados!AK14/Dados!AG14</f>
        <v>0.12468952824580405</v>
      </c>
      <c r="AE14" s="38">
        <f>Dados!AL14/Dados!AN14</f>
        <v>2.1196335338864021</v>
      </c>
      <c r="AF14" s="38">
        <f>Dados!AN14/Dados!AG14</f>
        <v>0.13130129955795483</v>
      </c>
      <c r="AG14" s="37">
        <f>Dados!AO14/Dados!AH14</f>
        <v>5.7516882284570012E-2</v>
      </c>
      <c r="AH14" s="38">
        <f>Dados!AO14/Dados!AM14</f>
        <v>0.18669976021031012</v>
      </c>
      <c r="AI14" s="37">
        <f>Dados!AP14/Dados!AQ14</f>
        <v>0.21964175941773442</v>
      </c>
      <c r="AJ14" s="38">
        <f>Dados!AR14/Dados!AS14</f>
        <v>0.97805806822226049</v>
      </c>
      <c r="AK14" s="38">
        <f>Dados!AP14/Dados!AS14</f>
        <v>0.87811180245873766</v>
      </c>
      <c r="AL14" s="38">
        <f>Dados!AT14/Dados!AP14</f>
        <v>-0.13880715098005966</v>
      </c>
      <c r="AM14" s="38">
        <f>Dados!AU14/Dados!AW14</f>
        <v>0.15552766995783671</v>
      </c>
      <c r="AN14" s="38">
        <f>Dados!AW14/Dados!AP14</f>
        <v>0.34262326273699589</v>
      </c>
      <c r="AO14" s="37">
        <f>Dados!AX14/Dados!AQ14</f>
        <v>2.3179882664104156E-2</v>
      </c>
      <c r="AP14" s="39">
        <f>Dados!AX14/Dados!AV14</f>
        <v>0.10553495257711251</v>
      </c>
    </row>
    <row r="15" spans="1:42" x14ac:dyDescent="0.25">
      <c r="A15" s="12">
        <v>71</v>
      </c>
      <c r="B15" s="13" t="s">
        <v>22</v>
      </c>
      <c r="C15" s="37">
        <f>Dados!F15/Dados!G15</f>
        <v>283.52432652695063</v>
      </c>
      <c r="D15" s="38">
        <f>Dados!H15/Dados!I15</f>
        <v>0.99594057260354307</v>
      </c>
      <c r="E15" s="38">
        <f>Dados!F15/Dados!I15</f>
        <v>1.0226274334534127</v>
      </c>
      <c r="F15" s="38">
        <f>Dados!J15/Dados!F15</f>
        <v>2.2126761627154708E-2</v>
      </c>
      <c r="G15" s="38">
        <f>Dados!K15/Dados!M15</f>
        <v>19.858161890692539</v>
      </c>
      <c r="H15" s="38">
        <f>Dados!M15/Dados!F15</f>
        <v>2.1129822271314124E-3</v>
      </c>
      <c r="I15" s="37">
        <f>Dados!N15/Dados!G15</f>
        <v>2.536106077439567</v>
      </c>
      <c r="J15" s="38">
        <f>Dados!N15/Dados!L15</f>
        <v>8.9449329040148361E-3</v>
      </c>
      <c r="K15" s="37">
        <f>Dados!O15/Dados!P15</f>
        <v>249.41569677827783</v>
      </c>
      <c r="L15" s="38">
        <f>Dados!Q15/Dados!R15</f>
        <v>0.99096274908035165</v>
      </c>
      <c r="M15" s="38">
        <f>Dados!O15/Dados!R15</f>
        <v>0.99640490815839577</v>
      </c>
      <c r="N15" s="38">
        <f>Dados!S15/Dados!O15</f>
        <v>-3.6080631600346703E-3</v>
      </c>
      <c r="O15" s="38">
        <f>Dados!T15/Dados!V15</f>
        <v>2.3088887693362707</v>
      </c>
      <c r="P15" s="38">
        <f>Dados!V15/Dados!O15</f>
        <v>1.5348573156844564E-2</v>
      </c>
      <c r="Q15" s="37">
        <f>Dados!W15/Dados!P15</f>
        <v>3.3300656455142237</v>
      </c>
      <c r="R15" s="38">
        <f>Dados!W15/Dados!U15</f>
        <v>1.3351467804668846E-2</v>
      </c>
      <c r="S15" s="37">
        <f>Dados!X15/Dados!Y15</f>
        <v>191.54732665930186</v>
      </c>
      <c r="T15" s="38">
        <f>Dados!Z15/Dados!AA15</f>
        <v>0.98529663528393541</v>
      </c>
      <c r="U15" s="38">
        <f>Dados!X15/Dados!AA15</f>
        <v>1.0222725404606428</v>
      </c>
      <c r="V15" s="38">
        <f>Dados!AB15/Dados!X15</f>
        <v>2.178728233334579E-2</v>
      </c>
      <c r="W15" s="38">
        <f>Dados!AC15/Dados!AE15</f>
        <v>4.6389788054142906</v>
      </c>
      <c r="X15" s="38">
        <f>Dados!AE15/Dados!X15</f>
        <v>8.9404285150617505E-3</v>
      </c>
      <c r="Y15" s="37">
        <f>Dados!AF15/Dados!Y15</f>
        <v>7.3142208331332021</v>
      </c>
      <c r="Z15" s="38">
        <f>Dados!AF15/Dados!AD15</f>
        <v>3.8184927770580357E-2</v>
      </c>
      <c r="AA15" s="37">
        <f>Dados!AG15/Dados!AH15</f>
        <v>138.64723787563631</v>
      </c>
      <c r="AB15" s="38">
        <f>Dados!AI15/Dados!AJ15</f>
        <v>0.96855808374309205</v>
      </c>
      <c r="AC15" s="38">
        <f>Dados!AG15/Dados!AJ15</f>
        <v>1.0036596839626</v>
      </c>
      <c r="AD15" s="38">
        <f>Dados!AK15/Dados!AG15</f>
        <v>3.6463395123644622E-3</v>
      </c>
      <c r="AE15" s="38">
        <f>Dados!AL15/Dados!AN15</f>
        <v>2.0434669783654047</v>
      </c>
      <c r="AF15" s="38">
        <f>Dados!AN15/Dados!AG15</f>
        <v>2.2687733939114153E-2</v>
      </c>
      <c r="AG15" s="37">
        <f>Dados!AO15/Dados!AH15</f>
        <v>9.4838483222945964</v>
      </c>
      <c r="AH15" s="38">
        <f>Dados!AO15/Dados!AM15</f>
        <v>6.8402720945666518E-2</v>
      </c>
      <c r="AI15" s="37">
        <f>Dados!AP15/Dados!AQ15</f>
        <v>0</v>
      </c>
      <c r="AJ15" s="38" t="e">
        <f>Dados!AR15/Dados!AS15</f>
        <v>#DIV/0!</v>
      </c>
      <c r="AK15" s="38" t="e">
        <f>Dados!AP15/Dados!AS15</f>
        <v>#DIV/0!</v>
      </c>
      <c r="AL15" s="38" t="e">
        <f>Dados!AT15/Dados!AP15</f>
        <v>#DIV/0!</v>
      </c>
      <c r="AM15" s="38">
        <f>Dados!AU15/Dados!AW15</f>
        <v>1.621693452988592</v>
      </c>
      <c r="AN15" s="38" t="e">
        <f>Dados!AW15/Dados!AP15</f>
        <v>#DIV/0!</v>
      </c>
      <c r="AO15" s="37">
        <f>Dados!AX15/Dados!AQ15</f>
        <v>14.901799874784141</v>
      </c>
      <c r="AP15" s="39" t="e">
        <f>Dados!AX15/Dados!AV15</f>
        <v>#DIV/0!</v>
      </c>
    </row>
    <row r="16" spans="1:42" x14ac:dyDescent="0.25">
      <c r="A16" s="12">
        <v>73</v>
      </c>
      <c r="B16" s="13" t="s">
        <v>23</v>
      </c>
      <c r="C16" s="37">
        <f>Dados!F16/Dados!G16</f>
        <v>134.94243871331611</v>
      </c>
      <c r="D16" s="38">
        <f>Dados!H16/Dados!I16</f>
        <v>0.99452401708054539</v>
      </c>
      <c r="E16" s="38">
        <f>Dados!F16/Dados!I16</f>
        <v>1.0145957353706165</v>
      </c>
      <c r="F16" s="38">
        <f>Dados!J16/Dados!F16</f>
        <v>1.438576455802359E-2</v>
      </c>
      <c r="G16" s="38">
        <f>Dados!K16/Dados!M16</f>
        <v>1.3208194530735671</v>
      </c>
      <c r="H16" s="38">
        <f>Dados!M16/Dados!F16</f>
        <v>9.0265817065070739E-2</v>
      </c>
      <c r="I16" s="37">
        <f>Dados!N16/Dados!G16</f>
        <v>0</v>
      </c>
      <c r="J16" s="38">
        <f>Dados!N16/Dados!L16</f>
        <v>0</v>
      </c>
      <c r="K16" s="37">
        <f>Dados!O16/Dados!P16</f>
        <v>122.54619849697033</v>
      </c>
      <c r="L16" s="38">
        <f>Dados!Q16/Dados!R16</f>
        <v>0.99549789913280151</v>
      </c>
      <c r="M16" s="38">
        <f>Dados!O16/Dados!R16</f>
        <v>1.0146701661723005</v>
      </c>
      <c r="N16" s="38">
        <f>Dados!S16/Dados!O16</f>
        <v>1.4458063971311661E-2</v>
      </c>
      <c r="O16" s="38">
        <f>Dados!T16/Dados!V16</f>
        <v>1.9691188025422626</v>
      </c>
      <c r="P16" s="38">
        <f>Dados!V16/Dados!O16</f>
        <v>1.9848347470155264E-2</v>
      </c>
      <c r="Q16" s="37">
        <f>Dados!W16/Dados!P16</f>
        <v>0</v>
      </c>
      <c r="R16" s="38">
        <f>Dados!W16/Dados!U16</f>
        <v>0</v>
      </c>
      <c r="S16" s="37">
        <f>Dados!X16/Dados!Y16</f>
        <v>104.80079234121051</v>
      </c>
      <c r="T16" s="38">
        <f>Dados!Z16/Dados!AA16</f>
        <v>0.99319133498929135</v>
      </c>
      <c r="U16" s="38">
        <f>Dados!X16/Dados!AA16</f>
        <v>1.0046116744713711</v>
      </c>
      <c r="V16" s="38">
        <f>Dados!AB16/Dados!X16</f>
        <v>4.5905045586870554E-3</v>
      </c>
      <c r="W16" s="38">
        <f>Dados!AC16/Dados!AE16</f>
        <v>1.2406922172534187</v>
      </c>
      <c r="X16" s="38">
        <f>Dados!AE16/Dados!X16</f>
        <v>2.3122361007610816E-2</v>
      </c>
      <c r="Y16" s="37">
        <f>Dados!AF16/Dados!Y16</f>
        <v>0</v>
      </c>
      <c r="Z16" s="38">
        <f>Dados!AF16/Dados!AD16</f>
        <v>0</v>
      </c>
      <c r="AA16" s="37">
        <f>Dados!AG16/Dados!AH16</f>
        <v>94.850733175742903</v>
      </c>
      <c r="AB16" s="38">
        <f>Dados!AI16/Dados!AJ16</f>
        <v>0.98622816910685485</v>
      </c>
      <c r="AC16" s="38">
        <f>Dados!AG16/Dados!AJ16</f>
        <v>1.0003821425947093</v>
      </c>
      <c r="AD16" s="38">
        <f>Dados!AK16/Dados!AG16</f>
        <v>3.8199661753068366E-4</v>
      </c>
      <c r="AE16" s="38">
        <f>Dados!AL16/Dados!AN16</f>
        <v>1.0421612559395601</v>
      </c>
      <c r="AF16" s="38">
        <f>Dados!AN16/Dados!AG16</f>
        <v>2.5452747732793487E-2</v>
      </c>
      <c r="AG16" s="37">
        <f>Dados!AO16/Dados!AH16</f>
        <v>1.0940378850772847</v>
      </c>
      <c r="AH16" s="38">
        <f>Dados!AO16/Dados!AM16</f>
        <v>1.1534311316816195E-2</v>
      </c>
      <c r="AI16" s="37">
        <f>Dados!AP16/Dados!AQ16</f>
        <v>87.690184796197471</v>
      </c>
      <c r="AJ16" s="38">
        <f>Dados!AR16/Dados!AS16</f>
        <v>0.99044182325235341</v>
      </c>
      <c r="AK16" s="38">
        <f>Dados!AP16/Dados!AS16</f>
        <v>1.0159673721091236</v>
      </c>
      <c r="AL16" s="38">
        <f>Dados!AT16/Dados!AP16</f>
        <v>1.57164221484551E-2</v>
      </c>
      <c r="AM16" s="38">
        <f>Dados!AU16/Dados!AW16</f>
        <v>1.0271531860234577</v>
      </c>
      <c r="AN16" s="38">
        <f>Dados!AW16/Dados!AP16</f>
        <v>2.7568540393184831E-2</v>
      </c>
      <c r="AO16" s="37">
        <f>Dados!AX16/Dados!AQ16</f>
        <v>0</v>
      </c>
      <c r="AP16" s="39">
        <f>Dados!AX16/Dados!AV16</f>
        <v>0</v>
      </c>
    </row>
    <row r="17" spans="1:42" x14ac:dyDescent="0.25">
      <c r="A17" s="12">
        <v>74</v>
      </c>
      <c r="B17" s="13" t="s">
        <v>24</v>
      </c>
      <c r="C17" s="37">
        <f>Dados!F17/Dados!G17</f>
        <v>1.0194293181358334</v>
      </c>
      <c r="D17" s="38">
        <f>Dados!H17/Dados!I17</f>
        <v>0.9921939097046385</v>
      </c>
      <c r="E17" s="38">
        <f>Dados!F17/Dados!I17</f>
        <v>0.70336612573757085</v>
      </c>
      <c r="F17" s="38">
        <f>Dados!J17/Dados!F17</f>
        <v>-0.42173466052458808</v>
      </c>
      <c r="G17" s="38">
        <f>Dados!K17/Dados!M17</f>
        <v>29.719268089078781</v>
      </c>
      <c r="H17" s="38">
        <f>Dados!M17/Dados!F17</f>
        <v>3.6852934637421834E-2</v>
      </c>
      <c r="I17" s="37">
        <f>Dados!N17/Dados!G17</f>
        <v>0</v>
      </c>
      <c r="J17" s="38">
        <f>Dados!N17/Dados!L17</f>
        <v>0</v>
      </c>
      <c r="K17" s="37">
        <f>Dados!O17/Dados!P17</f>
        <v>1.6328788658198214</v>
      </c>
      <c r="L17" s="38">
        <f>Dados!Q17/Dados!R17</f>
        <v>0.98042307414788632</v>
      </c>
      <c r="M17" s="38">
        <f>Dados!O17/Dados!R17</f>
        <v>1.9319115317921685</v>
      </c>
      <c r="N17" s="38">
        <f>Dados!S17/Dados!O17</f>
        <v>0.48237795388470295</v>
      </c>
      <c r="O17" s="38">
        <f>Dados!T17/Dados!V17</f>
        <v>48.322109974532744</v>
      </c>
      <c r="P17" s="38">
        <f>Dados!V17/Dados!O17</f>
        <v>1.9553998396102602E-2</v>
      </c>
      <c r="Q17" s="37">
        <f>Dados!W17/Dados!P17</f>
        <v>0</v>
      </c>
      <c r="R17" s="38">
        <f>Dados!W17/Dados!U17</f>
        <v>0</v>
      </c>
      <c r="S17" s="37">
        <f>Dados!X17/Dados!Y17</f>
        <v>0</v>
      </c>
      <c r="T17" s="38" t="e">
        <f>Dados!Z17/Dados!AA17</f>
        <v>#DIV/0!</v>
      </c>
      <c r="U17" s="38" t="e">
        <f>Dados!X17/Dados!AA17</f>
        <v>#DIV/0!</v>
      </c>
      <c r="V17" s="38" t="e">
        <f>Dados!AB17/Dados!X17</f>
        <v>#DIV/0!</v>
      </c>
      <c r="W17" s="38">
        <f>Dados!AC17/Dados!AE17</f>
        <v>18.635911530335491</v>
      </c>
      <c r="X17" s="38" t="e">
        <f>Dados!AE17/Dados!X17</f>
        <v>#DIV/0!</v>
      </c>
      <c r="Y17" s="37">
        <f>Dados!AF17/Dados!Y17</f>
        <v>0</v>
      </c>
      <c r="Z17" s="38" t="e">
        <f>Dados!AF17/Dados!AD17</f>
        <v>#DIV/0!</v>
      </c>
      <c r="AA17" s="37">
        <f>Dados!AG17/Dados!AH17</f>
        <v>0</v>
      </c>
      <c r="AB17" s="38" t="e">
        <f>Dados!AI17/Dados!AJ17</f>
        <v>#DIV/0!</v>
      </c>
      <c r="AC17" s="38" t="e">
        <f>Dados!AG17/Dados!AJ17</f>
        <v>#DIV/0!</v>
      </c>
      <c r="AD17" s="38" t="e">
        <f>Dados!AK17/Dados!AG17</f>
        <v>#DIV/0!</v>
      </c>
      <c r="AE17" s="38" t="e">
        <f>Dados!AL17/Dados!AN17</f>
        <v>#DIV/0!</v>
      </c>
      <c r="AF17" s="38" t="e">
        <f>Dados!AN17/Dados!AG17</f>
        <v>#DIV/0!</v>
      </c>
      <c r="AG17" s="37">
        <f>Dados!AO17/Dados!AH17</f>
        <v>0</v>
      </c>
      <c r="AH17" s="38" t="e">
        <f>Dados!AO17/Dados!AM17</f>
        <v>#DIV/0!</v>
      </c>
      <c r="AI17" s="37">
        <f>Dados!AP17/Dados!AQ17</f>
        <v>0</v>
      </c>
      <c r="AJ17" s="38" t="e">
        <f>Dados!AR17/Dados!AS17</f>
        <v>#DIV/0!</v>
      </c>
      <c r="AK17" s="38" t="e">
        <f>Dados!AP17/Dados!AS17</f>
        <v>#DIV/0!</v>
      </c>
      <c r="AL17" s="38" t="e">
        <f>Dados!AT17/Dados!AP17</f>
        <v>#DIV/0!</v>
      </c>
      <c r="AM17" s="38" t="e">
        <f>Dados!AU17/Dados!AW17</f>
        <v>#DIV/0!</v>
      </c>
      <c r="AN17" s="38" t="e">
        <f>Dados!AW17/Dados!AP17</f>
        <v>#DIV/0!</v>
      </c>
      <c r="AO17" s="37">
        <f>Dados!AX17/Dados!AQ17</f>
        <v>0</v>
      </c>
      <c r="AP17" s="39" t="e">
        <f>Dados!AX17/Dados!AV17</f>
        <v>#DIV/0!</v>
      </c>
    </row>
    <row r="18" spans="1:42" x14ac:dyDescent="0.25">
      <c r="A18" s="12">
        <v>75</v>
      </c>
      <c r="B18" s="13" t="s">
        <v>25</v>
      </c>
      <c r="C18" s="37">
        <f>Dados!F18/Dados!G18</f>
        <v>24.0282831636049</v>
      </c>
      <c r="D18" s="38">
        <f>Dados!H18/Dados!I18</f>
        <v>0.86430944929974685</v>
      </c>
      <c r="E18" s="38">
        <f>Dados!F18/Dados!I18</f>
        <v>1.2384574778098996</v>
      </c>
      <c r="F18" s="38">
        <f>Dados!J18/Dados!F18</f>
        <v>0.19254393637445685</v>
      </c>
      <c r="G18" s="38">
        <f>Dados!K18/Dados!M18</f>
        <v>184.70301690144416</v>
      </c>
      <c r="H18" s="38">
        <f>Dados!M18/Dados!F18</f>
        <v>3.4136425571013335E-3</v>
      </c>
      <c r="I18" s="37">
        <f>Dados!N18/Dados!G18</f>
        <v>0</v>
      </c>
      <c r="J18" s="38">
        <f>Dados!N18/Dados!L18</f>
        <v>0</v>
      </c>
      <c r="K18" s="37">
        <f>Dados!O18/Dados!P18</f>
        <v>24.184499012600128</v>
      </c>
      <c r="L18" s="38">
        <f>Dados!Q18/Dados!R18</f>
        <v>0.76361443888266567</v>
      </c>
      <c r="M18" s="38">
        <f>Dados!O18/Dados!R18</f>
        <v>1.2538729702831626</v>
      </c>
      <c r="N18" s="38">
        <f>Dados!S18/Dados!O18</f>
        <v>0.20247104475490066</v>
      </c>
      <c r="O18" s="38">
        <f>Dados!T18/Dados!V18</f>
        <v>55.298081698418642</v>
      </c>
      <c r="P18" s="38">
        <f>Dados!V18/Dados!O18</f>
        <v>6.7988879166119573E-3</v>
      </c>
      <c r="Q18" s="37">
        <f>Dados!W18/Dados!P18</f>
        <v>0</v>
      </c>
      <c r="R18" s="38">
        <f>Dados!W18/Dados!U18</f>
        <v>0</v>
      </c>
      <c r="S18" s="37">
        <f>Dados!X18/Dados!Y18</f>
        <v>23.510151405853602</v>
      </c>
      <c r="T18" s="38">
        <f>Dados!Z18/Dados!AA18</f>
        <v>0.38846776983977505</v>
      </c>
      <c r="U18" s="38">
        <f>Dados!X18/Dados!AA18</f>
        <v>0.98748492781845487</v>
      </c>
      <c r="V18" s="38">
        <f>Dados!AB18/Dados!X18</f>
        <v>-1.2673684254800074E-2</v>
      </c>
      <c r="W18" s="38">
        <f>Dados!AC18/Dados!AE18</f>
        <v>25.145474138839322</v>
      </c>
      <c r="X18" s="38">
        <f>Dados!AE18/Dados!X18</f>
        <v>8.1802945064747452E-3</v>
      </c>
      <c r="Y18" s="37">
        <f>Dados!AF18/Dados!Y18</f>
        <v>0</v>
      </c>
      <c r="Z18" s="38">
        <f>Dados!AF18/Dados!AD18</f>
        <v>0</v>
      </c>
      <c r="AA18" s="37">
        <f>Dados!AG18/Dados!AH18</f>
        <v>7.655649778545965</v>
      </c>
      <c r="AB18" s="38">
        <f>Dados!AI18/Dados!AJ18</f>
        <v>0.99274775505256541</v>
      </c>
      <c r="AC18" s="38">
        <f>Dados!AG18/Dados!AJ18</f>
        <v>1.1219902245273456</v>
      </c>
      <c r="AD18" s="38">
        <f>Dados!AK18/Dados!AG18</f>
        <v>0.10872663759502524</v>
      </c>
      <c r="AE18" s="38">
        <f>Dados!AL18/Dados!AN18</f>
        <v>350.36651038031306</v>
      </c>
      <c r="AF18" s="38">
        <f>Dados!AN18/Dados!AG18</f>
        <v>1.4301060947412951E-3</v>
      </c>
      <c r="AG18" s="37">
        <f>Dados!AO18/Dados!AH18</f>
        <v>0</v>
      </c>
      <c r="AH18" s="38">
        <f>Dados!AO18/Dados!AM18</f>
        <v>0</v>
      </c>
      <c r="AI18" s="37">
        <f>Dados!AP18/Dados!AQ18</f>
        <v>6.7662389183060538</v>
      </c>
      <c r="AJ18" s="38">
        <f>Dados!AR18/Dados!AS18</f>
        <v>0.97316015594174843</v>
      </c>
      <c r="AK18" s="38">
        <f>Dados!AP18/Dados!AS18</f>
        <v>1.0933818404530209</v>
      </c>
      <c r="AL18" s="38">
        <f>Dados!AT18/Dados!AP18</f>
        <v>8.5406430761946844E-2</v>
      </c>
      <c r="AM18" s="38">
        <f>Dados!AU18/Dados!AW18</f>
        <v>284.04629006053551</v>
      </c>
      <c r="AN18" s="38">
        <f>Dados!AW18/Dados!AP18</f>
        <v>1.5617095980974478E-3</v>
      </c>
      <c r="AO18" s="37">
        <f>Dados!AX18/Dados!AQ18</f>
        <v>0</v>
      </c>
      <c r="AP18" s="39">
        <f>Dados!AX18/Dados!AV18</f>
        <v>0</v>
      </c>
    </row>
    <row r="19" spans="1:42" x14ac:dyDescent="0.25">
      <c r="A19" s="12">
        <v>76</v>
      </c>
      <c r="B19" s="13" t="s">
        <v>26</v>
      </c>
      <c r="C19" s="37">
        <f>Dados!F19/Dados!G19</f>
        <v>180.78875554077356</v>
      </c>
      <c r="D19" s="38">
        <f>Dados!H19/Dados!I19</f>
        <v>0.99725183519880789</v>
      </c>
      <c r="E19" s="38">
        <f>Dados!F19/Dados!I19</f>
        <v>0.99898727668268805</v>
      </c>
      <c r="F19" s="38">
        <f>Dados!J19/Dados!F19</f>
        <v>-1.0485651837860666E-4</v>
      </c>
      <c r="G19" s="38">
        <f>Dados!K19/Dados!M19</f>
        <v>0.38751640025056605</v>
      </c>
      <c r="H19" s="38">
        <f>Dados!M19/Dados!F19</f>
        <v>0.12473540681341008</v>
      </c>
      <c r="I19" s="37">
        <f>Dados!N19/Dados!G19</f>
        <v>5.5877761477988352</v>
      </c>
      <c r="J19" s="38">
        <f>Dados!N19/Dados!L19</f>
        <v>3.0907763765975014E-2</v>
      </c>
      <c r="K19" s="37">
        <f>Dados!O19/Dados!P19</f>
        <v>133.61639396863595</v>
      </c>
      <c r="L19" s="38">
        <f>Dados!Q19/Dados!R19</f>
        <v>0.99647653945350645</v>
      </c>
      <c r="M19" s="38">
        <f>Dados!O19/Dados!R19</f>
        <v>0.97956383916209211</v>
      </c>
      <c r="N19" s="38">
        <f>Dados!S19/Dados!O19</f>
        <v>-2.0862510457091581E-2</v>
      </c>
      <c r="O19" s="38">
        <f>Dados!T19/Dados!V19</f>
        <v>0.2923463297830553</v>
      </c>
      <c r="P19" s="38">
        <f>Dados!V19/Dados!O19</f>
        <v>0.15018115373830204</v>
      </c>
      <c r="Q19" s="37">
        <f>Dados!W19/Dados!P19</f>
        <v>5.229514568118911</v>
      </c>
      <c r="R19" s="38">
        <f>Dados!W19/Dados!U19</f>
        <v>3.9138270483084929E-2</v>
      </c>
      <c r="S19" s="37">
        <f>Dados!X19/Dados!Y19</f>
        <v>114.17596342918138</v>
      </c>
      <c r="T19" s="38">
        <f>Dados!Z19/Dados!AA19</f>
        <v>0.99861638992263646</v>
      </c>
      <c r="U19" s="38">
        <f>Dados!X19/Dados!AA19</f>
        <v>1.0203524497600842</v>
      </c>
      <c r="V19" s="38">
        <f>Dados!AB19/Dados!X19</f>
        <v>1.9946489827970419E-2</v>
      </c>
      <c r="W19" s="38">
        <f>Dados!AC19/Dados!AE19</f>
        <v>0.29172964556967856</v>
      </c>
      <c r="X19" s="38">
        <f>Dados!AE19/Dados!X19</f>
        <v>0.16596650949406147</v>
      </c>
      <c r="Y19" s="37">
        <f>Dados!AF19/Dados!Y19</f>
        <v>4.780510724904361</v>
      </c>
      <c r="Z19" s="38">
        <f>Dados!AF19/Dados!AD19</f>
        <v>4.1869677131032172E-2</v>
      </c>
      <c r="AA19" s="37">
        <f>Dados!AG19/Dados!AH19</f>
        <v>95.707514880239032</v>
      </c>
      <c r="AB19" s="38">
        <f>Dados!AI19/Dados!AJ19</f>
        <v>0.9978315915694328</v>
      </c>
      <c r="AC19" s="38">
        <f>Dados!AG19/Dados!AJ19</f>
        <v>0.99654984497639021</v>
      </c>
      <c r="AD19" s="38">
        <f>Dados!AK19/Dados!AG19</f>
        <v>-3.4620998046429666E-3</v>
      </c>
      <c r="AE19" s="38">
        <f>Dados!AL19/Dados!AN19</f>
        <v>0.34505347293963928</v>
      </c>
      <c r="AF19" s="38">
        <f>Dados!AN19/Dados!AG19</f>
        <v>0.10960066004527025</v>
      </c>
      <c r="AG19" s="37">
        <f>Dados!AO19/Dados!AH19</f>
        <v>1.2997345525142612</v>
      </c>
      <c r="AH19" s="38">
        <f>Dados!AO19/Dados!AM19</f>
        <v>1.3580276889862287E-2</v>
      </c>
      <c r="AI19" s="37">
        <f>Dados!AP19/Dados!AQ19</f>
        <v>81.69359633717761</v>
      </c>
      <c r="AJ19" s="38">
        <f>Dados!AR19/Dados!AS19</f>
        <v>0.99902554019923995</v>
      </c>
      <c r="AK19" s="38">
        <f>Dados!AP19/Dados!AS19</f>
        <v>0.98837962151531278</v>
      </c>
      <c r="AL19" s="38">
        <f>Dados!AT19/Dados!AP19</f>
        <v>-1.1756999266002382E-2</v>
      </c>
      <c r="AM19" s="38">
        <f>Dados!AU19/Dados!AW19</f>
        <v>0.27304784115101854</v>
      </c>
      <c r="AN19" s="38">
        <f>Dados!AW19/Dados!AP19</f>
        <v>0.11844596519214154</v>
      </c>
      <c r="AO19" s="37">
        <f>Dados!AX19/Dados!AQ19</f>
        <v>1.3090452079347741</v>
      </c>
      <c r="AP19" s="39">
        <f>Dados!AX19/Dados!AV19</f>
        <v>1.6023841116406406E-2</v>
      </c>
    </row>
    <row r="20" spans="1:42" ht="25.5" x14ac:dyDescent="0.25">
      <c r="A20" s="12">
        <v>79</v>
      </c>
      <c r="B20" s="13" t="s">
        <v>27</v>
      </c>
      <c r="C20" s="37">
        <f>Dados!F20/Dados!G20</f>
        <v>3.7142900130775294</v>
      </c>
      <c r="D20" s="38">
        <f>Dados!H20/Dados!I20</f>
        <v>1</v>
      </c>
      <c r="E20" s="38">
        <f>Dados!F20/Dados!I20</f>
        <v>1.4449640051327997</v>
      </c>
      <c r="F20" s="38">
        <f>Dados!J20/Dados!F20</f>
        <v>0.30794123836455362</v>
      </c>
      <c r="G20" s="38">
        <f>Dados!K20/Dados!M20</f>
        <v>65.627526940744019</v>
      </c>
      <c r="H20" s="38">
        <f>Dados!M20/Dados!F20</f>
        <v>2.2443918921030408E-2</v>
      </c>
      <c r="I20" s="37">
        <f>Dados!N20/Dados!G20</f>
        <v>0</v>
      </c>
      <c r="J20" s="38">
        <f>Dados!N20/Dados!L20</f>
        <v>0</v>
      </c>
      <c r="K20" s="37">
        <f>Dados!O20/Dados!P20</f>
        <v>3.8345258123407326</v>
      </c>
      <c r="L20" s="38">
        <f>Dados!Q20/Dados!R20</f>
        <v>0.46238099785078579</v>
      </c>
      <c r="M20" s="38">
        <f>Dados!O20/Dados!R20</f>
        <v>0.67922653451188342</v>
      </c>
      <c r="N20" s="38">
        <f>Dados!S20/Dados!O20</f>
        <v>-0.47226285957546688</v>
      </c>
      <c r="O20" s="38">
        <f>Dados!T20/Dados!V20</f>
        <v>129.20099887154473</v>
      </c>
      <c r="P20" s="38">
        <f>Dados!V20/Dados!O20</f>
        <v>8.6542081503669169E-3</v>
      </c>
      <c r="Q20" s="37">
        <f>Dados!W20/Dados!P20</f>
        <v>0</v>
      </c>
      <c r="R20" s="38">
        <f>Dados!W20/Dados!U20</f>
        <v>0</v>
      </c>
      <c r="S20" s="37">
        <f>Dados!X20/Dados!Y20</f>
        <v>4.6243492204838654</v>
      </c>
      <c r="T20" s="38">
        <f>Dados!Z20/Dados!AA20</f>
        <v>0.59101070231965303</v>
      </c>
      <c r="U20" s="38">
        <f>Dados!X20/Dados!AA20</f>
        <v>1.4454907084716073</v>
      </c>
      <c r="V20" s="38">
        <f>Dados!AB20/Dados!X20</f>
        <v>0.30819340855026861</v>
      </c>
      <c r="W20" s="38">
        <f>Dados!AC20/Dados!AE20</f>
        <v>120.64916512518622</v>
      </c>
      <c r="X20" s="38">
        <f>Dados!AE20/Dados!X20</f>
        <v>1.163706678196697E-2</v>
      </c>
      <c r="Y20" s="37">
        <f>Dados!AF20/Dados!Y20</f>
        <v>0</v>
      </c>
      <c r="Z20" s="38">
        <f>Dados!AF20/Dados!AD20</f>
        <v>0</v>
      </c>
      <c r="AA20" s="37">
        <f>Dados!AG20/Dados!AH20</f>
        <v>2.8879609948044638</v>
      </c>
      <c r="AB20" s="38">
        <f>Dados!AI20/Dados!AJ20</f>
        <v>0.99809167269008314</v>
      </c>
      <c r="AC20" s="38">
        <f>Dados!AG20/Dados!AJ20</f>
        <v>1.6743968720206315</v>
      </c>
      <c r="AD20" s="38">
        <f>Dados!AK20/Dados!AG20</f>
        <v>0.4027700262045889</v>
      </c>
      <c r="AE20" s="38">
        <f>Dados!AL20/Dados!AN20</f>
        <v>201.32115692592151</v>
      </c>
      <c r="AF20" s="38">
        <f>Dados!AN20/Dados!AG20</f>
        <v>8.6048709433263083E-3</v>
      </c>
      <c r="AG20" s="37">
        <f>Dados!AO20/Dados!AH20</f>
        <v>0</v>
      </c>
      <c r="AH20" s="38">
        <f>Dados!AO20/Dados!AM20</f>
        <v>0</v>
      </c>
      <c r="AI20" s="37">
        <f>Dados!AP20/Dados!AQ20</f>
        <v>0</v>
      </c>
      <c r="AJ20" s="38" t="e">
        <f>Dados!AR20/Dados!AS20</f>
        <v>#DIV/0!</v>
      </c>
      <c r="AK20" s="38" t="e">
        <f>Dados!AP20/Dados!AS20</f>
        <v>#DIV/0!</v>
      </c>
      <c r="AL20" s="38" t="e">
        <f>Dados!AT20/Dados!AP20</f>
        <v>#DIV/0!</v>
      </c>
      <c r="AM20" s="38" t="e">
        <f>Dados!AU20/Dados!AW20</f>
        <v>#DIV/0!</v>
      </c>
      <c r="AN20" s="38" t="e">
        <f>Dados!AW20/Dados!AP20</f>
        <v>#DIV/0!</v>
      </c>
      <c r="AO20" s="37">
        <f>Dados!AX20/Dados!AQ20</f>
        <v>0</v>
      </c>
      <c r="AP20" s="39" t="e">
        <f>Dados!AX20/Dados!AV20</f>
        <v>#DIV/0!</v>
      </c>
    </row>
    <row r="21" spans="1:42" ht="25.5" x14ac:dyDescent="0.25">
      <c r="A21" s="12">
        <v>81</v>
      </c>
      <c r="B21" s="13" t="s">
        <v>28</v>
      </c>
      <c r="C21" s="37">
        <f>Dados!F21/Dados!G21</f>
        <v>199.3760371131564</v>
      </c>
      <c r="D21" s="38">
        <f>Dados!H21/Dados!I21</f>
        <v>0.99896815835881847</v>
      </c>
      <c r="E21" s="38">
        <f>Dados!F21/Dados!I21</f>
        <v>0.99989483185108297</v>
      </c>
      <c r="F21" s="38">
        <f>Dados!J21/Dados!F21</f>
        <v>-1.0517921041987314E-4</v>
      </c>
      <c r="G21" s="38">
        <f>Dados!K21/Dados!M21</f>
        <v>0.97759823073471863</v>
      </c>
      <c r="H21" s="38">
        <f>Dados!M21/Dados!F21</f>
        <v>5.7153561387563889E-2</v>
      </c>
      <c r="I21" s="37">
        <f>Dados!N21/Dados!G21</f>
        <v>0</v>
      </c>
      <c r="J21" s="38">
        <f>Dados!N21/Dados!L21</f>
        <v>0</v>
      </c>
      <c r="K21" s="37">
        <f>Dados!O21/Dados!P21</f>
        <v>170.35183072467257</v>
      </c>
      <c r="L21" s="38">
        <f>Dados!Q21/Dados!R21</f>
        <v>0.99908042364075833</v>
      </c>
      <c r="M21" s="38">
        <f>Dados!O21/Dados!R21</f>
        <v>1.012108388111812</v>
      </c>
      <c r="N21" s="38">
        <f>Dados!S21/Dados!O21</f>
        <v>1.1963529058781312E-2</v>
      </c>
      <c r="O21" s="38">
        <f>Dados!T21/Dados!V21</f>
        <v>1.2214688840675163</v>
      </c>
      <c r="P21" s="38">
        <f>Dados!V21/Dados!O21</f>
        <v>4.8591803397787334E-2</v>
      </c>
      <c r="Q21" s="37">
        <f>Dados!W21/Dados!P21</f>
        <v>0</v>
      </c>
      <c r="R21" s="38">
        <f>Dados!W21/Dados!U21</f>
        <v>0</v>
      </c>
      <c r="S21" s="37">
        <f>Dados!X21/Dados!Y21</f>
        <v>102.21919136647485</v>
      </c>
      <c r="T21" s="38">
        <f>Dados!Z21/Dados!AA21</f>
        <v>0.99543956130779809</v>
      </c>
      <c r="U21" s="38">
        <f>Dados!X21/Dados!AA21</f>
        <v>0.99776924580026227</v>
      </c>
      <c r="V21" s="38">
        <f>Dados!AB21/Dados!X21</f>
        <v>-2.2357415896784704E-3</v>
      </c>
      <c r="W21" s="38">
        <f>Dados!AC21/Dados!AE21</f>
        <v>1.0272160935757035</v>
      </c>
      <c r="X21" s="38">
        <f>Dados!AE21/Dados!X21</f>
        <v>4.8301105109466093E-2</v>
      </c>
      <c r="Y21" s="37">
        <f>Dados!AF21/Dados!Y21</f>
        <v>0</v>
      </c>
      <c r="Z21" s="38">
        <f>Dados!AF21/Dados!AD21</f>
        <v>0</v>
      </c>
      <c r="AA21" s="37">
        <f>Dados!AG21/Dados!AH21</f>
        <v>52.469007513390892</v>
      </c>
      <c r="AB21" s="38">
        <f>Dados!AI21/Dados!AJ21</f>
        <v>0.99069681776679863</v>
      </c>
      <c r="AC21" s="38">
        <f>Dados!AG21/Dados!AJ21</f>
        <v>0.8866195231743379</v>
      </c>
      <c r="AD21" s="38">
        <f>Dados!AK21/Dados!AG21</f>
        <v>-0.1278795174955423</v>
      </c>
      <c r="AE21" s="38">
        <f>Dados!AL21/Dados!AN21</f>
        <v>1.9411371491956455</v>
      </c>
      <c r="AF21" s="38">
        <f>Dados!AN21/Dados!AG21</f>
        <v>6.1535937201523803E-2</v>
      </c>
      <c r="AG21" s="37">
        <f>Dados!AO21/Dados!AH21</f>
        <v>0</v>
      </c>
      <c r="AH21" s="38">
        <f>Dados!AO21/Dados!AM21</f>
        <v>0</v>
      </c>
      <c r="AI21" s="37">
        <f>Dados!AP21/Dados!AQ21</f>
        <v>30.294636108234332</v>
      </c>
      <c r="AJ21" s="38">
        <f>Dados!AR21/Dados!AS21</f>
        <v>0.95780702056751288</v>
      </c>
      <c r="AK21" s="38">
        <f>Dados!AP21/Dados!AS21</f>
        <v>1.0357887778821755</v>
      </c>
      <c r="AL21" s="38">
        <f>Dados!AT21/Dados!AP21</f>
        <v>3.4552196979147638E-2</v>
      </c>
      <c r="AM21" s="38">
        <f>Dados!AU21/Dados!AW21</f>
        <v>11.40811801001546</v>
      </c>
      <c r="AN21" s="38">
        <f>Dados!AW21/Dados!AP21</f>
        <v>3.0974504066428835E-2</v>
      </c>
      <c r="AO21" s="37">
        <f>Dados!AX21/Dados!AQ21</f>
        <v>0</v>
      </c>
      <c r="AP21" s="39">
        <f>Dados!AX21/Dados!AV21</f>
        <v>0</v>
      </c>
    </row>
    <row r="22" spans="1:42" ht="25.5" x14ac:dyDescent="0.25">
      <c r="A22" s="12">
        <v>82</v>
      </c>
      <c r="B22" s="13" t="s">
        <v>29</v>
      </c>
      <c r="C22" s="37">
        <f>Dados!F22/Dados!G22</f>
        <v>3.8773213641935254</v>
      </c>
      <c r="D22" s="38">
        <f>Dados!H22/Dados!I22</f>
        <v>0.82715772895237627</v>
      </c>
      <c r="E22" s="38">
        <f>Dados!F22/Dados!I22</f>
        <v>1.1020384482617145</v>
      </c>
      <c r="F22" s="38">
        <f>Dados!J22/Dados!F22</f>
        <v>9.2590642751769092E-2</v>
      </c>
      <c r="G22" s="38">
        <f>Dados!K22/Dados!M22</f>
        <v>149.80684600046834</v>
      </c>
      <c r="H22" s="38">
        <f>Dados!M22/Dados!F22</f>
        <v>3.4943158696263553E-3</v>
      </c>
      <c r="I22" s="37">
        <f>Dados!N22/Dados!G22</f>
        <v>0</v>
      </c>
      <c r="J22" s="38">
        <f>Dados!N22/Dados!L22</f>
        <v>0</v>
      </c>
      <c r="K22" s="37">
        <f>Dados!O22/Dados!P22</f>
        <v>15.495243377421057</v>
      </c>
      <c r="L22" s="38">
        <f>Dados!Q22/Dados!R22</f>
        <v>0.14746543829633066</v>
      </c>
      <c r="M22" s="38">
        <f>Dados!O22/Dados!R22</f>
        <v>1.0367614173705866</v>
      </c>
      <c r="N22" s="38">
        <f>Dados!S22/Dados!O22</f>
        <v>3.5457933478871329E-2</v>
      </c>
      <c r="O22" s="38" t="e">
        <f>Dados!T22/Dados!V22</f>
        <v>#DIV/0!</v>
      </c>
      <c r="P22" s="38">
        <f>Dados!V22/Dados!O22</f>
        <v>0</v>
      </c>
      <c r="Q22" s="37">
        <f>Dados!W22/Dados!P22</f>
        <v>0</v>
      </c>
      <c r="R22" s="38">
        <f>Dados!W22/Dados!U22</f>
        <v>0</v>
      </c>
      <c r="S22" s="37">
        <f>Dados!X22/Dados!Y22</f>
        <v>4.2229503677743763</v>
      </c>
      <c r="T22" s="38">
        <f>Dados!Z22/Dados!AA22</f>
        <v>0.27740730656354401</v>
      </c>
      <c r="U22" s="38">
        <f>Dados!X22/Dados!AA22</f>
        <v>1.2089503781481847</v>
      </c>
      <c r="V22" s="38">
        <f>Dados!AB22/Dados!X22</f>
        <v>0.17283619073617015</v>
      </c>
      <c r="W22" s="38" t="e">
        <f>Dados!AC22/Dados!AE22</f>
        <v>#DIV/0!</v>
      </c>
      <c r="X22" s="38">
        <f>Dados!AE22/Dados!X22</f>
        <v>0</v>
      </c>
      <c r="Y22" s="37">
        <f>Dados!AF22/Dados!Y22</f>
        <v>0</v>
      </c>
      <c r="Z22" s="38">
        <f>Dados!AF22/Dados!AD22</f>
        <v>0</v>
      </c>
      <c r="AA22" s="37">
        <f>Dados!AG22/Dados!AH22</f>
        <v>1.0545063891832169</v>
      </c>
      <c r="AB22" s="38">
        <f>Dados!AI22/Dados!AJ22</f>
        <v>1.3378427235195569</v>
      </c>
      <c r="AC22" s="38">
        <f>Dados!AG22/Dados!AJ22</f>
        <v>1.4299471173412432</v>
      </c>
      <c r="AD22" s="38">
        <f>Dados!AK22/Dados!AG22</f>
        <v>0.30067343898749266</v>
      </c>
      <c r="AE22" s="38" t="e">
        <f>Dados!AL22/Dados!AN22</f>
        <v>#DIV/0!</v>
      </c>
      <c r="AF22" s="38">
        <f>Dados!AN22/Dados!AG22</f>
        <v>0</v>
      </c>
      <c r="AG22" s="37">
        <f>Dados!AO22/Dados!AH22</f>
        <v>0</v>
      </c>
      <c r="AH22" s="38">
        <f>Dados!AO22/Dados!AM22</f>
        <v>0</v>
      </c>
      <c r="AI22" s="37">
        <f>Dados!AP22/Dados!AQ22</f>
        <v>0</v>
      </c>
      <c r="AJ22" s="38" t="e">
        <f>Dados!AR22/Dados!AS22</f>
        <v>#DIV/0!</v>
      </c>
      <c r="AK22" s="38" t="e">
        <f>Dados!AP22/Dados!AS22</f>
        <v>#DIV/0!</v>
      </c>
      <c r="AL22" s="38" t="e">
        <f>Dados!AT22/Dados!AP22</f>
        <v>#DIV/0!</v>
      </c>
      <c r="AM22" s="38" t="e">
        <f>Dados!AU22/Dados!AW22</f>
        <v>#DIV/0!</v>
      </c>
      <c r="AN22" s="38" t="e">
        <f>Dados!AW22/Dados!AP22</f>
        <v>#DIV/0!</v>
      </c>
      <c r="AO22" s="37">
        <f>Dados!AX22/Dados!AQ22</f>
        <v>0</v>
      </c>
      <c r="AP22" s="39" t="e">
        <f>Dados!AX22/Dados!AV22</f>
        <v>#DIV/0!</v>
      </c>
    </row>
    <row r="23" spans="1:42" x14ac:dyDescent="0.25">
      <c r="A23" s="12">
        <v>119</v>
      </c>
      <c r="B23" s="13" t="s">
        <v>30</v>
      </c>
      <c r="C23" s="37">
        <f>Dados!F23/Dados!G23</f>
        <v>0</v>
      </c>
      <c r="D23" s="38" t="e">
        <f>Dados!H23/Dados!I23</f>
        <v>#DIV/0!</v>
      </c>
      <c r="E23" s="38" t="e">
        <f>Dados!F23/Dados!I23</f>
        <v>#DIV/0!</v>
      </c>
      <c r="F23" s="38" t="e">
        <f>Dados!J23/Dados!F23</f>
        <v>#DIV/0!</v>
      </c>
      <c r="G23" s="38" t="e">
        <f>Dados!K23/Dados!M23</f>
        <v>#DIV/0!</v>
      </c>
      <c r="H23" s="38" t="e">
        <f>Dados!M23/Dados!F23</f>
        <v>#DIV/0!</v>
      </c>
      <c r="I23" s="37">
        <f>Dados!N23/Dados!G23</f>
        <v>0</v>
      </c>
      <c r="J23" s="38" t="e">
        <f>Dados!N23/Dados!L23</f>
        <v>#DIV/0!</v>
      </c>
      <c r="K23" s="37">
        <f>Dados!O23/Dados!P23</f>
        <v>0</v>
      </c>
      <c r="L23" s="38" t="e">
        <f>Dados!Q23/Dados!R23</f>
        <v>#DIV/0!</v>
      </c>
      <c r="M23" s="38" t="e">
        <f>Dados!O23/Dados!R23</f>
        <v>#DIV/0!</v>
      </c>
      <c r="N23" s="38" t="e">
        <f>Dados!S23/Dados!O23</f>
        <v>#DIV/0!</v>
      </c>
      <c r="O23" s="38" t="e">
        <f>Dados!T23/Dados!V23</f>
        <v>#DIV/0!</v>
      </c>
      <c r="P23" s="38" t="e">
        <f>Dados!V23/Dados!O23</f>
        <v>#DIV/0!</v>
      </c>
      <c r="Q23" s="37">
        <f>Dados!W23/Dados!P23</f>
        <v>0</v>
      </c>
      <c r="R23" s="38" t="e">
        <f>Dados!W23/Dados!U23</f>
        <v>#DIV/0!</v>
      </c>
      <c r="S23" s="37">
        <f>Dados!X23/Dados!Y23</f>
        <v>0</v>
      </c>
      <c r="T23" s="38" t="e">
        <f>Dados!Z23/Dados!AA23</f>
        <v>#DIV/0!</v>
      </c>
      <c r="U23" s="38" t="e">
        <f>Dados!X23/Dados!AA23</f>
        <v>#DIV/0!</v>
      </c>
      <c r="V23" s="38" t="e">
        <f>Dados!AB23/Dados!X23</f>
        <v>#DIV/0!</v>
      </c>
      <c r="W23" s="38" t="e">
        <f>Dados!AC23/Dados!AE23</f>
        <v>#DIV/0!</v>
      </c>
      <c r="X23" s="38" t="e">
        <f>Dados!AE23/Dados!X23</f>
        <v>#DIV/0!</v>
      </c>
      <c r="Y23" s="37">
        <f>Dados!AF23/Dados!Y23</f>
        <v>0</v>
      </c>
      <c r="Z23" s="38" t="e">
        <f>Dados!AF23/Dados!AD23</f>
        <v>#DIV/0!</v>
      </c>
      <c r="AA23" s="37">
        <f>Dados!AG23/Dados!AH23</f>
        <v>0</v>
      </c>
      <c r="AB23" s="38" t="e">
        <f>Dados!AI23/Dados!AJ23</f>
        <v>#DIV/0!</v>
      </c>
      <c r="AC23" s="38" t="e">
        <f>Dados!AG23/Dados!AJ23</f>
        <v>#DIV/0!</v>
      </c>
      <c r="AD23" s="38" t="e">
        <f>Dados!AK23/Dados!AG23</f>
        <v>#DIV/0!</v>
      </c>
      <c r="AE23" s="38" t="e">
        <f>Dados!AL23/Dados!AN23</f>
        <v>#DIV/0!</v>
      </c>
      <c r="AF23" s="38" t="e">
        <f>Dados!AN23/Dados!AG23</f>
        <v>#DIV/0!</v>
      </c>
      <c r="AG23" s="37">
        <f>Dados!AO23/Dados!AH23</f>
        <v>0</v>
      </c>
      <c r="AH23" s="38" t="e">
        <f>Dados!AO23/Dados!AM23</f>
        <v>#DIV/0!</v>
      </c>
      <c r="AI23" s="37">
        <f>Dados!AP23/Dados!AQ23</f>
        <v>0</v>
      </c>
      <c r="AJ23" s="38" t="e">
        <f>Dados!AR23/Dados!AS23</f>
        <v>#DIV/0!</v>
      </c>
      <c r="AK23" s="38" t="e">
        <f>Dados!AP23/Dados!AS23</f>
        <v>#DIV/0!</v>
      </c>
      <c r="AL23" s="38" t="e">
        <f>Dados!AT23/Dados!AP23</f>
        <v>#DIV/0!</v>
      </c>
      <c r="AM23" s="38" t="e">
        <f>Dados!AU23/Dados!AW23</f>
        <v>#DIV/0!</v>
      </c>
      <c r="AN23" s="38" t="e">
        <f>Dados!AW23/Dados!AP23</f>
        <v>#DIV/0!</v>
      </c>
      <c r="AO23" s="37">
        <f>Dados!AX23/Dados!AQ23</f>
        <v>0</v>
      </c>
      <c r="AP23" s="39" t="e">
        <f>Dados!AX23/Dados!AV23</f>
        <v>#DIV/0!</v>
      </c>
    </row>
    <row r="24" spans="1:42" x14ac:dyDescent="0.25">
      <c r="A24" s="12">
        <v>120</v>
      </c>
      <c r="B24" s="13" t="s">
        <v>31</v>
      </c>
      <c r="C24" s="37">
        <f>Dados!F24/Dados!G24</f>
        <v>0</v>
      </c>
      <c r="D24" s="38" t="e">
        <f>Dados!H24/Dados!I24</f>
        <v>#DIV/0!</v>
      </c>
      <c r="E24" s="38" t="e">
        <f>Dados!F24/Dados!I24</f>
        <v>#DIV/0!</v>
      </c>
      <c r="F24" s="38" t="e">
        <f>Dados!J24/Dados!F24</f>
        <v>#DIV/0!</v>
      </c>
      <c r="G24" s="38" t="e">
        <f>Dados!K24/Dados!M24</f>
        <v>#DIV/0!</v>
      </c>
      <c r="H24" s="38" t="e">
        <f>Dados!M24/Dados!F24</f>
        <v>#DIV/0!</v>
      </c>
      <c r="I24" s="37">
        <f>Dados!N24/Dados!G24</f>
        <v>0</v>
      </c>
      <c r="J24" s="38" t="e">
        <f>Dados!N24/Dados!L24</f>
        <v>#DIV/0!</v>
      </c>
      <c r="K24" s="37">
        <f>Dados!O24/Dados!P24</f>
        <v>0</v>
      </c>
      <c r="L24" s="38" t="e">
        <f>Dados!Q24/Dados!R24</f>
        <v>#DIV/0!</v>
      </c>
      <c r="M24" s="38" t="e">
        <f>Dados!O24/Dados!R24</f>
        <v>#DIV/0!</v>
      </c>
      <c r="N24" s="38" t="e">
        <f>Dados!S24/Dados!O24</f>
        <v>#DIV/0!</v>
      </c>
      <c r="O24" s="38" t="e">
        <f>Dados!T24/Dados!V24</f>
        <v>#DIV/0!</v>
      </c>
      <c r="P24" s="38" t="e">
        <f>Dados!V24/Dados!O24</f>
        <v>#DIV/0!</v>
      </c>
      <c r="Q24" s="37">
        <f>Dados!W24/Dados!P24</f>
        <v>0</v>
      </c>
      <c r="R24" s="38" t="e">
        <f>Dados!W24/Dados!U24</f>
        <v>#DIV/0!</v>
      </c>
      <c r="S24" s="37">
        <f>Dados!X24/Dados!Y24</f>
        <v>110.82414498695921</v>
      </c>
      <c r="T24" s="38">
        <f>Dados!Z24/Dados!AA24</f>
        <v>0.99981597022056035</v>
      </c>
      <c r="U24" s="38">
        <f>Dados!X24/Dados!AA24</f>
        <v>1.0399671757555362</v>
      </c>
      <c r="V24" s="38">
        <f>Dados!AB24/Dados!X24</f>
        <v>3.8431189644519456E-2</v>
      </c>
      <c r="W24" s="38">
        <f>Dados!AC24/Dados!AE24</f>
        <v>149.44394674826529</v>
      </c>
      <c r="X24" s="38">
        <f>Dados!AE24/Dados!X24</f>
        <v>1.0485403787375003E-3</v>
      </c>
      <c r="Y24" s="37">
        <f>Dados!AF24/Dados!Y24</f>
        <v>0</v>
      </c>
      <c r="Z24" s="38">
        <f>Dados!AF24/Dados!AD24</f>
        <v>0</v>
      </c>
      <c r="AA24" s="37">
        <f>Dados!AG24/Dados!AH24</f>
        <v>82.700459093071572</v>
      </c>
      <c r="AB24" s="38">
        <f>Dados!AI24/Dados!AJ24</f>
        <v>0.99988643453762227</v>
      </c>
      <c r="AC24" s="38">
        <f>Dados!AG24/Dados!AJ24</f>
        <v>1.0365916207921289</v>
      </c>
      <c r="AD24" s="38">
        <f>Dados!AK24/Dados!AG24</f>
        <v>3.5299938816953452E-2</v>
      </c>
      <c r="AE24" s="38">
        <f>Dados!AL24/Dados!AN24</f>
        <v>38.944636482327184</v>
      </c>
      <c r="AF24" s="38">
        <f>Dados!AN24/Dados!AG24</f>
        <v>4.16050548863609E-3</v>
      </c>
      <c r="AG24" s="37">
        <f>Dados!AO24/Dados!AH24</f>
        <v>0</v>
      </c>
      <c r="AH24" s="38">
        <f>Dados!AO24/Dados!AM24</f>
        <v>0</v>
      </c>
      <c r="AI24" s="37">
        <f>Dados!AP24/Dados!AQ24</f>
        <v>67.167818023066829</v>
      </c>
      <c r="AJ24" s="38">
        <f>Dados!AR24/Dados!AS24</f>
        <v>0.9988793090332958</v>
      </c>
      <c r="AK24" s="38">
        <f>Dados!AP24/Dados!AS24</f>
        <v>1.0484455616865107</v>
      </c>
      <c r="AL24" s="38">
        <f>Dados!AT24/Dados!AP24</f>
        <v>4.6207035879461553E-2</v>
      </c>
      <c r="AM24" s="38">
        <f>Dados!AU24/Dados!AW24</f>
        <v>39.438593605940106</v>
      </c>
      <c r="AN24" s="38">
        <f>Dados!AW24/Dados!AP24</f>
        <v>3.9585157442445732E-3</v>
      </c>
      <c r="AO24" s="37">
        <f>Dados!AX24/Dados!AQ24</f>
        <v>0</v>
      </c>
      <c r="AP24" s="39">
        <f>Dados!AX24/Dados!AV24</f>
        <v>0</v>
      </c>
    </row>
    <row r="25" spans="1:42" x14ac:dyDescent="0.25">
      <c r="A25" s="12">
        <v>121</v>
      </c>
      <c r="B25" s="13" t="s">
        <v>32</v>
      </c>
      <c r="C25" s="37">
        <f>Dados!F25/Dados!G25</f>
        <v>205.42569868344657</v>
      </c>
      <c r="D25" s="38">
        <f>Dados!H25/Dados!I25</f>
        <v>0.99958360920777289</v>
      </c>
      <c r="E25" s="38">
        <f>Dados!F25/Dados!I25</f>
        <v>1.0388077792695947</v>
      </c>
      <c r="F25" s="38">
        <f>Dados!J25/Dados!F25</f>
        <v>3.7357998316956319E-2</v>
      </c>
      <c r="G25" s="38">
        <f>Dados!K25/Dados!M25</f>
        <v>6.4835871494862287</v>
      </c>
      <c r="H25" s="38">
        <f>Dados!M25/Dados!F25</f>
        <v>1.3573350451241405E-2</v>
      </c>
      <c r="I25" s="37">
        <f>Dados!N25/Dados!G25</f>
        <v>0</v>
      </c>
      <c r="J25" s="38">
        <f>Dados!N25/Dados!L25</f>
        <v>0</v>
      </c>
      <c r="K25" s="37">
        <f>Dados!O25/Dados!P25</f>
        <v>190.20788086546642</v>
      </c>
      <c r="L25" s="38">
        <f>Dados!Q25/Dados!R25</f>
        <v>0.99936544319139853</v>
      </c>
      <c r="M25" s="38">
        <f>Dados!O25/Dados!R25</f>
        <v>1.0315871440142368</v>
      </c>
      <c r="N25" s="38">
        <f>Dados!S25/Dados!O25</f>
        <v>3.061994732827036E-2</v>
      </c>
      <c r="O25" s="38">
        <f>Dados!T25/Dados!V25</f>
        <v>10.882789015117115</v>
      </c>
      <c r="P25" s="38">
        <f>Dados!V25/Dados!O25</f>
        <v>1.3688351543708259E-2</v>
      </c>
      <c r="Q25" s="37">
        <f>Dados!W25/Dados!P25</f>
        <v>0</v>
      </c>
      <c r="R25" s="38">
        <f>Dados!W25/Dados!U25</f>
        <v>0</v>
      </c>
      <c r="S25" s="37">
        <f>Dados!X25/Dados!Y25</f>
        <v>177.8365964906113</v>
      </c>
      <c r="T25" s="38" t="e">
        <f>Dados!Z25/Dados!AA25</f>
        <v>#DIV/0!</v>
      </c>
      <c r="U25" s="38" t="e">
        <f>Dados!X25/Dados!AA25</f>
        <v>#DIV/0!</v>
      </c>
      <c r="V25" s="38">
        <f>Dados!AB25/Dados!X25</f>
        <v>1</v>
      </c>
      <c r="W25" s="38">
        <f>Dados!AC25/Dados!AE25</f>
        <v>6.1754513486845974</v>
      </c>
      <c r="X25" s="38">
        <f>Dados!AE25/Dados!X25</f>
        <v>2.4451511268372424E-2</v>
      </c>
      <c r="Y25" s="37">
        <f>Dados!AF25/Dados!Y25</f>
        <v>0</v>
      </c>
      <c r="Z25" s="38">
        <f>Dados!AF25/Dados!AD25</f>
        <v>0</v>
      </c>
      <c r="AA25" s="37">
        <f>Dados!AG25/Dados!AH25</f>
        <v>163.55905070053012</v>
      </c>
      <c r="AB25" s="38" t="e">
        <f>Dados!AI25/Dados!AJ25</f>
        <v>#DIV/0!</v>
      </c>
      <c r="AC25" s="38" t="e">
        <f>Dados!AG25/Dados!AJ25</f>
        <v>#DIV/0!</v>
      </c>
      <c r="AD25" s="38">
        <f>Dados!AK25/Dados!AG25</f>
        <v>1</v>
      </c>
      <c r="AE25" s="38">
        <f>Dados!AL25/Dados!AN25</f>
        <v>15.701936964958982</v>
      </c>
      <c r="AF25" s="38">
        <f>Dados!AN25/Dados!AG25</f>
        <v>8.8404210416399773E-3</v>
      </c>
      <c r="AG25" s="37">
        <f>Dados!AO25/Dados!AH25</f>
        <v>0</v>
      </c>
      <c r="AH25" s="38">
        <f>Dados!AO25/Dados!AM25</f>
        <v>0</v>
      </c>
      <c r="AI25" s="37">
        <f>Dados!AP25/Dados!AQ25</f>
        <v>128.29839394882777</v>
      </c>
      <c r="AJ25" s="38" t="e">
        <f>Dados!AR25/Dados!AS25</f>
        <v>#DIV/0!</v>
      </c>
      <c r="AK25" s="38" t="e">
        <f>Dados!AP25/Dados!AS25</f>
        <v>#DIV/0!</v>
      </c>
      <c r="AL25" s="38">
        <f>Dados!AT25/Dados!AP25</f>
        <v>1</v>
      </c>
      <c r="AM25" s="38">
        <f>Dados!AU25/Dados!AW25</f>
        <v>2.0637969711632906</v>
      </c>
      <c r="AN25" s="38">
        <f>Dados!AW25/Dados!AP25</f>
        <v>6.6845994373459491E-2</v>
      </c>
      <c r="AO25" s="37">
        <f>Dados!AX25/Dados!AQ25</f>
        <v>0</v>
      </c>
      <c r="AP25" s="39">
        <f>Dados!AX25/Dados!AV25</f>
        <v>0</v>
      </c>
    </row>
    <row r="26" spans="1:42" x14ac:dyDescent="0.25">
      <c r="A26" s="12">
        <v>152</v>
      </c>
      <c r="B26" s="13" t="s">
        <v>33</v>
      </c>
      <c r="C26" s="37">
        <f>Dados!F26/Dados!G26</f>
        <v>48.854007522222282</v>
      </c>
      <c r="D26" s="38">
        <f>Dados!H26/Dados!I26</f>
        <v>0.45639936971941192</v>
      </c>
      <c r="E26" s="38">
        <f>Dados!F26/Dados!I26</f>
        <v>1.1182034357076343</v>
      </c>
      <c r="F26" s="38">
        <f>Dados!J26/Dados!F26</f>
        <v>0.10570834602455981</v>
      </c>
      <c r="G26" s="38">
        <f>Dados!K26/Dados!M26</f>
        <v>1.630094871078916</v>
      </c>
      <c r="H26" s="38">
        <f>Dados!M26/Dados!F26</f>
        <v>0.45038259990670554</v>
      </c>
      <c r="I26" s="37">
        <f>Dados!N26/Dados!G26</f>
        <v>0</v>
      </c>
      <c r="J26" s="38">
        <f>Dados!N26/Dados!L26</f>
        <v>0</v>
      </c>
      <c r="K26" s="37">
        <f>Dados!O26/Dados!P26</f>
        <v>22.612715209140344</v>
      </c>
      <c r="L26" s="38">
        <f>Dados!Q26/Dados!R26</f>
        <v>0.8840555489201346</v>
      </c>
      <c r="M26" s="38">
        <f>Dados!O26/Dados!R26</f>
        <v>1.2249707757518744</v>
      </c>
      <c r="N26" s="38">
        <f>Dados!S26/Dados!O26</f>
        <v>0.18365399420552686</v>
      </c>
      <c r="O26" s="38">
        <f>Dados!T26/Dados!V26</f>
        <v>6.5495968481029436</v>
      </c>
      <c r="P26" s="38">
        <f>Dados!V26/Dados!O26</f>
        <v>6.973487623256526E-2</v>
      </c>
      <c r="Q26" s="37">
        <f>Dados!W26/Dados!P26</f>
        <v>0</v>
      </c>
      <c r="R26" s="38">
        <f>Dados!W26/Dados!U26</f>
        <v>0</v>
      </c>
      <c r="S26" s="37">
        <f>Dados!X26/Dados!Y26</f>
        <v>14.884979425826813</v>
      </c>
      <c r="T26" s="38">
        <f>Dados!Z26/Dados!AA26</f>
        <v>0.94146704790423219</v>
      </c>
      <c r="U26" s="38">
        <f>Dados!X26/Dados!AA26</f>
        <v>1.0490892359968016</v>
      </c>
      <c r="V26" s="38">
        <f>Dados!AB26/Dados!X26</f>
        <v>4.6792240652587663E-2</v>
      </c>
      <c r="W26" s="38">
        <f>Dados!AC26/Dados!AE26</f>
        <v>63.49541293932824</v>
      </c>
      <c r="X26" s="38">
        <f>Dados!AE26/Dados!X26</f>
        <v>4.9725172427733085E-3</v>
      </c>
      <c r="Y26" s="37">
        <f>Dados!AF26/Dados!Y26</f>
        <v>0</v>
      </c>
      <c r="Z26" s="38">
        <f>Dados!AF26/Dados!AD26</f>
        <v>0</v>
      </c>
      <c r="AA26" s="37">
        <f>Dados!AG26/Dados!AH26</f>
        <v>12.279790235101361</v>
      </c>
      <c r="AB26" s="38">
        <f>Dados!AI26/Dados!AJ26</f>
        <v>0.92501814101223612</v>
      </c>
      <c r="AC26" s="38">
        <f>Dados!AG26/Dados!AJ26</f>
        <v>0.96504216025592826</v>
      </c>
      <c r="AD26" s="38">
        <f>Dados!AK26/Dados!AG26</f>
        <v>-3.6224158056266699E-2</v>
      </c>
      <c r="AE26" s="38">
        <f>Dados!AL26/Dados!AN26</f>
        <v>16.199773019972138</v>
      </c>
      <c r="AF26" s="38">
        <f>Dados!AN26/Dados!AG26</f>
        <v>2.1179770409234321E-2</v>
      </c>
      <c r="AG26" s="37">
        <f>Dados!AO26/Dados!AH26</f>
        <v>0</v>
      </c>
      <c r="AH26" s="38">
        <f>Dados!AO26/Dados!AM26</f>
        <v>0</v>
      </c>
      <c r="AI26" s="37">
        <f>Dados!AP26/Dados!AQ26</f>
        <v>12.452786691079545</v>
      </c>
      <c r="AJ26" s="38">
        <f>Dados!AR26/Dados!AS26</f>
        <v>0</v>
      </c>
      <c r="AK26" s="38">
        <f>Dados!AP26/Dados!AS26</f>
        <v>1.1850113442181474</v>
      </c>
      <c r="AL26" s="38">
        <f>Dados!AT26/Dados!AP26</f>
        <v>0.15612622201538093</v>
      </c>
      <c r="AM26" s="38">
        <f>Dados!AU26/Dados!AW26</f>
        <v>21.014320122387499</v>
      </c>
      <c r="AN26" s="38">
        <f>Dados!AW26/Dados!AP26</f>
        <v>1.7797092826656737E-2</v>
      </c>
      <c r="AO26" s="37">
        <f>Dados!AX26/Dados!AQ26</f>
        <v>0</v>
      </c>
      <c r="AP26" s="39">
        <f>Dados!AX26/Dados!AV26</f>
        <v>0</v>
      </c>
    </row>
    <row r="27" spans="1:42" x14ac:dyDescent="0.25">
      <c r="A27" s="12">
        <v>157</v>
      </c>
      <c r="B27" s="13" t="s">
        <v>34</v>
      </c>
      <c r="C27" s="37">
        <f>Dados!F27/Dados!G27</f>
        <v>97.067236991785848</v>
      </c>
      <c r="D27" s="38">
        <f>Dados!H27/Dados!I27</f>
        <v>0.8959728814793344</v>
      </c>
      <c r="E27" s="38">
        <f>Dados!F27/Dados!I27</f>
        <v>1.7337093720515675</v>
      </c>
      <c r="F27" s="38">
        <f>Dados!J27/Dados!F27</f>
        <v>0.42320205674572769</v>
      </c>
      <c r="G27" s="38">
        <f>Dados!K27/Dados!M27</f>
        <v>9.9133763307932945</v>
      </c>
      <c r="H27" s="38">
        <f>Dados!M27/Dados!F27</f>
        <v>9.4563828718208731E-2</v>
      </c>
      <c r="I27" s="37">
        <f>Dados!N27/Dados!G27</f>
        <v>0</v>
      </c>
      <c r="J27" s="38">
        <f>Dados!N27/Dados!L27</f>
        <v>0</v>
      </c>
      <c r="K27" s="37">
        <f>Dados!O27/Dados!P27</f>
        <v>61.996642794371269</v>
      </c>
      <c r="L27" s="38">
        <f>Dados!Q27/Dados!R27</f>
        <v>0.70212071746837923</v>
      </c>
      <c r="M27" s="38">
        <f>Dados!O27/Dados!R27</f>
        <v>1.031087209883937</v>
      </c>
      <c r="N27" s="38">
        <f>Dados!S27/Dados!O27</f>
        <v>3.0149932601177671E-2</v>
      </c>
      <c r="O27" s="38">
        <f>Dados!T27/Dados!V27</f>
        <v>6.1941210829339477</v>
      </c>
      <c r="P27" s="38">
        <f>Dados!V27/Dados!O27</f>
        <v>0.16273450753033891</v>
      </c>
      <c r="Q27" s="37">
        <f>Dados!W27/Dados!P27</f>
        <v>0</v>
      </c>
      <c r="R27" s="38">
        <f>Dados!W27/Dados!U27</f>
        <v>0</v>
      </c>
      <c r="S27" s="37">
        <f>Dados!X27/Dados!Y27</f>
        <v>48.981727374856881</v>
      </c>
      <c r="T27" s="38">
        <f>Dados!Z27/Dados!AA27</f>
        <v>0.79918195369039247</v>
      </c>
      <c r="U27" s="38">
        <f>Dados!X27/Dados!AA27</f>
        <v>1.1380445639028933</v>
      </c>
      <c r="V27" s="38">
        <f>Dados!AB27/Dados!X27</f>
        <v>0.12129978761945255</v>
      </c>
      <c r="W27" s="38">
        <f>Dados!AC27/Dados!AE27</f>
        <v>29.080169175373701</v>
      </c>
      <c r="X27" s="38">
        <f>Dados!AE27/Dados!X27</f>
        <v>2.2979268589107524E-2</v>
      </c>
      <c r="Y27" s="37">
        <f>Dados!AF27/Dados!Y27</f>
        <v>0</v>
      </c>
      <c r="Z27" s="38">
        <f>Dados!AF27/Dados!AD27</f>
        <v>0</v>
      </c>
      <c r="AA27" s="37">
        <f>Dados!AG27/Dados!AH27</f>
        <v>31.204259993527899</v>
      </c>
      <c r="AB27" s="38">
        <f>Dados!AI27/Dados!AJ27</f>
        <v>0.98901293922576194</v>
      </c>
      <c r="AC27" s="38">
        <f>Dados!AG27/Dados!AJ27</f>
        <v>1.1693233488461572</v>
      </c>
      <c r="AD27" s="38">
        <f>Dados!AK27/Dados!AG27</f>
        <v>0.14480455642422516</v>
      </c>
      <c r="AE27" s="38">
        <f>Dados!AL27/Dados!AN27</f>
        <v>16.159110380670931</v>
      </c>
      <c r="AF27" s="38">
        <f>Dados!AN27/Dados!AG27</f>
        <v>4.9909189738370122E-2</v>
      </c>
      <c r="AG27" s="37">
        <f>Dados!AO27/Dados!AH27</f>
        <v>0</v>
      </c>
      <c r="AH27" s="38">
        <f>Dados!AO27/Dados!AM27</f>
        <v>0</v>
      </c>
      <c r="AI27" s="37">
        <f>Dados!AP27/Dados!AQ27</f>
        <v>0</v>
      </c>
      <c r="AJ27" s="38" t="e">
        <f>Dados!AR27/Dados!AS27</f>
        <v>#DIV/0!</v>
      </c>
      <c r="AK27" s="38" t="e">
        <f>Dados!AP27/Dados!AS27</f>
        <v>#DIV/0!</v>
      </c>
      <c r="AL27" s="38" t="e">
        <f>Dados!AT27/Dados!AP27</f>
        <v>#DIV/0!</v>
      </c>
      <c r="AM27" s="38">
        <f>Dados!AU27/Dados!AW27</f>
        <v>9.1402161441385523</v>
      </c>
      <c r="AN27" s="38" t="e">
        <f>Dados!AW27/Dados!AP27</f>
        <v>#DIV/0!</v>
      </c>
      <c r="AO27" s="37">
        <f>Dados!AX27/Dados!AQ27</f>
        <v>0</v>
      </c>
      <c r="AP27" s="39" t="e">
        <f>Dados!AX27/Dados!AV27</f>
        <v>#DIV/0!</v>
      </c>
    </row>
    <row r="28" spans="1:42" x14ac:dyDescent="0.25">
      <c r="A28" s="12">
        <v>162</v>
      </c>
      <c r="B28" s="13" t="s">
        <v>35</v>
      </c>
      <c r="C28" s="37">
        <f>Dados!F28/Dados!G28</f>
        <v>0</v>
      </c>
      <c r="D28" s="38" t="e">
        <f>Dados!H28/Dados!I28</f>
        <v>#DIV/0!</v>
      </c>
      <c r="E28" s="38" t="e">
        <f>Dados!F28/Dados!I28</f>
        <v>#DIV/0!</v>
      </c>
      <c r="F28" s="38" t="e">
        <f>Dados!J28/Dados!F28</f>
        <v>#DIV/0!</v>
      </c>
      <c r="G28" s="38" t="e">
        <f>Dados!K28/Dados!M28</f>
        <v>#DIV/0!</v>
      </c>
      <c r="H28" s="38" t="e">
        <f>Dados!M28/Dados!F28</f>
        <v>#DIV/0!</v>
      </c>
      <c r="I28" s="37">
        <f>Dados!N28/Dados!G28</f>
        <v>0</v>
      </c>
      <c r="J28" s="38" t="e">
        <f>Dados!N28/Dados!L28</f>
        <v>#DIV/0!</v>
      </c>
      <c r="K28" s="37">
        <f>Dados!O28/Dados!P28</f>
        <v>0</v>
      </c>
      <c r="L28" s="38" t="e">
        <f>Dados!Q28/Dados!R28</f>
        <v>#DIV/0!</v>
      </c>
      <c r="M28" s="38" t="e">
        <f>Dados!O28/Dados!R28</f>
        <v>#DIV/0!</v>
      </c>
      <c r="N28" s="38" t="e">
        <f>Dados!S28/Dados!O28</f>
        <v>#DIV/0!</v>
      </c>
      <c r="O28" s="38" t="e">
        <f>Dados!T28/Dados!V28</f>
        <v>#DIV/0!</v>
      </c>
      <c r="P28" s="38" t="e">
        <f>Dados!V28/Dados!O28</f>
        <v>#DIV/0!</v>
      </c>
      <c r="Q28" s="37">
        <f>Dados!W28/Dados!P28</f>
        <v>0</v>
      </c>
      <c r="R28" s="38" t="e">
        <f>Dados!W28/Dados!U28</f>
        <v>#DIV/0!</v>
      </c>
      <c r="S28" s="37">
        <f>Dados!X28/Dados!Y28</f>
        <v>0</v>
      </c>
      <c r="T28" s="38" t="e">
        <f>Dados!Z28/Dados!AA28</f>
        <v>#DIV/0!</v>
      </c>
      <c r="U28" s="38" t="e">
        <f>Dados!X28/Dados!AA28</f>
        <v>#DIV/0!</v>
      </c>
      <c r="V28" s="38" t="e">
        <f>Dados!AB28/Dados!X28</f>
        <v>#DIV/0!</v>
      </c>
      <c r="W28" s="38" t="e">
        <f>Dados!AC28/Dados!AE28</f>
        <v>#DIV/0!</v>
      </c>
      <c r="X28" s="38" t="e">
        <f>Dados!AE28/Dados!X28</f>
        <v>#DIV/0!</v>
      </c>
      <c r="Y28" s="37">
        <f>Dados!AF28/Dados!Y28</f>
        <v>0</v>
      </c>
      <c r="Z28" s="38" t="e">
        <f>Dados!AF28/Dados!AD28</f>
        <v>#DIV/0!</v>
      </c>
      <c r="AA28" s="37">
        <f>Dados!AG28/Dados!AH28</f>
        <v>54.812095134969219</v>
      </c>
      <c r="AB28" s="38">
        <f>Dados!AI28/Dados!AJ28</f>
        <v>0.97096805953824927</v>
      </c>
      <c r="AC28" s="38">
        <f>Dados!AG28/Dados!AJ28</f>
        <v>0.92509993604135654</v>
      </c>
      <c r="AD28" s="38">
        <f>Dados!AK28/Dados!AG28</f>
        <v>-8.0964294818949151E-2</v>
      </c>
      <c r="AE28" s="38" t="e">
        <f>Dados!AL28/Dados!AN28</f>
        <v>#DIV/0!</v>
      </c>
      <c r="AF28" s="38">
        <f>Dados!AN28/Dados!AG28</f>
        <v>0</v>
      </c>
      <c r="AG28" s="37">
        <f>Dados!AO28/Dados!AH28</f>
        <v>0</v>
      </c>
      <c r="AH28" s="38">
        <f>Dados!AO28/Dados!AM28</f>
        <v>0</v>
      </c>
      <c r="AI28" s="37">
        <f>Dados!AP28/Dados!AQ28</f>
        <v>47.215361855789482</v>
      </c>
      <c r="AJ28" s="38">
        <f>Dados!AR28/Dados!AS28</f>
        <v>0.91903589073022984</v>
      </c>
      <c r="AK28" s="38">
        <f>Dados!AP28/Dados!AS28</f>
        <v>0.91403107807971784</v>
      </c>
      <c r="AL28" s="38">
        <f>Dados!AT28/Dados!AP28</f>
        <v>-9.4054703370583109E-2</v>
      </c>
      <c r="AM28" s="38">
        <f>Dados!AU28/Dados!AW28</f>
        <v>17.001202877913865</v>
      </c>
      <c r="AN28" s="38">
        <f>Dados!AW28/Dados!AP28</f>
        <v>9.6557393000900587E-3</v>
      </c>
      <c r="AO28" s="37">
        <f>Dados!AX28/Dados!AQ28</f>
        <v>0</v>
      </c>
      <c r="AP28" s="39">
        <f>Dados!AX28/Dados!AV28</f>
        <v>0</v>
      </c>
    </row>
    <row r="29" spans="1:42" ht="25.5" x14ac:dyDescent="0.25">
      <c r="A29" s="12">
        <v>165</v>
      </c>
      <c r="B29" s="13" t="s">
        <v>36</v>
      </c>
      <c r="C29" s="37">
        <f>Dados!F29/Dados!G29</f>
        <v>69.350512908732611</v>
      </c>
      <c r="D29" s="38">
        <f>Dados!H29/Dados!I29</f>
        <v>0.99476038455524329</v>
      </c>
      <c r="E29" s="38">
        <f>Dados!F29/Dados!I29</f>
        <v>2.3913643650928704</v>
      </c>
      <c r="F29" s="38">
        <f>Dados!J29/Dados!F29</f>
        <v>0.58182867713629904</v>
      </c>
      <c r="G29" s="38">
        <f>Dados!K29/Dados!M29</f>
        <v>-13509.072045873965</v>
      </c>
      <c r="H29" s="38">
        <f>Dados!M29/Dados!F29</f>
        <v>-4.907574768874869E-5</v>
      </c>
      <c r="I29" s="37">
        <f>Dados!N29/Dados!G29</f>
        <v>0</v>
      </c>
      <c r="J29" s="38">
        <f>Dados!N29/Dados!L29</f>
        <v>0</v>
      </c>
      <c r="K29" s="37">
        <f>Dados!O29/Dados!P29</f>
        <v>0</v>
      </c>
      <c r="L29" s="38" t="e">
        <f>Dados!Q29/Dados!R29</f>
        <v>#DIV/0!</v>
      </c>
      <c r="M29" s="38" t="e">
        <f>Dados!O29/Dados!R29</f>
        <v>#DIV/0!</v>
      </c>
      <c r="N29" s="38" t="e">
        <f>Dados!S29/Dados!O29</f>
        <v>#DIV/0!</v>
      </c>
      <c r="O29" s="38" t="e">
        <f>Dados!T29/Dados!V29</f>
        <v>#DIV/0!</v>
      </c>
      <c r="P29" s="38" t="e">
        <f>Dados!V29/Dados!O29</f>
        <v>#DIV/0!</v>
      </c>
      <c r="Q29" s="37">
        <f>Dados!W29/Dados!P29</f>
        <v>0</v>
      </c>
      <c r="R29" s="38" t="e">
        <f>Dados!W29/Dados!U29</f>
        <v>#DIV/0!</v>
      </c>
      <c r="S29" s="37">
        <f>Dados!X29/Dados!Y29</f>
        <v>0</v>
      </c>
      <c r="T29" s="38" t="e">
        <f>Dados!Z29/Dados!AA29</f>
        <v>#DIV/0!</v>
      </c>
      <c r="U29" s="38" t="e">
        <f>Dados!X29/Dados!AA29</f>
        <v>#DIV/0!</v>
      </c>
      <c r="V29" s="38" t="e">
        <f>Dados!AB29/Dados!X29</f>
        <v>#DIV/0!</v>
      </c>
      <c r="W29" s="38" t="e">
        <f>Dados!AC29/Dados!AE29</f>
        <v>#DIV/0!</v>
      </c>
      <c r="X29" s="38" t="e">
        <f>Dados!AE29/Dados!X29</f>
        <v>#DIV/0!</v>
      </c>
      <c r="Y29" s="37">
        <f>Dados!AF29/Dados!Y29</f>
        <v>0</v>
      </c>
      <c r="Z29" s="38" t="e">
        <f>Dados!AF29/Dados!AD29</f>
        <v>#DIV/0!</v>
      </c>
      <c r="AA29" s="37">
        <f>Dados!AG29/Dados!AH29</f>
        <v>0</v>
      </c>
      <c r="AB29" s="38" t="e">
        <f>Dados!AI29/Dados!AJ29</f>
        <v>#DIV/0!</v>
      </c>
      <c r="AC29" s="38" t="e">
        <f>Dados!AG29/Dados!AJ29</f>
        <v>#DIV/0!</v>
      </c>
      <c r="AD29" s="38" t="e">
        <f>Dados!AK29/Dados!AG29</f>
        <v>#DIV/0!</v>
      </c>
      <c r="AE29" s="38" t="e">
        <f>Dados!AL29/Dados!AN29</f>
        <v>#DIV/0!</v>
      </c>
      <c r="AF29" s="38" t="e">
        <f>Dados!AN29/Dados!AG29</f>
        <v>#DIV/0!</v>
      </c>
      <c r="AG29" s="37">
        <f>Dados!AO29/Dados!AH29</f>
        <v>0</v>
      </c>
      <c r="AH29" s="38" t="e">
        <f>Dados!AO29/Dados!AM29</f>
        <v>#DIV/0!</v>
      </c>
      <c r="AI29" s="37">
        <f>Dados!AP29/Dados!AQ29</f>
        <v>0</v>
      </c>
      <c r="AJ29" s="38" t="e">
        <f>Dados!AR29/Dados!AS29</f>
        <v>#DIV/0!</v>
      </c>
      <c r="AK29" s="38" t="e">
        <f>Dados!AP29/Dados!AS29</f>
        <v>#DIV/0!</v>
      </c>
      <c r="AL29" s="38" t="e">
        <f>Dados!AT29/Dados!AP29</f>
        <v>#DIV/0!</v>
      </c>
      <c r="AM29" s="38" t="e">
        <f>Dados!AU29/Dados!AW29</f>
        <v>#DIV/0!</v>
      </c>
      <c r="AN29" s="38" t="e">
        <f>Dados!AW29/Dados!AP29</f>
        <v>#DIV/0!</v>
      </c>
      <c r="AO29" s="37">
        <f>Dados!AX29/Dados!AQ29</f>
        <v>0</v>
      </c>
      <c r="AP29" s="39" t="e">
        <f>Dados!AX29/Dados!AV29</f>
        <v>#DIV/0!</v>
      </c>
    </row>
    <row r="30" spans="1:42" x14ac:dyDescent="0.25">
      <c r="A30" s="12">
        <v>169</v>
      </c>
      <c r="B30" s="13" t="s">
        <v>37</v>
      </c>
      <c r="C30" s="37">
        <f>Dados!F30/Dados!G30</f>
        <v>195.91591042145592</v>
      </c>
      <c r="D30" s="38">
        <f>Dados!H30/Dados!I30</f>
        <v>0.90201104561257861</v>
      </c>
      <c r="E30" s="38">
        <f>Dados!F30/Dados!I30</f>
        <v>1.4217638123119505</v>
      </c>
      <c r="F30" s="38">
        <f>Dados!J30/Dados!F30</f>
        <v>0.29664829605285453</v>
      </c>
      <c r="G30" s="38" t="e">
        <f>Dados!K30/Dados!M30</f>
        <v>#DIV/0!</v>
      </c>
      <c r="H30" s="38">
        <f>Dados!M30/Dados!F30</f>
        <v>0</v>
      </c>
      <c r="I30" s="37">
        <f>Dados!N30/Dados!G30</f>
        <v>0</v>
      </c>
      <c r="J30" s="38">
        <f>Dados!N30/Dados!L30</f>
        <v>0</v>
      </c>
      <c r="K30" s="37">
        <f>Dados!O30/Dados!P30</f>
        <v>175.25073390810479</v>
      </c>
      <c r="L30" s="38">
        <f>Dados!Q30/Dados!R30</f>
        <v>0.99262584200979231</v>
      </c>
      <c r="M30" s="38">
        <f>Dados!O30/Dados!R30</f>
        <v>1.5795346825629064</v>
      </c>
      <c r="N30" s="38">
        <f>Dados!S30/Dados!O30</f>
        <v>0.36690215730025666</v>
      </c>
      <c r="O30" s="38">
        <f>Dados!T30/Dados!V30</f>
        <v>33.974792333895621</v>
      </c>
      <c r="P30" s="38">
        <f>Dados!V30/Dados!O30</f>
        <v>1.7282817746445977E-2</v>
      </c>
      <c r="Q30" s="37">
        <f>Dados!W30/Dados!P30</f>
        <v>0</v>
      </c>
      <c r="R30" s="38">
        <f>Dados!W30/Dados!U30</f>
        <v>0</v>
      </c>
      <c r="S30" s="37">
        <f>Dados!X30/Dados!Y30</f>
        <v>103.8954162353303</v>
      </c>
      <c r="T30" s="38">
        <f>Dados!Z30/Dados!AA30</f>
        <v>0.99804765331121259</v>
      </c>
      <c r="U30" s="38">
        <f>Dados!X30/Dados!AA30</f>
        <v>1.1824145365792371</v>
      </c>
      <c r="V30" s="38">
        <f>Dados!AB30/Dados!X30</f>
        <v>0.15427291439343099</v>
      </c>
      <c r="W30" s="38">
        <f>Dados!AC30/Dados!AE30</f>
        <v>39.686921062002966</v>
      </c>
      <c r="X30" s="38">
        <f>Dados!AE30/Dados!X30</f>
        <v>8.8946428121175272E-3</v>
      </c>
      <c r="Y30" s="37">
        <f>Dados!AF30/Dados!Y30</f>
        <v>0</v>
      </c>
      <c r="Z30" s="38">
        <f>Dados!AF30/Dados!AD30</f>
        <v>0</v>
      </c>
      <c r="AA30" s="37">
        <f>Dados!AG30/Dados!AH30</f>
        <v>73.879246766245771</v>
      </c>
      <c r="AB30" s="38">
        <f>Dados!AI30/Dados!AJ30</f>
        <v>0.98035646089490669</v>
      </c>
      <c r="AC30" s="38">
        <f>Dados!AG30/Dados!AJ30</f>
        <v>1.0195469442164475</v>
      </c>
      <c r="AD30" s="38">
        <f>Dados!AK30/Dados!AG30</f>
        <v>1.9172186555342943E-2</v>
      </c>
      <c r="AE30" s="38">
        <f>Dados!AL30/Dados!AN30</f>
        <v>242.70002751485799</v>
      </c>
      <c r="AF30" s="38">
        <f>Dados!AN30/Dados!AG30</f>
        <v>1.1362901438053069E-3</v>
      </c>
      <c r="AG30" s="37">
        <f>Dados!AO30/Dados!AH30</f>
        <v>0</v>
      </c>
      <c r="AH30" s="38">
        <f>Dados!AO30/Dados!AM30</f>
        <v>0</v>
      </c>
      <c r="AI30" s="37">
        <f>Dados!AP30/Dados!AQ30</f>
        <v>65.827971602277373</v>
      </c>
      <c r="AJ30" s="38">
        <f>Dados!AR30/Dados!AS30</f>
        <v>0.94890416475094586</v>
      </c>
      <c r="AK30" s="38">
        <f>Dados!AP30/Dados!AS30</f>
        <v>1.1038450558108381</v>
      </c>
      <c r="AL30" s="38">
        <f>Dados!AT30/Dados!AP30</f>
        <v>9.4075753896961656E-2</v>
      </c>
      <c r="AM30" s="38" t="e">
        <f>Dados!AU30/Dados!AW30</f>
        <v>#DIV/0!</v>
      </c>
      <c r="AN30" s="38">
        <f>Dados!AW30/Dados!AP30</f>
        <v>0</v>
      </c>
      <c r="AO30" s="37">
        <f>Dados!AX30/Dados!AQ30</f>
        <v>0</v>
      </c>
      <c r="AP30" s="39">
        <f>Dados!AX30/Dados!AV30</f>
        <v>0</v>
      </c>
    </row>
    <row r="31" spans="1:42" x14ac:dyDescent="0.25">
      <c r="A31" s="12">
        <v>172</v>
      </c>
      <c r="B31" s="13" t="s">
        <v>38</v>
      </c>
      <c r="C31" s="37">
        <f>Dados!F31/Dados!G31</f>
        <v>92.000695621517266</v>
      </c>
      <c r="D31" s="38">
        <f>Dados!H31/Dados!I31</f>
        <v>0.74123678756272771</v>
      </c>
      <c r="E31" s="38">
        <f>Dados!F31/Dados!I31</f>
        <v>1.0259375652220331</v>
      </c>
      <c r="F31" s="38">
        <f>Dados!J31/Dados!F31</f>
        <v>2.5281816458704056E-2</v>
      </c>
      <c r="G31" s="38">
        <f>Dados!K31/Dados!M31</f>
        <v>4.6927900680261398</v>
      </c>
      <c r="H31" s="38">
        <f>Dados!M31/Dados!F31</f>
        <v>9.2646134016184614E-2</v>
      </c>
      <c r="I31" s="37">
        <f>Dados!N31/Dados!G31</f>
        <v>0</v>
      </c>
      <c r="J31" s="38">
        <f>Dados!N31/Dados!L31</f>
        <v>0</v>
      </c>
      <c r="K31" s="37">
        <f>Dados!O31/Dados!P31</f>
        <v>76.151179385291883</v>
      </c>
      <c r="L31" s="38">
        <f>Dados!Q31/Dados!R31</f>
        <v>1</v>
      </c>
      <c r="M31" s="38">
        <f>Dados!O31/Dados!R31</f>
        <v>1.53491452444022</v>
      </c>
      <c r="N31" s="38">
        <f>Dados!S31/Dados!O31</f>
        <v>0.34849792344971275</v>
      </c>
      <c r="O31" s="38">
        <f>Dados!T31/Dados!V31</f>
        <v>9.8843316112454467</v>
      </c>
      <c r="P31" s="38">
        <f>Dados!V31/Dados!O31</f>
        <v>4.2376921941558982E-2</v>
      </c>
      <c r="Q31" s="37">
        <f>Dados!W31/Dados!P31</f>
        <v>0</v>
      </c>
      <c r="R31" s="38">
        <f>Dados!W31/Dados!U31</f>
        <v>0</v>
      </c>
      <c r="S31" s="37">
        <f>Dados!X31/Dados!Y31</f>
        <v>34.128626576342562</v>
      </c>
      <c r="T31" s="38">
        <f>Dados!Z31/Dados!AA31</f>
        <v>0.99326002015840009</v>
      </c>
      <c r="U31" s="38">
        <f>Dados!X31/Dados!AA31</f>
        <v>0.99495303675028934</v>
      </c>
      <c r="V31" s="38">
        <f>Dados!AB31/Dados!X31</f>
        <v>-5.0725642952906885E-3</v>
      </c>
      <c r="W31" s="38">
        <f>Dados!AC31/Dados!AE31</f>
        <v>2.8597262148298408</v>
      </c>
      <c r="X31" s="38">
        <f>Dados!AE31/Dados!X31</f>
        <v>2.8584782870668398E-2</v>
      </c>
      <c r="Y31" s="37">
        <f>Dados!AF31/Dados!Y31</f>
        <v>0</v>
      </c>
      <c r="Z31" s="38">
        <f>Dados!AF31/Dados!AD31</f>
        <v>0</v>
      </c>
      <c r="AA31" s="37">
        <f>Dados!AG31/Dados!AH31</f>
        <v>25.261352250231877</v>
      </c>
      <c r="AB31" s="38">
        <f>Dados!AI31/Dados!AJ31</f>
        <v>1</v>
      </c>
      <c r="AC31" s="38">
        <f>Dados!AG31/Dados!AJ31</f>
        <v>1.0195045288112157</v>
      </c>
      <c r="AD31" s="38">
        <f>Dados!AK31/Dados!AG31</f>
        <v>1.9131380253856016E-2</v>
      </c>
      <c r="AE31" s="38">
        <f>Dados!AL31/Dados!AN31</f>
        <v>2.3924769074284176</v>
      </c>
      <c r="AF31" s="38">
        <f>Dados!AN31/Dados!AG31</f>
        <v>5.0323124991645506E-2</v>
      </c>
      <c r="AG31" s="37">
        <f>Dados!AO31/Dados!AH31</f>
        <v>0</v>
      </c>
      <c r="AH31" s="38">
        <f>Dados!AO31/Dados!AM31</f>
        <v>0</v>
      </c>
      <c r="AI31" s="37">
        <f>Dados!AP31/Dados!AQ31</f>
        <v>19.95796759510586</v>
      </c>
      <c r="AJ31" s="38">
        <f>Dados!AR31/Dados!AS31</f>
        <v>1</v>
      </c>
      <c r="AK31" s="38">
        <f>Dados!AP31/Dados!AS31</f>
        <v>1.1122712156877836</v>
      </c>
      <c r="AL31" s="38">
        <f>Dados!AT31/Dados!AP31</f>
        <v>0.1009387046111406</v>
      </c>
      <c r="AM31" s="38">
        <f>Dados!AU31/Dados!AW31</f>
        <v>3.5620962438499792</v>
      </c>
      <c r="AN31" s="38">
        <f>Dados!AW31/Dados!AP31</f>
        <v>2.2335243536521662E-2</v>
      </c>
      <c r="AO31" s="37">
        <f>Dados!AX31/Dados!AQ31</f>
        <v>0</v>
      </c>
      <c r="AP31" s="39">
        <f>Dados!AX31/Dados!AV31</f>
        <v>0</v>
      </c>
    </row>
    <row r="32" spans="1:42" ht="25.5" x14ac:dyDescent="0.25">
      <c r="A32" s="12">
        <v>176</v>
      </c>
      <c r="B32" s="13" t="s">
        <v>39</v>
      </c>
      <c r="C32" s="37">
        <f>Dados!F32/Dados!G32</f>
        <v>128.63067016778328</v>
      </c>
      <c r="D32" s="38">
        <f>Dados!H32/Dados!I32</f>
        <v>0.84690781684505267</v>
      </c>
      <c r="E32" s="38">
        <f>Dados!F32/Dados!I32</f>
        <v>1.3179250279700612</v>
      </c>
      <c r="F32" s="38">
        <f>Dados!J32/Dados!F32</f>
        <v>0.24123149740903424</v>
      </c>
      <c r="G32" s="38">
        <f>Dados!K32/Dados!M32</f>
        <v>208.00623119080939</v>
      </c>
      <c r="H32" s="38">
        <f>Dados!M32/Dados!F32</f>
        <v>1.8775936657139088E-3</v>
      </c>
      <c r="I32" s="37">
        <f>Dados!N32/Dados!G32</f>
        <v>0</v>
      </c>
      <c r="J32" s="38">
        <f>Dados!N32/Dados!L32</f>
        <v>0</v>
      </c>
      <c r="K32" s="37" t="e">
        <f>Dados!#REF!/Dados!#REF!</f>
        <v>#REF!</v>
      </c>
      <c r="L32" s="38">
        <f>Dados!Q32/Dados!R32</f>
        <v>0.69648087865789332</v>
      </c>
      <c r="M32" s="38">
        <f>Dados!O32/Dados!R32</f>
        <v>0.96731008407099672</v>
      </c>
      <c r="N32" s="38" t="e">
        <f>Dados!#REF!/Dados!#REF!</f>
        <v>#REF!</v>
      </c>
      <c r="O32" s="38" t="e">
        <f>Dados!#REF!/Dados!#REF!</f>
        <v>#REF!</v>
      </c>
      <c r="P32" s="38">
        <f>Dados!V32/Dados!O32</f>
        <v>3.3544546425801312E-2</v>
      </c>
      <c r="Q32" s="37" t="e">
        <f>Dados!#REF!/Dados!#REF!</f>
        <v>#REF!</v>
      </c>
      <c r="R32" s="38" t="e">
        <f>Dados!#REF!/Dados!#REF!</f>
        <v>#REF!</v>
      </c>
      <c r="S32" s="37" t="e">
        <f>Dados!#REF!/Dados!#REF!</f>
        <v>#REF!</v>
      </c>
      <c r="T32" s="38">
        <f>Dados!Z32/Dados!AA32</f>
        <v>0.99902738752776787</v>
      </c>
      <c r="U32" s="38">
        <f>Dados!X32/Dados!AA32</f>
        <v>1.3116677898067348</v>
      </c>
      <c r="V32" s="38" t="e">
        <f>Dados!#REF!/Dados!#REF!</f>
        <v>#REF!</v>
      </c>
      <c r="W32" s="38" t="e">
        <f>Dados!#REF!/Dados!#REF!</f>
        <v>#REF!</v>
      </c>
      <c r="X32" s="38">
        <f>Dados!AE32/Dados!X32</f>
        <v>4.5919479884557086E-4</v>
      </c>
      <c r="Y32" s="37" t="e">
        <f>Dados!#REF!/Dados!#REF!</f>
        <v>#REF!</v>
      </c>
      <c r="Z32" s="38" t="e">
        <f>Dados!#REF!/Dados!#REF!</f>
        <v>#REF!</v>
      </c>
      <c r="AA32" s="37" t="e">
        <f>Dados!#REF!/Dados!#REF!</f>
        <v>#REF!</v>
      </c>
      <c r="AB32" s="38">
        <f>Dados!AI32/Dados!AJ32</f>
        <v>0.9869196659897812</v>
      </c>
      <c r="AC32" s="38">
        <f>Dados!AG32/Dados!AJ32</f>
        <v>1.1092901649130262</v>
      </c>
      <c r="AD32" s="38" t="e">
        <f>Dados!#REF!/Dados!#REF!</f>
        <v>#REF!</v>
      </c>
      <c r="AE32" s="38" t="e">
        <f>Dados!#REF!/Dados!#REF!</f>
        <v>#REF!</v>
      </c>
      <c r="AF32" s="38">
        <f>Dados!AN32/Dados!AG32</f>
        <v>4.3454790826875297E-3</v>
      </c>
      <c r="AG32" s="37" t="e">
        <f>Dados!#REF!/Dados!#REF!</f>
        <v>#REF!</v>
      </c>
      <c r="AH32" s="38" t="e">
        <f>Dados!#REF!/Dados!#REF!</f>
        <v>#REF!</v>
      </c>
      <c r="AI32" s="37" t="e">
        <f>Dados!#REF!/Dados!#REF!</f>
        <v>#REF!</v>
      </c>
      <c r="AJ32" s="38">
        <f>Dados!AR32/Dados!AS32</f>
        <v>0.95673850381353231</v>
      </c>
      <c r="AK32" s="38">
        <f>Dados!AP32/Dados!AS32</f>
        <v>1.1436569553057125</v>
      </c>
      <c r="AL32" s="38" t="e">
        <f>Dados!#REF!/Dados!#REF!</f>
        <v>#REF!</v>
      </c>
      <c r="AM32" s="38" t="e">
        <f>Dados!#REF!/Dados!#REF!</f>
        <v>#REF!</v>
      </c>
      <c r="AN32" s="38">
        <f>Dados!AW32/Dados!AP32</f>
        <v>3.5913728867776842E-2</v>
      </c>
      <c r="AO32" s="37" t="e">
        <f>Dados!#REF!/Dados!#REF!</f>
        <v>#REF!</v>
      </c>
      <c r="AP32" s="39" t="e">
        <f>Dados!#REF!/Dados!#REF!</f>
        <v>#REF!</v>
      </c>
    </row>
    <row r="33" spans="1:42" ht="25.5" x14ac:dyDescent="0.25">
      <c r="A33" s="12">
        <v>181</v>
      </c>
      <c r="B33" s="13" t="s">
        <v>40</v>
      </c>
      <c r="C33" s="37">
        <f>Dados!F33/Dados!G33</f>
        <v>394.02164916402967</v>
      </c>
      <c r="D33" s="38">
        <f>Dados!H33/Dados!I33</f>
        <v>0.8967225229001492</v>
      </c>
      <c r="E33" s="38">
        <f>Dados!F33/Dados!I33</f>
        <v>1.4158462203901043</v>
      </c>
      <c r="F33" s="38">
        <f>Dados!J33/Dados!F33</f>
        <v>0.29370860648660518</v>
      </c>
      <c r="G33" s="38">
        <f>Dados!K33/Dados!M33</f>
        <v>26.920483029548858</v>
      </c>
      <c r="H33" s="38">
        <f>Dados!M33/Dados!F33</f>
        <v>1.6196603363234953E-2</v>
      </c>
      <c r="I33" s="37">
        <f>Dados!N33/Dados!G33</f>
        <v>0</v>
      </c>
      <c r="J33" s="38">
        <f>Dados!N33/Dados!L33</f>
        <v>0</v>
      </c>
      <c r="K33" s="37">
        <f>Dados!O32/Dados!P32</f>
        <v>88.631639830815701</v>
      </c>
      <c r="L33" s="38">
        <f>Dados!Q33/Dados!R33</f>
        <v>0.8900450766287753</v>
      </c>
      <c r="M33" s="38">
        <f>Dados!O33/Dados!R33</f>
        <v>1.1074333733668271</v>
      </c>
      <c r="N33" s="38">
        <f>Dados!S32/Dados!O32</f>
        <v>-3.3794660540935675E-2</v>
      </c>
      <c r="O33" s="38">
        <f>Dados!T32/Dados!V32</f>
        <v>14.587907067867576</v>
      </c>
      <c r="P33" s="38">
        <f>Dados!V33/Dados!O33</f>
        <v>3.075475976850179E-2</v>
      </c>
      <c r="Q33" s="37">
        <f>Dados!W32/Dados!P32</f>
        <v>0</v>
      </c>
      <c r="R33" s="38">
        <f>Dados!W32/Dados!U32</f>
        <v>0</v>
      </c>
      <c r="S33" s="37">
        <f>Dados!X32/Dados!Y32</f>
        <v>60.654413974382557</v>
      </c>
      <c r="T33" s="38">
        <f>Dados!Z33/Dados!AA33</f>
        <v>0.96240034682959086</v>
      </c>
      <c r="U33" s="38">
        <f>Dados!X33/Dados!AA33</f>
        <v>1.2125858140272447</v>
      </c>
      <c r="V33" s="38">
        <f>Dados!AB32/Dados!X32</f>
        <v>0.2376118345123478</v>
      </c>
      <c r="W33" s="38">
        <f>Dados!AC32/Dados!AE32</f>
        <v>776.81885759474426</v>
      </c>
      <c r="X33" s="38">
        <f>Dados!AE33/Dados!X33</f>
        <v>6.5713012834750631E-2</v>
      </c>
      <c r="Y33" s="37">
        <f>Dados!AF32/Dados!Y32</f>
        <v>0</v>
      </c>
      <c r="Z33" s="38">
        <f>Dados!AF32/Dados!AD32</f>
        <v>0</v>
      </c>
      <c r="AA33" s="37">
        <f>Dados!AG32/Dados!AH32</f>
        <v>35.716226409606314</v>
      </c>
      <c r="AB33" s="38">
        <f>Dados!AI33/Dados!AJ33</f>
        <v>0.86692349257691481</v>
      </c>
      <c r="AC33" s="38">
        <f>Dados!AG33/Dados!AJ33</f>
        <v>1.5049172461980178</v>
      </c>
      <c r="AD33" s="38">
        <f>Dados!AK32/Dados!AG32</f>
        <v>9.8522612360486553E-2</v>
      </c>
      <c r="AE33" s="38">
        <f>Dados!AL32/Dados!AN32</f>
        <v>48.746382863885991</v>
      </c>
      <c r="AF33" s="38">
        <f>Dados!AN33/Dados!AG33</f>
        <v>3.8315185657107544E-2</v>
      </c>
      <c r="AG33" s="37">
        <f>Dados!AO32/Dados!AH32</f>
        <v>0</v>
      </c>
      <c r="AH33" s="38">
        <f>Dados!AO32/Dados!AM32</f>
        <v>0</v>
      </c>
      <c r="AI33" s="37">
        <f>Dados!AP32/Dados!AQ32</f>
        <v>25.963740145233256</v>
      </c>
      <c r="AJ33" s="38">
        <f>Dados!AR33/Dados!AS33</f>
        <v>0.96078553817449219</v>
      </c>
      <c r="AK33" s="38">
        <f>Dados!AP33/Dados!AS33</f>
        <v>1.2680473984790721</v>
      </c>
      <c r="AL33" s="38">
        <f>Dados!AT32/Dados!AP32</f>
        <v>0.12561192815664854</v>
      </c>
      <c r="AM33" s="38">
        <f>Dados!AU32/Dados!AW32</f>
        <v>5.2389225535660007</v>
      </c>
      <c r="AN33" s="38">
        <f>Dados!AW33/Dados!AP33</f>
        <v>5.0449251666969758E-2</v>
      </c>
      <c r="AO33" s="37">
        <f>Dados!AX32/Dados!AQ32</f>
        <v>0</v>
      </c>
      <c r="AP33" s="39">
        <f>Dados!AX32/Dados!AV32</f>
        <v>0</v>
      </c>
    </row>
    <row r="34" spans="1:42" x14ac:dyDescent="0.25">
      <c r="A34" s="12">
        <v>183</v>
      </c>
      <c r="B34" s="13" t="s">
        <v>41</v>
      </c>
      <c r="C34" s="37">
        <f>Dados!F34/Dados!G34</f>
        <v>62.117001292829542</v>
      </c>
      <c r="D34" s="38">
        <f>Dados!H34/Dados!I34</f>
        <v>0.99987470209723228</v>
      </c>
      <c r="E34" s="38">
        <f>Dados!F34/Dados!I34</f>
        <v>1.0449941586319247</v>
      </c>
      <c r="F34" s="38">
        <f>Dados!J34/Dados!F34</f>
        <v>4.3056851811334375E-2</v>
      </c>
      <c r="G34" s="38" t="e">
        <f>Dados!K34/Dados!M34</f>
        <v>#DIV/0!</v>
      </c>
      <c r="H34" s="38">
        <f>Dados!M34/Dados!F34</f>
        <v>0</v>
      </c>
      <c r="I34" s="37">
        <f>Dados!N34/Dados!G34</f>
        <v>0</v>
      </c>
      <c r="J34" s="38">
        <f>Dados!N34/Dados!L34</f>
        <v>0</v>
      </c>
      <c r="K34" s="37">
        <f>Dados!O33/Dados!P33</f>
        <v>263.18835076432453</v>
      </c>
      <c r="L34" s="38">
        <f>Dados!Q34/Dados!R34</f>
        <v>0.99960486859361442</v>
      </c>
      <c r="M34" s="38">
        <f>Dados!O34/Dados!R34</f>
        <v>0.90938739876405772</v>
      </c>
      <c r="N34" s="38">
        <f>Dados!S33/Dados!O33</f>
        <v>9.7011139406253652E-2</v>
      </c>
      <c r="O34" s="38">
        <f>Dados!T33/Dados!V33</f>
        <v>13.482101147564059</v>
      </c>
      <c r="P34" s="38">
        <f>Dados!V34/Dados!O34</f>
        <v>0</v>
      </c>
      <c r="Q34" s="37">
        <f>Dados!W33/Dados!P33</f>
        <v>0</v>
      </c>
      <c r="R34" s="38">
        <f>Dados!W33/Dados!U33</f>
        <v>0</v>
      </c>
      <c r="S34" s="37">
        <f>Dados!X33/Dados!Y33</f>
        <v>253.17485482755757</v>
      </c>
      <c r="T34" s="38">
        <f>Dados!Z34/Dados!AA34</f>
        <v>0.9995955962206855</v>
      </c>
      <c r="U34" s="38">
        <f>Dados!X34/Dados!AA34</f>
        <v>1.0848687869691958</v>
      </c>
      <c r="V34" s="38">
        <f>Dados!AB33/Dados!X33</f>
        <v>0.17531609851281688</v>
      </c>
      <c r="W34" s="38">
        <f>Dados!AC33/Dados!AE33</f>
        <v>6.4531772496634305</v>
      </c>
      <c r="X34" s="38">
        <f>Dados!AE34/Dados!X34</f>
        <v>0</v>
      </c>
      <c r="Y34" s="37">
        <f>Dados!AF33/Dados!Y33</f>
        <v>0</v>
      </c>
      <c r="Z34" s="38">
        <f>Dados!AF33/Dados!AD33</f>
        <v>0</v>
      </c>
      <c r="AA34" s="37">
        <f>Dados!AG33/Dados!AH33</f>
        <v>246.39711455460809</v>
      </c>
      <c r="AB34" s="38" t="e">
        <f>Dados!AI34/Dados!AJ34</f>
        <v>#DIV/0!</v>
      </c>
      <c r="AC34" s="38" t="e">
        <f>Dados!AG34/Dados!AJ34</f>
        <v>#DIV/0!</v>
      </c>
      <c r="AD34" s="38">
        <f>Dados!AK33/Dados!AG33</f>
        <v>0.33551163525677374</v>
      </c>
      <c r="AE34" s="38">
        <f>Dados!AL33/Dados!AN33</f>
        <v>11.211187197338221</v>
      </c>
      <c r="AF34" s="38" t="e">
        <f>Dados!AN34/Dados!AG34</f>
        <v>#DIV/0!</v>
      </c>
      <c r="AG34" s="37">
        <f>Dados!AO33/Dados!AH33</f>
        <v>0</v>
      </c>
      <c r="AH34" s="38">
        <f>Dados!AO33/Dados!AM33</f>
        <v>0</v>
      </c>
      <c r="AI34" s="37">
        <f>Dados!AP33/Dados!AQ33</f>
        <v>152.28862870119178</v>
      </c>
      <c r="AJ34" s="38" t="e">
        <f>Dados!AR34/Dados!AS34</f>
        <v>#DIV/0!</v>
      </c>
      <c r="AK34" s="38" t="e">
        <f>Dados!AP34/Dados!AS34</f>
        <v>#DIV/0!</v>
      </c>
      <c r="AL34" s="38">
        <f>Dados!AT33/Dados!AP33</f>
        <v>0.2113859456677841</v>
      </c>
      <c r="AM34" s="38">
        <f>Dados!AU33/Dados!AW33</f>
        <v>2.5377474290276307</v>
      </c>
      <c r="AN34" s="38" t="e">
        <f>Dados!AW34/Dados!AP34</f>
        <v>#DIV/0!</v>
      </c>
      <c r="AO34" s="37">
        <f>Dados!AX33/Dados!AQ33</f>
        <v>0</v>
      </c>
      <c r="AP34" s="39">
        <f>Dados!AX33/Dados!AV33</f>
        <v>0</v>
      </c>
    </row>
    <row r="35" spans="1:42" ht="25.5" x14ac:dyDescent="0.25">
      <c r="A35" s="12">
        <v>234</v>
      </c>
      <c r="B35" s="13" t="s">
        <v>42</v>
      </c>
      <c r="C35" s="37">
        <f>Dados!F35/Dados!G35</f>
        <v>14.273870553235623</v>
      </c>
      <c r="D35" s="38">
        <f>Dados!H35/Dados!I35</f>
        <v>0.997296910952988</v>
      </c>
      <c r="E35" s="38">
        <f>Dados!F35/Dados!I35</f>
        <v>1.0081869764102702</v>
      </c>
      <c r="F35" s="38">
        <f>Dados!J35/Dados!F35</f>
        <v>8.1204941164985649E-3</v>
      </c>
      <c r="G35" s="38">
        <f>Dados!K35/Dados!M35</f>
        <v>2.3733864664371609</v>
      </c>
      <c r="H35" s="38">
        <f>Dados!M35/Dados!F35</f>
        <v>1.477111348532229E-2</v>
      </c>
      <c r="I35" s="37">
        <f>Dados!N35/Dados!G35</f>
        <v>2.2172526542754988E-2</v>
      </c>
      <c r="J35" s="38">
        <f>Dados!N35/Dados!L35</f>
        <v>1.5533646925030356E-3</v>
      </c>
      <c r="K35" s="37">
        <f>Dados!O34/Dados!P34</f>
        <v>49.642610123647614</v>
      </c>
      <c r="L35" s="38">
        <f>Dados!Q35/Dados!R35</f>
        <v>0.98980862233901212</v>
      </c>
      <c r="M35" s="38">
        <f>Dados!O35/Dados!R35</f>
        <v>0.75552353509590364</v>
      </c>
      <c r="N35" s="38">
        <f>Dados!S34/Dados!O34</f>
        <v>-9.9641364460397466E-2</v>
      </c>
      <c r="O35" s="38" t="e">
        <f>Dados!T34/Dados!V34</f>
        <v>#DIV/0!</v>
      </c>
      <c r="P35" s="38">
        <f>Dados!V35/Dados!O35</f>
        <v>4.4553034770463532E-2</v>
      </c>
      <c r="Q35" s="37">
        <f>Dados!W34/Dados!P34</f>
        <v>0</v>
      </c>
      <c r="R35" s="38">
        <f>Dados!W34/Dados!U34</f>
        <v>0</v>
      </c>
      <c r="S35" s="37">
        <f>Dados!X34/Dados!Y34</f>
        <v>46.933521928068359</v>
      </c>
      <c r="T35" s="38">
        <f>Dados!Z35/Dados!AA35</f>
        <v>0.99116973105505635</v>
      </c>
      <c r="U35" s="38">
        <f>Dados!X35/Dados!AA35</f>
        <v>0.9013993313793871</v>
      </c>
      <c r="V35" s="38">
        <f>Dados!AB34/Dados!X34</f>
        <v>7.822954074132249E-2</v>
      </c>
      <c r="W35" s="38" t="e">
        <f>Dados!AC34/Dados!AE34</f>
        <v>#DIV/0!</v>
      </c>
      <c r="X35" s="38">
        <f>Dados!AE35/Dados!X35</f>
        <v>9.4074040568370793E-2</v>
      </c>
      <c r="Y35" s="37">
        <f>Dados!AF34/Dados!Y34</f>
        <v>0</v>
      </c>
      <c r="Z35" s="38">
        <f>Dados!AF34/Dados!AD34</f>
        <v>0</v>
      </c>
      <c r="AA35" s="37">
        <f>Dados!AG34/Dados!AH34</f>
        <v>0</v>
      </c>
      <c r="AB35" s="38">
        <f>Dados!AI35/Dados!AJ35</f>
        <v>1</v>
      </c>
      <c r="AC35" s="38">
        <f>Dados!AG35/Dados!AJ35</f>
        <v>6.8980723373321089</v>
      </c>
      <c r="AD35" s="38" t="e">
        <f>Dados!AK34/Dados!AG34</f>
        <v>#DIV/0!</v>
      </c>
      <c r="AE35" s="38" t="e">
        <f>Dados!AL34/Dados!AN34</f>
        <v>#DIV/0!</v>
      </c>
      <c r="AF35" s="38">
        <f>Dados!AN35/Dados!AG35</f>
        <v>7.7182049067742786E-2</v>
      </c>
      <c r="AG35" s="37">
        <f>Dados!AO34/Dados!AH34</f>
        <v>0</v>
      </c>
      <c r="AH35" s="38" t="e">
        <f>Dados!AO34/Dados!AM34</f>
        <v>#DIV/0!</v>
      </c>
      <c r="AI35" s="37">
        <f>Dados!AP34/Dados!AQ34</f>
        <v>0</v>
      </c>
      <c r="AJ35" s="38">
        <f>Dados!AR35/Dados!AS35</f>
        <v>0.97646157104746956</v>
      </c>
      <c r="AK35" s="38">
        <f>Dados!AP35/Dados!AS35</f>
        <v>1</v>
      </c>
      <c r="AL35" s="38" t="e">
        <f>Dados!AT34/Dados!AP34</f>
        <v>#DIV/0!</v>
      </c>
      <c r="AM35" s="38" t="e">
        <f>Dados!AU34/Dados!AW34</f>
        <v>#DIV/0!</v>
      </c>
      <c r="AN35" s="38">
        <f>Dados!AW35/Dados!AP35</f>
        <v>0.16468893733553333</v>
      </c>
      <c r="AO35" s="37">
        <f>Dados!AX34/Dados!AQ34</f>
        <v>0</v>
      </c>
      <c r="AP35" s="39" t="e">
        <f>Dados!AX34/Dados!AV34</f>
        <v>#DIV/0!</v>
      </c>
    </row>
    <row r="36" spans="1:42" x14ac:dyDescent="0.25">
      <c r="A36" s="12">
        <v>236</v>
      </c>
      <c r="B36" s="13" t="s">
        <v>43</v>
      </c>
      <c r="C36" s="37">
        <f>Dados!F36/Dados!G36</f>
        <v>267.73441658577684</v>
      </c>
      <c r="D36" s="38">
        <f>Dados!H36/Dados!I36</f>
        <v>0.98821839545541001</v>
      </c>
      <c r="E36" s="38">
        <f>Dados!F36/Dados!I36</f>
        <v>0.9519170139493901</v>
      </c>
      <c r="F36" s="38">
        <f>Dados!J36/Dados!F36</f>
        <v>-5.0511741408129057E-2</v>
      </c>
      <c r="G36" s="38">
        <f>Dados!K36/Dados!M36</f>
        <v>7.3529326989597257E-2</v>
      </c>
      <c r="H36" s="38">
        <f>Dados!M36/Dados!F36</f>
        <v>7.3452838353741542E-2</v>
      </c>
      <c r="I36" s="37">
        <f>Dados!N36/Dados!G36</f>
        <v>0</v>
      </c>
      <c r="J36" s="38">
        <f>Dados!N36/Dados!L36</f>
        <v>0</v>
      </c>
      <c r="K36" s="37">
        <f>Dados!O35/Dados!P35</f>
        <v>2.1170132603152556</v>
      </c>
      <c r="L36" s="38">
        <f>Dados!Q36/Dados!R36</f>
        <v>0.99798257253515865</v>
      </c>
      <c r="M36" s="38">
        <f>Dados!O36/Dados!R36</f>
        <v>0.98483213605191355</v>
      </c>
      <c r="N36" s="38">
        <f>Dados!S35/Dados!O35</f>
        <v>-0.32358550534506292</v>
      </c>
      <c r="O36" s="38">
        <f>Dados!T35/Dados!V35</f>
        <v>3.4020915370883027</v>
      </c>
      <c r="P36" s="38">
        <f>Dados!V36/Dados!O36</f>
        <v>4.4180481655834408E-2</v>
      </c>
      <c r="Q36" s="37">
        <f>Dados!W35/Dados!P35</f>
        <v>2.202705423898791E-2</v>
      </c>
      <c r="R36" s="38">
        <f>Dados!W35/Dados!U35</f>
        <v>1.0404778586841607E-2</v>
      </c>
      <c r="S36" s="37">
        <f>Dados!X35/Dados!Y35</f>
        <v>2.6110501968054978</v>
      </c>
      <c r="T36" s="38">
        <f>Dados!Z36/Dados!AA36</f>
        <v>0.99692479634157027</v>
      </c>
      <c r="U36" s="38">
        <f>Dados!X36/Dados!AA36</f>
        <v>0.98139477591743274</v>
      </c>
      <c r="V36" s="38">
        <f>Dados!AB35/Dados!X35</f>
        <v>-0.10938622338417636</v>
      </c>
      <c r="W36" s="38">
        <f>Dados!AC35/Dados!AE35</f>
        <v>0.49729078585568298</v>
      </c>
      <c r="X36" s="38">
        <f>Dados!AE36/Dados!X36</f>
        <v>4.0593245958573186E-2</v>
      </c>
      <c r="Y36" s="37">
        <f>Dados!AF35/Dados!Y35</f>
        <v>3.4524177498840784E-2</v>
      </c>
      <c r="Z36" s="38">
        <f>Dados!AF35/Dados!AD35</f>
        <v>1.3222333887368216E-2</v>
      </c>
      <c r="AA36" s="37">
        <f>Dados!AG35/Dados!AH35</f>
        <v>0.23343532918041843</v>
      </c>
      <c r="AB36" s="38">
        <f>Dados!AI36/Dados!AJ36</f>
        <v>0.98249184107514065</v>
      </c>
      <c r="AC36" s="38">
        <f>Dados!AG36/Dados!AJ36</f>
        <v>1.0057624287498423</v>
      </c>
      <c r="AD36" s="38">
        <f>Dados!AK35/Dados!AG35</f>
        <v>0.85503196384473423</v>
      </c>
      <c r="AE36" s="38">
        <f>Dados!AL35/Dados!AN35</f>
        <v>14.337354895481967</v>
      </c>
      <c r="AF36" s="38">
        <f>Dados!AN36/Dados!AG36</f>
        <v>1.3067733736475403E-2</v>
      </c>
      <c r="AG36" s="37">
        <f>Dados!AO35/Dados!AH35</f>
        <v>2.1741762059172078E-2</v>
      </c>
      <c r="AH36" s="38">
        <f>Dados!AO35/Dados!AM35</f>
        <v>9.313826718306302E-2</v>
      </c>
      <c r="AI36" s="37">
        <f>Dados!AP35/Dados!AQ35</f>
        <v>0.15191577181388496</v>
      </c>
      <c r="AJ36" s="38" t="e">
        <f>Dados!AR36/Dados!AS36</f>
        <v>#DIV/0!</v>
      </c>
      <c r="AK36" s="38" t="e">
        <f>Dados!AP36/Dados!AS36</f>
        <v>#DIV/0!</v>
      </c>
      <c r="AL36" s="38">
        <f>Dados!AT35/Dados!AP35</f>
        <v>0</v>
      </c>
      <c r="AM36" s="38">
        <f>Dados!AU35/Dados!AW35</f>
        <v>1.0219159298311977</v>
      </c>
      <c r="AN36" s="38" t="e">
        <f>Dados!AW36/Dados!AP36</f>
        <v>#DIV/0!</v>
      </c>
      <c r="AO36" s="37">
        <f>Dados!AX35/Dados!AQ35</f>
        <v>2.1841555941517762E-2</v>
      </c>
      <c r="AP36" s="39">
        <f>Dados!AX35/Dados!AV35</f>
        <v>0.49995556657296669</v>
      </c>
    </row>
    <row r="37" spans="1:42" ht="25.5" x14ac:dyDescent="0.25">
      <c r="A37" s="12">
        <v>265</v>
      </c>
      <c r="B37" s="13" t="s">
        <v>44</v>
      </c>
      <c r="C37" s="37">
        <f>Dados!F37/Dados!G37</f>
        <v>199.68691021496011</v>
      </c>
      <c r="D37" s="38">
        <f>Dados!H37/Dados!I37</f>
        <v>0.99740547585567563</v>
      </c>
      <c r="E37" s="38">
        <f>Dados!F37/Dados!I37</f>
        <v>1.0252352565559171</v>
      </c>
      <c r="F37" s="38">
        <f>Dados!J37/Dados!F37</f>
        <v>2.4614113097017401E-2</v>
      </c>
      <c r="G37" s="38">
        <f>Dados!K37/Dados!M37</f>
        <v>5.9210339307307418</v>
      </c>
      <c r="H37" s="38">
        <f>Dados!M37/Dados!F37</f>
        <v>1.998858998285661E-2</v>
      </c>
      <c r="I37" s="37">
        <f>Dados!N37/Dados!G37</f>
        <v>0</v>
      </c>
      <c r="J37" s="38">
        <f>Dados!N37/Dados!L37</f>
        <v>0</v>
      </c>
      <c r="K37" s="37">
        <f>Dados!O36/Dados!P36</f>
        <v>238.51115968905597</v>
      </c>
      <c r="L37" s="38">
        <f>Dados!Q37/Dados!R37</f>
        <v>0.95235960416129062</v>
      </c>
      <c r="M37" s="38">
        <f>Dados!O37/Dados!R37</f>
        <v>1.0006078335831532</v>
      </c>
      <c r="N37" s="38">
        <f>Dados!S36/Dados!O36</f>
        <v>-1.5401471370433677E-2</v>
      </c>
      <c r="O37" s="38">
        <f>Dados!T36/Dados!V36</f>
        <v>0.48907827831601858</v>
      </c>
      <c r="P37" s="38">
        <f>Dados!V37/Dados!O37</f>
        <v>1.914873484085089E-2</v>
      </c>
      <c r="Q37" s="37">
        <f>Dados!W36/Dados!P36</f>
        <v>0</v>
      </c>
      <c r="R37" s="38">
        <f>Dados!W36/Dados!U36</f>
        <v>0</v>
      </c>
      <c r="S37" s="37">
        <f>Dados!X36/Dados!Y36</f>
        <v>226.12460283636318</v>
      </c>
      <c r="T37" s="38">
        <f>Dados!Z37/Dados!AA37</f>
        <v>0.98485614586893711</v>
      </c>
      <c r="U37" s="38">
        <f>Dados!X37/Dados!AA37</f>
        <v>1.0246024890817642</v>
      </c>
      <c r="V37" s="38">
        <f>Dados!AB36/Dados!X36</f>
        <v>-1.8957940819661023E-2</v>
      </c>
      <c r="W37" s="38">
        <f>Dados!AC36/Dados!AE36</f>
        <v>0.80575745896288908</v>
      </c>
      <c r="X37" s="38">
        <f>Dados!AE37/Dados!X37</f>
        <v>1.5681515423601848E-2</v>
      </c>
      <c r="Y37" s="37">
        <f>Dados!AF36/Dados!Y36</f>
        <v>0</v>
      </c>
      <c r="Z37" s="38">
        <f>Dados!AF36/Dados!AD36</f>
        <v>0</v>
      </c>
      <c r="AA37" s="37">
        <f>Dados!AG36/Dados!AH36</f>
        <v>217.25639967671074</v>
      </c>
      <c r="AB37" s="38">
        <f>Dados!AI37/Dados!AJ37</f>
        <v>0.9994919549872201</v>
      </c>
      <c r="AC37" s="38">
        <f>Dados!AG37/Dados!AJ37</f>
        <v>1.0181434904236599</v>
      </c>
      <c r="AD37" s="38">
        <f>Dados!AK36/Dados!AG36</f>
        <v>5.7294134132699929E-3</v>
      </c>
      <c r="AE37" s="38">
        <f>Dados!AL36/Dados!AN36</f>
        <v>1.9989960981188721</v>
      </c>
      <c r="AF37" s="38">
        <f>Dados!AN37/Dados!AG37</f>
        <v>1.2414878924291363E-2</v>
      </c>
      <c r="AG37" s="37">
        <f>Dados!AO36/Dados!AH36</f>
        <v>0</v>
      </c>
      <c r="AH37" s="38">
        <f>Dados!AO36/Dados!AM36</f>
        <v>0</v>
      </c>
      <c r="AI37" s="37">
        <f>Dados!AP36/Dados!AQ36</f>
        <v>0</v>
      </c>
      <c r="AJ37" s="38">
        <f>Dados!AR37/Dados!AS37</f>
        <v>0.99968280801745446</v>
      </c>
      <c r="AK37" s="38">
        <f>Dados!AP37/Dados!AS37</f>
        <v>1.011241445787086</v>
      </c>
      <c r="AL37" s="38" t="e">
        <f>Dados!AT36/Dados!AP36</f>
        <v>#DIV/0!</v>
      </c>
      <c r="AM37" s="38">
        <f>Dados!AU36/Dados!AW36</f>
        <v>1.8780772543006576</v>
      </c>
      <c r="AN37" s="38">
        <f>Dados!AW37/Dados!AP37</f>
        <v>2.0135957644702007E-2</v>
      </c>
      <c r="AO37" s="37">
        <f>Dados!AX36/Dados!AQ36</f>
        <v>0</v>
      </c>
      <c r="AP37" s="39" t="e">
        <f>Dados!AX36/Dados!AV36</f>
        <v>#DIV/0!</v>
      </c>
    </row>
    <row r="38" spans="1:42" x14ac:dyDescent="0.25">
      <c r="A38" s="12">
        <v>266</v>
      </c>
      <c r="B38" s="13" t="s">
        <v>45</v>
      </c>
      <c r="C38" s="37">
        <f>Dados!F38/Dados!G38</f>
        <v>88.252679404308566</v>
      </c>
      <c r="D38" s="38">
        <f>Dados!H38/Dados!I38</f>
        <v>0.99916978137991097</v>
      </c>
      <c r="E38" s="38">
        <f>Dados!F38/Dados!I38</f>
        <v>1.0179032772371563</v>
      </c>
      <c r="F38" s="38">
        <f>Dados!J38/Dados!F38</f>
        <v>1.7588387460299924E-2</v>
      </c>
      <c r="G38" s="38">
        <f>Dados!K38/Dados!M38</f>
        <v>10.190326587754965</v>
      </c>
      <c r="H38" s="38">
        <f>Dados!M38/Dados!F38</f>
        <v>9.4174844774825694E-3</v>
      </c>
      <c r="I38" s="37">
        <f>Dados!N38/Dados!G38</f>
        <v>0</v>
      </c>
      <c r="J38" s="38">
        <f>Dados!N38/Dados!L38</f>
        <v>0</v>
      </c>
      <c r="K38" s="37">
        <f>Dados!O37/Dados!P37</f>
        <v>191.32132451385831</v>
      </c>
      <c r="L38" s="38">
        <f>Dados!Q38/Dados!R38</f>
        <v>0.99821598455649385</v>
      </c>
      <c r="M38" s="38">
        <f>Dados!O38/Dados!R38</f>
        <v>0.96646176985411625</v>
      </c>
      <c r="N38" s="38">
        <f>Dados!S37/Dados!O37</f>
        <v>6.0746434592322978E-4</v>
      </c>
      <c r="O38" s="38">
        <f>Dados!T37/Dados!V37</f>
        <v>5.7067459928356676</v>
      </c>
      <c r="P38" s="38">
        <f>Dados!V38/Dados!O38</f>
        <v>1.7396840812992843E-2</v>
      </c>
      <c r="Q38" s="37">
        <f>Dados!W37/Dados!P37</f>
        <v>0</v>
      </c>
      <c r="R38" s="38">
        <f>Dados!W37/Dados!U37</f>
        <v>0</v>
      </c>
      <c r="S38" s="37">
        <f>Dados!X37/Dados!Y37</f>
        <v>158.28871165965725</v>
      </c>
      <c r="T38" s="38">
        <f>Dados!Z38/Dados!AA38</f>
        <v>0.99928386656255108</v>
      </c>
      <c r="U38" s="38">
        <f>Dados!X38/Dados!AA38</f>
        <v>1.0199163185983644</v>
      </c>
      <c r="V38" s="38">
        <f>Dados!AB37/Dados!X37</f>
        <v>2.4011740498320163E-2</v>
      </c>
      <c r="W38" s="38">
        <f>Dados!AC37/Dados!AE37</f>
        <v>7.7375390371721533</v>
      </c>
      <c r="X38" s="38">
        <f>Dados!AE38/Dados!X38</f>
        <v>4.4162822971863067E-2</v>
      </c>
      <c r="Y38" s="37">
        <f>Dados!AF37/Dados!Y37</f>
        <v>0</v>
      </c>
      <c r="Z38" s="38">
        <f>Dados!AF37/Dados!AD37</f>
        <v>0</v>
      </c>
      <c r="AA38" s="37">
        <f>Dados!AG37/Dados!AH37</f>
        <v>114.09731382309739</v>
      </c>
      <c r="AB38" s="38">
        <f>Dados!AI38/Dados!AJ38</f>
        <v>0.97362117045731045</v>
      </c>
      <c r="AC38" s="38">
        <f>Dados!AG38/Dados!AJ38</f>
        <v>0.97848273351853476</v>
      </c>
      <c r="AD38" s="38">
        <f>Dados!AK37/Dados!AG37</f>
        <v>1.7820170333859697E-2</v>
      </c>
      <c r="AE38" s="38">
        <f>Dados!AL37/Dados!AN37</f>
        <v>9.5642369028141729</v>
      </c>
      <c r="AF38" s="38">
        <f>Dados!AN38/Dados!AG38</f>
        <v>6.0482925853935499E-2</v>
      </c>
      <c r="AG38" s="37">
        <f>Dados!AO37/Dados!AH37</f>
        <v>0</v>
      </c>
      <c r="AH38" s="38">
        <f>Dados!AO37/Dados!AM37</f>
        <v>0</v>
      </c>
      <c r="AI38" s="37">
        <f>Dados!AP37/Dados!AQ37</f>
        <v>107.03683827869543</v>
      </c>
      <c r="AJ38" s="38">
        <f>Dados!AR38/Dados!AS38</f>
        <v>0.99861534320508794</v>
      </c>
      <c r="AK38" s="38">
        <f>Dados!AP38/Dados!AS38</f>
        <v>0.99347537909832528</v>
      </c>
      <c r="AL38" s="38">
        <f>Dados!AT37/Dados!AP37</f>
        <v>1.1116480474488944E-2</v>
      </c>
      <c r="AM38" s="38">
        <f>Dados!AU37/Dados!AW37</f>
        <v>5.8993904783079785</v>
      </c>
      <c r="AN38" s="38">
        <f>Dados!AW38/Dados!AP38</f>
        <v>6.3845604054921665E-2</v>
      </c>
      <c r="AO38" s="37">
        <f>Dados!AX37/Dados!AQ37</f>
        <v>0</v>
      </c>
      <c r="AP38" s="39">
        <f>Dados!AX37/Dados!AV37</f>
        <v>0</v>
      </c>
    </row>
    <row r="39" spans="1:42" x14ac:dyDescent="0.25">
      <c r="A39" s="12">
        <v>267</v>
      </c>
      <c r="B39" s="13" t="s">
        <v>46</v>
      </c>
      <c r="C39" s="37">
        <f>Dados!F39/Dados!G39</f>
        <v>207.88211040967906</v>
      </c>
      <c r="D39" s="38">
        <f>Dados!H39/Dados!I39</f>
        <v>0.98982625961012605</v>
      </c>
      <c r="E39" s="38">
        <f>Dados!F39/Dados!I39</f>
        <v>1.0046390042680036</v>
      </c>
      <c r="F39" s="38">
        <f>Dados!J39/Dados!F39</f>
        <v>4.6175832794623419E-3</v>
      </c>
      <c r="G39" s="38">
        <f>Dados!K39/Dados!M39</f>
        <v>0.32478471953919119</v>
      </c>
      <c r="H39" s="38">
        <f>Dados!M39/Dados!F39</f>
        <v>0.11263020619220633</v>
      </c>
      <c r="I39" s="37">
        <f>Dados!N39/Dados!G39</f>
        <v>12.345006535815253</v>
      </c>
      <c r="J39" s="38">
        <f>Dados!N39/Dados!L39</f>
        <v>5.9384650807549552E-2</v>
      </c>
      <c r="K39" s="37">
        <f>Dados!O38/Dados!P38</f>
        <v>43.536887835419108</v>
      </c>
      <c r="L39" s="38">
        <f>Dados!Q39/Dados!R39</f>
        <v>0.97758339664808958</v>
      </c>
      <c r="M39" s="38">
        <f>Dados!O39/Dados!R39</f>
        <v>0.92788315154592182</v>
      </c>
      <c r="N39" s="38">
        <f>Dados!S38/Dados!O38</f>
        <v>-3.4702076369711073E-2</v>
      </c>
      <c r="O39" s="38">
        <f>Dados!T38/Dados!V38</f>
        <v>5.0241848518923913</v>
      </c>
      <c r="P39" s="38">
        <f>Dados!V39/Dados!O39</f>
        <v>0.13149722158143953</v>
      </c>
      <c r="Q39" s="37">
        <f>Dados!W38/Dados!P38</f>
        <v>0</v>
      </c>
      <c r="R39" s="38">
        <f>Dados!W38/Dados!U38</f>
        <v>0</v>
      </c>
      <c r="S39" s="37">
        <f>Dados!X38/Dados!Y38</f>
        <v>33.956805072322986</v>
      </c>
      <c r="T39" s="38">
        <f>Dados!Z39/Dados!AA39</f>
        <v>0.94630635315772571</v>
      </c>
      <c r="U39" s="38">
        <f>Dados!X39/Dados!AA39</f>
        <v>0.99460599656164961</v>
      </c>
      <c r="V39" s="38">
        <f>Dados!AB38/Dados!X38</f>
        <v>1.9527404587206323E-2</v>
      </c>
      <c r="W39" s="38">
        <f>Dados!AC38/Dados!AE38</f>
        <v>1.8623354027839538</v>
      </c>
      <c r="X39" s="38">
        <f>Dados!AE39/Dados!X39</f>
        <v>9.9012474745815246E-2</v>
      </c>
      <c r="Y39" s="37">
        <f>Dados!AF38/Dados!Y38</f>
        <v>0</v>
      </c>
      <c r="Z39" s="38">
        <f>Dados!AF38/Dados!AD38</f>
        <v>0</v>
      </c>
      <c r="AA39" s="37">
        <f>Dados!AG38/Dados!AH38</f>
        <v>26.203371947662305</v>
      </c>
      <c r="AB39" s="38">
        <f>Dados!AI39/Dados!AJ39</f>
        <v>0.99151123227270943</v>
      </c>
      <c r="AC39" s="38">
        <f>Dados!AG39/Dados!AJ39</f>
        <v>1.0634540130440948</v>
      </c>
      <c r="AD39" s="38">
        <f>Dados!AK38/Dados!AG38</f>
        <v>-2.1990440653041624E-2</v>
      </c>
      <c r="AE39" s="38">
        <f>Dados!AL38/Dados!AN38</f>
        <v>1.3900066951041801</v>
      </c>
      <c r="AF39" s="38">
        <f>Dados!AN39/Dados!AG39</f>
        <v>0.12877927602303058</v>
      </c>
      <c r="AG39" s="37">
        <f>Dados!AO38/Dados!AH38</f>
        <v>0</v>
      </c>
      <c r="AH39" s="38">
        <f>Dados!AO38/Dados!AM38</f>
        <v>0</v>
      </c>
      <c r="AI39" s="37">
        <f>Dados!AP38/Dados!AQ38</f>
        <v>19.377815972276998</v>
      </c>
      <c r="AJ39" s="38">
        <f>Dados!AR39/Dados!AS39</f>
        <v>1</v>
      </c>
      <c r="AK39" s="38">
        <f>Dados!AP39/Dados!AS39</f>
        <v>1.1297187433869125</v>
      </c>
      <c r="AL39" s="38">
        <f>Dados!AT38/Dados!AP38</f>
        <v>-6.567471161284766E-3</v>
      </c>
      <c r="AM39" s="38">
        <f>Dados!AU38/Dados!AW38</f>
        <v>1.9695762018834337</v>
      </c>
      <c r="AN39" s="38">
        <f>Dados!AW39/Dados!AP39</f>
        <v>0.22229730176550497</v>
      </c>
      <c r="AO39" s="37">
        <f>Dados!AX38/Dados!AQ38</f>
        <v>0</v>
      </c>
      <c r="AP39" s="39">
        <f>Dados!AX38/Dados!AV38</f>
        <v>0</v>
      </c>
    </row>
    <row r="40" spans="1:42" x14ac:dyDescent="0.25">
      <c r="A40" s="12">
        <v>268</v>
      </c>
      <c r="B40" s="13" t="s">
        <v>47</v>
      </c>
      <c r="C40" s="37">
        <f>Dados!F40/Dados!G40</f>
        <v>300.36235329626419</v>
      </c>
      <c r="D40" s="38">
        <f>Dados!H40/Dados!I40</f>
        <v>0.9996489725090788</v>
      </c>
      <c r="E40" s="38">
        <f>Dados!F40/Dados!I40</f>
        <v>1.0487193203857945</v>
      </c>
      <c r="F40" s="38">
        <f>Dados!J40/Dados!F40</f>
        <v>4.6456014911475108E-2</v>
      </c>
      <c r="G40" s="38">
        <f>Dados!K40/Dados!M40</f>
        <v>2.5334052676296617</v>
      </c>
      <c r="H40" s="38">
        <f>Dados!M40/Dados!F40</f>
        <v>8.6157869387960162E-2</v>
      </c>
      <c r="I40" s="37">
        <f>Dados!N40/Dados!G40</f>
        <v>0</v>
      </c>
      <c r="J40" s="38">
        <f>Dados!N40/Dados!L40</f>
        <v>0</v>
      </c>
      <c r="K40" s="37">
        <f>Dados!O39/Dados!P39</f>
        <v>131.50779591702334</v>
      </c>
      <c r="L40" s="38">
        <f>Dados!Q40/Dados!R40</f>
        <v>0.99985416994621001</v>
      </c>
      <c r="M40" s="38">
        <f>Dados!O40/Dados!R40</f>
        <v>0.99938805437315836</v>
      </c>
      <c r="N40" s="38">
        <f>Dados!S39/Dados!O39</f>
        <v>-7.7721907477171143E-2</v>
      </c>
      <c r="O40" s="38">
        <f>Dados!T39/Dados!V39</f>
        <v>4.5475728612321048E-2</v>
      </c>
      <c r="P40" s="38">
        <f>Dados!V40/Dados!O40</f>
        <v>8.2177360924139575E-2</v>
      </c>
      <c r="Q40" s="37">
        <f>Dados!W39/Dados!P39</f>
        <v>13.715292327955218</v>
      </c>
      <c r="R40" s="38">
        <f>Dados!W39/Dados!U39</f>
        <v>0.10429261803314739</v>
      </c>
      <c r="S40" s="37">
        <f>Dados!X39/Dados!Y39</f>
        <v>108.79084220094497</v>
      </c>
      <c r="T40" s="38">
        <f>Dados!Z40/Dados!AA40</f>
        <v>0.99993075617351412</v>
      </c>
      <c r="U40" s="38">
        <f>Dados!X40/Dados!AA40</f>
        <v>1.0118491811651711</v>
      </c>
      <c r="V40" s="38">
        <f>Dados!AB39/Dados!X39</f>
        <v>-5.4232565025723271E-3</v>
      </c>
      <c r="W40" s="38">
        <f>Dados!AC39/Dados!AE39</f>
        <v>0.40213694102479669</v>
      </c>
      <c r="X40" s="38">
        <f>Dados!AE40/Dados!X40</f>
        <v>7.9015611013687759E-2</v>
      </c>
      <c r="Y40" s="37">
        <f>Dados!AF39/Dados!Y39</f>
        <v>15.771432233032163</v>
      </c>
      <c r="Z40" s="38">
        <f>Dados!AF39/Dados!AD39</f>
        <v>0.14497021912838148</v>
      </c>
      <c r="AA40" s="37">
        <f>Dados!AG39/Dados!AH39</f>
        <v>87.859226247578206</v>
      </c>
      <c r="AB40" s="38">
        <f>Dados!AI40/Dados!AJ40</f>
        <v>0.99983051013447533</v>
      </c>
      <c r="AC40" s="38">
        <f>Dados!AG40/Dados!AJ40</f>
        <v>1.0523655584313969</v>
      </c>
      <c r="AD40" s="38">
        <f>Dados!AK39/Dados!AG39</f>
        <v>5.9667848600674568E-2</v>
      </c>
      <c r="AE40" s="38">
        <f>Dados!AL39/Dados!AN39</f>
        <v>0.86909590318930285</v>
      </c>
      <c r="AF40" s="38">
        <f>Dados!AN40/Dados!AG40</f>
        <v>8.161935201272924E-2</v>
      </c>
      <c r="AG40" s="37">
        <f>Dados!AO39/Dados!AH39</f>
        <v>19.454740985271712</v>
      </c>
      <c r="AH40" s="38">
        <f>Dados!AO39/Dados!AM39</f>
        <v>0.22143082538025394</v>
      </c>
      <c r="AI40" s="37">
        <f>Dados!AP39/Dados!AQ39</f>
        <v>80.022063884390661</v>
      </c>
      <c r="AJ40" s="38" t="e">
        <f>Dados!AR40/Dados!AS40</f>
        <v>#DIV/0!</v>
      </c>
      <c r="AK40" s="38" t="e">
        <f>Dados!AP40/Dados!AS40</f>
        <v>#DIV/0!</v>
      </c>
      <c r="AL40" s="38">
        <f>Dados!AT39/Dados!AP39</f>
        <v>0.11482392776631625</v>
      </c>
      <c r="AM40" s="38">
        <f>Dados!AU39/Dados!AW39</f>
        <v>0.40308724906959381</v>
      </c>
      <c r="AN40" s="38" t="e">
        <f>Dados!AW40/Dados!AP40</f>
        <v>#DIV/0!</v>
      </c>
      <c r="AO40" s="37">
        <f>Dados!AX39/Dados!AQ39</f>
        <v>24.423984204096708</v>
      </c>
      <c r="AP40" s="39">
        <f>Dados!AX39/Dados!AV39</f>
        <v>0.30521562452303758</v>
      </c>
    </row>
    <row r="41" spans="1:42" x14ac:dyDescent="0.25">
      <c r="A41" s="12">
        <v>269</v>
      </c>
      <c r="B41" s="13" t="s">
        <v>48</v>
      </c>
      <c r="C41" s="37">
        <f>Dados!F41/Dados!G41</f>
        <v>2.010133501896334</v>
      </c>
      <c r="D41" s="38">
        <f>Dados!H41/Dados!I41</f>
        <v>0.91145106900382589</v>
      </c>
      <c r="E41" s="38">
        <f>Dados!F41/Dados!I41</f>
        <v>0.85195808385180749</v>
      </c>
      <c r="F41" s="38">
        <f>Dados!J41/Dados!F41</f>
        <v>-0.17376666640555449</v>
      </c>
      <c r="G41" s="38">
        <f>Dados!K41/Dados!M41</f>
        <v>12.330176673760544</v>
      </c>
      <c r="H41" s="38">
        <f>Dados!M41/Dados!F41</f>
        <v>1.1254394025420578E-2</v>
      </c>
      <c r="I41" s="37">
        <f>Dados!N41/Dados!G41</f>
        <v>0</v>
      </c>
      <c r="J41" s="38">
        <f>Dados!N41/Dados!L41</f>
        <v>0</v>
      </c>
      <c r="K41" s="37">
        <f>Dados!O40/Dados!P40</f>
        <v>264.47028305976556</v>
      </c>
      <c r="L41" s="38">
        <f>Dados!Q41/Dados!R41</f>
        <v>0.7543908687813754</v>
      </c>
      <c r="M41" s="38">
        <f>Dados!O41/Dados!R41</f>
        <v>0.62978789853347339</v>
      </c>
      <c r="N41" s="38">
        <f>Dados!S40/Dados!O40</f>
        <v>-6.1232033359209781E-4</v>
      </c>
      <c r="O41" s="38">
        <f>Dados!T40/Dados!V40</f>
        <v>2.0934425173496805</v>
      </c>
      <c r="P41" s="38">
        <f>Dados!V41/Dados!O41</f>
        <v>1.957333635290584E-2</v>
      </c>
      <c r="Q41" s="37">
        <f>Dados!W40/Dados!P40</f>
        <v>0</v>
      </c>
      <c r="R41" s="38">
        <f>Dados!W40/Dados!U40</f>
        <v>0</v>
      </c>
      <c r="S41" s="37">
        <f>Dados!X40/Dados!Y40</f>
        <v>230.98793563245744</v>
      </c>
      <c r="T41" s="38">
        <f>Dados!Z41/Dados!AA41</f>
        <v>0.1376512814800305</v>
      </c>
      <c r="U41" s="38">
        <f>Dados!X41/Dados!AA41</f>
        <v>0.87028250415154906</v>
      </c>
      <c r="V41" s="38">
        <f>Dados!AB40/Dados!X40</f>
        <v>1.1710422250405405E-2</v>
      </c>
      <c r="W41" s="38">
        <f>Dados!AC40/Dados!AE40</f>
        <v>2.1646162217220577</v>
      </c>
      <c r="X41" s="38">
        <f>Dados!AE41/Dados!X41</f>
        <v>6.7538148218656844E-3</v>
      </c>
      <c r="Y41" s="37">
        <f>Dados!AF40/Dados!Y40</f>
        <v>0</v>
      </c>
      <c r="Z41" s="38">
        <f>Dados!AF40/Dados!AD40</f>
        <v>0</v>
      </c>
      <c r="AA41" s="37">
        <f>Dados!AG40/Dados!AH40</f>
        <v>216.2132784447673</v>
      </c>
      <c r="AB41" s="38">
        <f>Dados!AI41/Dados!AJ41</f>
        <v>1</v>
      </c>
      <c r="AC41" s="38">
        <f>Dados!AG41/Dados!AJ41</f>
        <v>2.0183929027504997</v>
      </c>
      <c r="AD41" s="38">
        <f>Dados!AK40/Dados!AG40</f>
        <v>4.9759855795214671E-2</v>
      </c>
      <c r="AE41" s="38">
        <f>Dados!AL40/Dados!AN40</f>
        <v>1.7180558991281865</v>
      </c>
      <c r="AF41" s="38">
        <f>Dados!AN41/Dados!AG41</f>
        <v>6.0537889320084907E-2</v>
      </c>
      <c r="AG41" s="37">
        <f>Dados!AO40/Dados!AH40</f>
        <v>0</v>
      </c>
      <c r="AH41" s="38">
        <f>Dados!AO40/Dados!AM40</f>
        <v>0</v>
      </c>
      <c r="AI41" s="37">
        <f>Dados!AP40/Dados!AQ40</f>
        <v>0</v>
      </c>
      <c r="AJ41" s="38">
        <f>Dados!AR41/Dados!AS41</f>
        <v>0.82565326843263898</v>
      </c>
      <c r="AK41" s="38">
        <f>Dados!AP41/Dados!AS41</f>
        <v>1.5700668357976137</v>
      </c>
      <c r="AL41" s="38" t="e">
        <f>Dados!AT40/Dados!AP40</f>
        <v>#DIV/0!</v>
      </c>
      <c r="AM41" s="38">
        <f>Dados!AU40/Dados!AW40</f>
        <v>1.308251094169457</v>
      </c>
      <c r="AN41" s="38">
        <f>Dados!AW41/Dados!AP41</f>
        <v>4.0218743498037855E-2</v>
      </c>
      <c r="AO41" s="37">
        <f>Dados!AX40/Dados!AQ40</f>
        <v>0</v>
      </c>
      <c r="AP41" s="39" t="e">
        <f>Dados!AX40/Dados!AV40</f>
        <v>#DIV/0!</v>
      </c>
    </row>
    <row r="42" spans="1:42" x14ac:dyDescent="0.25">
      <c r="A42" s="12">
        <v>270</v>
      </c>
      <c r="B42" s="13" t="s">
        <v>49</v>
      </c>
      <c r="C42" s="37">
        <f>Dados!F42/Dados!G42</f>
        <v>0</v>
      </c>
      <c r="D42" s="38" t="e">
        <f>Dados!H42/Dados!I42</f>
        <v>#DIV/0!</v>
      </c>
      <c r="E42" s="38" t="e">
        <f>Dados!F42/Dados!I42</f>
        <v>#DIV/0!</v>
      </c>
      <c r="F42" s="38" t="e">
        <f>Dados!J42/Dados!F42</f>
        <v>#DIV/0!</v>
      </c>
      <c r="G42" s="38" t="e">
        <f>Dados!K42/Dados!M42</f>
        <v>#DIV/0!</v>
      </c>
      <c r="H42" s="38" t="e">
        <f>Dados!M42/Dados!F42</f>
        <v>#DIV/0!</v>
      </c>
      <c r="I42" s="37">
        <f>Dados!N42/Dados!G42</f>
        <v>0</v>
      </c>
      <c r="J42" s="38" t="e">
        <f>Dados!N42/Dados!L42</f>
        <v>#DIV/0!</v>
      </c>
      <c r="K42" s="37">
        <f>Dados!O41/Dados!P41</f>
        <v>1.0267852694012536</v>
      </c>
      <c r="L42" s="38">
        <f>Dados!Q42/Dados!R42</f>
        <v>0.9979485809668095</v>
      </c>
      <c r="M42" s="38">
        <f>Dados!O42/Dados!R42</f>
        <v>1.0151627114467852</v>
      </c>
      <c r="N42" s="38">
        <f>Dados!S41/Dados!O41</f>
        <v>-0.58783616250582771</v>
      </c>
      <c r="O42" s="38">
        <f>Dados!T41/Dados!V41</f>
        <v>32.494075450165397</v>
      </c>
      <c r="P42" s="38">
        <f>Dados!V42/Dados!O42</f>
        <v>5.8622017090075714E-3</v>
      </c>
      <c r="Q42" s="37">
        <f>Dados!W41/Dados!P41</f>
        <v>0</v>
      </c>
      <c r="R42" s="38">
        <f>Dados!W41/Dados!U41</f>
        <v>0</v>
      </c>
      <c r="S42" s="37">
        <f>Dados!X41/Dados!Y41</f>
        <v>3.8152426897974698</v>
      </c>
      <c r="T42" s="38">
        <f>Dados!Z42/Dados!AA42</f>
        <v>0.98901207627370669</v>
      </c>
      <c r="U42" s="38">
        <f>Dados!X42/Dados!AA42</f>
        <v>0.98476215421512192</v>
      </c>
      <c r="V42" s="38">
        <f>Dados!AB41/Dados!X41</f>
        <v>-0.1490521701052861</v>
      </c>
      <c r="W42" s="38">
        <f>Dados!AC41/Dados!AE41</f>
        <v>46.344235360936587</v>
      </c>
      <c r="X42" s="38">
        <f>Dados!AE42/Dados!X42</f>
        <v>1.0433704284397851E-2</v>
      </c>
      <c r="Y42" s="37">
        <f>Dados!AF41/Dados!Y41</f>
        <v>0</v>
      </c>
      <c r="Z42" s="38">
        <f>Dados!AF41/Dados!AD41</f>
        <v>0</v>
      </c>
      <c r="AA42" s="37">
        <f>Dados!AG41/Dados!AH41</f>
        <v>1.065008309894089</v>
      </c>
      <c r="AB42" s="38">
        <f>Dados!AI42/Dados!AJ42</f>
        <v>0.99636779738418135</v>
      </c>
      <c r="AC42" s="38">
        <f>Dados!AG42/Dados!AJ42</f>
        <v>1.0105658631874159</v>
      </c>
      <c r="AD42" s="38">
        <f>Dados!AK41/Dados!AG41</f>
        <v>0.50455632367846603</v>
      </c>
      <c r="AE42" s="38">
        <f>Dados!AL41/Dados!AN41</f>
        <v>15.25599647014765</v>
      </c>
      <c r="AF42" s="38">
        <f>Dados!AN42/Dados!AG42</f>
        <v>9.3642689360929638E-3</v>
      </c>
      <c r="AG42" s="37">
        <f>Dados!AO41/Dados!AH41</f>
        <v>0</v>
      </c>
      <c r="AH42" s="38">
        <f>Dados!AO41/Dados!AM41</f>
        <v>0</v>
      </c>
      <c r="AI42" s="37">
        <f>Dados!AP41/Dados!AQ41</f>
        <v>0.88737384755006321</v>
      </c>
      <c r="AJ42" s="38" t="e">
        <f>Dados!AR42/Dados!AS42</f>
        <v>#DIV/0!</v>
      </c>
      <c r="AK42" s="38" t="e">
        <f>Dados!AP42/Dados!AS42</f>
        <v>#DIV/0!</v>
      </c>
      <c r="AL42" s="38">
        <f>Dados!AT41/Dados!AP41</f>
        <v>0.36308443870035156</v>
      </c>
      <c r="AM42" s="38">
        <f>Dados!AU41/Dados!AW41</f>
        <v>11.494049112880534</v>
      </c>
      <c r="AN42" s="38" t="e">
        <f>Dados!AW42/Dados!AP42</f>
        <v>#DIV/0!</v>
      </c>
      <c r="AO42" s="37">
        <f>Dados!AX41/Dados!AQ41</f>
        <v>0</v>
      </c>
      <c r="AP42" s="39">
        <f>Dados!AX41/Dados!AV41</f>
        <v>0</v>
      </c>
    </row>
    <row r="43" spans="1:42" x14ac:dyDescent="0.25">
      <c r="A43" s="12">
        <v>272</v>
      </c>
      <c r="B43" s="13" t="s">
        <v>50</v>
      </c>
      <c r="C43" s="37">
        <f>Dados!F43/Dados!G43</f>
        <v>233.91330320286127</v>
      </c>
      <c r="D43" s="38">
        <f>Dados!H43/Dados!I43</f>
        <v>0.999846613754514</v>
      </c>
      <c r="E43" s="38">
        <f>Dados!F43/Dados!I43</f>
        <v>0.98541276169264558</v>
      </c>
      <c r="F43" s="38">
        <f>Dados!J43/Dados!F43</f>
        <v>-1.4803175759869202E-2</v>
      </c>
      <c r="G43" s="38">
        <f>Dados!K43/Dados!M43</f>
        <v>1.7005130090944022E-3</v>
      </c>
      <c r="H43" s="38">
        <f>Dados!M43/Dados!F43</f>
        <v>3.976469075417171E-2</v>
      </c>
      <c r="I43" s="37">
        <f>Dados!N43/Dados!G43</f>
        <v>1.6858244131678255</v>
      </c>
      <c r="J43" s="38">
        <f>Dados!N43/Dados!L43</f>
        <v>7.2070480391010286E-3</v>
      </c>
      <c r="K43" s="37">
        <f>Dados!O42/Dados!P42</f>
        <v>355.51107244808941</v>
      </c>
      <c r="L43" s="38">
        <f>Dados!Q43/Dados!R43</f>
        <v>0.9995800216334646</v>
      </c>
      <c r="M43" s="38">
        <f>Dados!O43/Dados!R43</f>
        <v>1.0041249172253199</v>
      </c>
      <c r="N43" s="38">
        <f>Dados!S42/Dados!O42</f>
        <v>1.4936237586165437E-2</v>
      </c>
      <c r="O43" s="38">
        <f>Dados!T42/Dados!V42</f>
        <v>4.0757052232931423</v>
      </c>
      <c r="P43" s="38">
        <f>Dados!V43/Dados!O43</f>
        <v>1.5472851082662966E-2</v>
      </c>
      <c r="Q43" s="37">
        <f>Dados!W42/Dados!P42</f>
        <v>4.951232627435286</v>
      </c>
      <c r="R43" s="38">
        <f>Dados!W42/Dados!U42</f>
        <v>1.3927084164609946E-2</v>
      </c>
      <c r="S43" s="37">
        <f>Dados!X42/Dados!Y42</f>
        <v>282.31582819611867</v>
      </c>
      <c r="T43" s="38">
        <f>Dados!Z43/Dados!AA43</f>
        <v>0.99687902612235257</v>
      </c>
      <c r="U43" s="38">
        <f>Dados!X43/Dados!AA43</f>
        <v>1.0030714876667066</v>
      </c>
      <c r="V43" s="38">
        <f>Dados!AB42/Dados!X42</f>
        <v>-1.547363058140973E-2</v>
      </c>
      <c r="W43" s="38">
        <f>Dados!AC42/Dados!AE42</f>
        <v>1.525116245528513</v>
      </c>
      <c r="X43" s="38">
        <f>Dados!AE43/Dados!X43</f>
        <v>1.4444084275402315E-2</v>
      </c>
      <c r="Y43" s="37">
        <f>Dados!AF42/Dados!Y42</f>
        <v>5.8020769769419296</v>
      </c>
      <c r="Z43" s="38">
        <f>Dados!AF42/Dados!AD42</f>
        <v>2.0591466143595229E-2</v>
      </c>
      <c r="AA43" s="37">
        <f>Dados!AG42/Dados!AH42</f>
        <v>225.12470187249761</v>
      </c>
      <c r="AB43" s="38">
        <f>Dados!AI43/Dados!AJ43</f>
        <v>0.99171288353698184</v>
      </c>
      <c r="AC43" s="38">
        <f>Dados!AG43/Dados!AJ43</f>
        <v>1.0090422375594921</v>
      </c>
      <c r="AD43" s="38">
        <f>Dados!AK42/Dados!AG42</f>
        <v>1.0455392936082681E-2</v>
      </c>
      <c r="AE43" s="38">
        <f>Dados!AL42/Dados!AN42</f>
        <v>3.5632481855049716</v>
      </c>
      <c r="AF43" s="38">
        <f>Dados!AN43/Dados!AG43</f>
        <v>2.0919745495039235E-2</v>
      </c>
      <c r="AG43" s="37">
        <f>Dados!AO42/Dados!AH42</f>
        <v>6.3294807264953263</v>
      </c>
      <c r="AH43" s="38">
        <f>Dados!AO42/Dados!AM42</f>
        <v>2.81154430138018E-2</v>
      </c>
      <c r="AI43" s="37">
        <f>Dados!AP42/Dados!AQ42</f>
        <v>0</v>
      </c>
      <c r="AJ43" s="38">
        <f>Dados!AR43/Dados!AS43</f>
        <v>0.99989330031946277</v>
      </c>
      <c r="AK43" s="38">
        <f>Dados!AP43/Dados!AS43</f>
        <v>1.0087600398007541</v>
      </c>
      <c r="AL43" s="38" t="e">
        <f>Dados!AT42/Dados!AP42</f>
        <v>#DIV/0!</v>
      </c>
      <c r="AM43" s="38">
        <f>Dados!AU42/Dados!AW42</f>
        <v>1.9277198710239933</v>
      </c>
      <c r="AN43" s="38">
        <f>Dados!AW43/Dados!AP43</f>
        <v>3.1110100779113609E-2</v>
      </c>
      <c r="AO43" s="37">
        <f>Dados!AX42/Dados!AQ42</f>
        <v>7.0016192411283837</v>
      </c>
      <c r="AP43" s="39" t="e">
        <f>Dados!AX42/Dados!AV42</f>
        <v>#DIV/0!</v>
      </c>
    </row>
    <row r="44" spans="1:42" ht="25.5" x14ac:dyDescent="0.25">
      <c r="A44" s="12">
        <v>273</v>
      </c>
      <c r="B44" s="13" t="s">
        <v>51</v>
      </c>
      <c r="C44" s="37">
        <f>Dados!F44/Dados!G44</f>
        <v>112.36951701212358</v>
      </c>
      <c r="D44" s="38">
        <f>Dados!H44/Dados!I44</f>
        <v>0.97978232244684338</v>
      </c>
      <c r="E44" s="38">
        <f>Dados!F44/Dados!I44</f>
        <v>0.98438179961245142</v>
      </c>
      <c r="F44" s="38">
        <f>Dados!J44/Dados!F44</f>
        <v>-1.5865998735142699E-2</v>
      </c>
      <c r="G44" s="38">
        <f>Dados!K44/Dados!M44</f>
        <v>0.45037823547502148</v>
      </c>
      <c r="H44" s="38">
        <f>Dados!M44/Dados!F44</f>
        <v>5.3109815000422882E-2</v>
      </c>
      <c r="I44" s="37">
        <f>Dados!N44/Dados!G44</f>
        <v>1.4367079585451701</v>
      </c>
      <c r="J44" s="38">
        <f>Dados!N44/Dados!L44</f>
        <v>1.2911031608457501E-2</v>
      </c>
      <c r="K44" s="37">
        <f>Dados!O43/Dados!P43</f>
        <v>192.28957097958806</v>
      </c>
      <c r="L44" s="38">
        <f>Dados!Q44/Dados!R44</f>
        <v>0.99835852788159185</v>
      </c>
      <c r="M44" s="38">
        <f>Dados!O44/Dados!R44</f>
        <v>1.0163283189507111</v>
      </c>
      <c r="N44" s="38">
        <f>Dados!S43/Dados!O43</f>
        <v>4.1079721801130066E-3</v>
      </c>
      <c r="O44" s="38">
        <f>Dados!T43/Dados!V43</f>
        <v>4.0555501152081279E-2</v>
      </c>
      <c r="P44" s="38">
        <f>Dados!V44/Dados!O44</f>
        <v>2.3937377021330655E-2</v>
      </c>
      <c r="Q44" s="37">
        <f>Dados!W43/Dados!P43</f>
        <v>1.6741579233963202</v>
      </c>
      <c r="R44" s="38">
        <f>Dados!W43/Dados!U43</f>
        <v>8.7064416175437597E-3</v>
      </c>
      <c r="S44" s="37">
        <f>Dados!X43/Dados!Y43</f>
        <v>155.14064064230291</v>
      </c>
      <c r="T44" s="38" t="e">
        <f>Dados!Z44/Dados!AA44</f>
        <v>#DIV/0!</v>
      </c>
      <c r="U44" s="38" t="e">
        <f>Dados!X44/Dados!AA44</f>
        <v>#DIV/0!</v>
      </c>
      <c r="V44" s="38">
        <f>Dados!AB43/Dados!X43</f>
        <v>3.0620825180180103E-3</v>
      </c>
      <c r="W44" s="38">
        <f>Dados!AC43/Dados!AE43</f>
        <v>5.7999294373805604E-2</v>
      </c>
      <c r="X44" s="38" t="e">
        <f>Dados!AE44/Dados!X44</f>
        <v>#DIV/0!</v>
      </c>
      <c r="Y44" s="37">
        <f>Dados!AF43/Dados!Y43</f>
        <v>0</v>
      </c>
      <c r="Z44" s="38">
        <f>Dados!AF43/Dados!AD43</f>
        <v>0</v>
      </c>
      <c r="AA44" s="37">
        <f>Dados!AG43/Dados!AH43</f>
        <v>98.626898873886091</v>
      </c>
      <c r="AB44" s="38">
        <f>Dados!AI44/Dados!AJ44</f>
        <v>0.99845102864327173</v>
      </c>
      <c r="AC44" s="38">
        <f>Dados!AG44/Dados!AJ44</f>
        <v>0.99417898360050339</v>
      </c>
      <c r="AD44" s="38">
        <f>Dados!AK43/Dados!AG43</f>
        <v>8.9612081862519566E-3</v>
      </c>
      <c r="AE44" s="38">
        <f>Dados!AL43/Dados!AN43</f>
        <v>5.8557052758723841E-3</v>
      </c>
      <c r="AF44" s="38">
        <f>Dados!AN44/Dados!AG44</f>
        <v>8.706515412046073E-2</v>
      </c>
      <c r="AG44" s="37">
        <f>Dados!AO43/Dados!AH43</f>
        <v>0</v>
      </c>
      <c r="AH44" s="38">
        <f>Dados!AO43/Dados!AM43</f>
        <v>0</v>
      </c>
      <c r="AI44" s="37">
        <f>Dados!AP43/Dados!AQ43</f>
        <v>67.14611929831338</v>
      </c>
      <c r="AJ44" s="38">
        <f>Dados!AR44/Dados!AS44</f>
        <v>0.99589227483588705</v>
      </c>
      <c r="AK44" s="38">
        <f>Dados!AP44/Dados!AS44</f>
        <v>1.0237197602295014</v>
      </c>
      <c r="AL44" s="38">
        <f>Dados!AT43/Dados!AP43</f>
        <v>8.6839678963534627E-3</v>
      </c>
      <c r="AM44" s="38">
        <f>Dados!AU43/Dados!AW43</f>
        <v>5.8557052758723841E-3</v>
      </c>
      <c r="AN44" s="38">
        <f>Dados!AW44/Dados!AP44</f>
        <v>1.7787155261272981E-2</v>
      </c>
      <c r="AO44" s="37">
        <f>Dados!AX43/Dados!AQ43</f>
        <v>0</v>
      </c>
      <c r="AP44" s="39">
        <f>Dados!AX43/Dados!AV43</f>
        <v>0</v>
      </c>
    </row>
    <row r="45" spans="1:42" x14ac:dyDescent="0.25">
      <c r="A45" s="12">
        <v>274</v>
      </c>
      <c r="B45" s="13" t="s">
        <v>52</v>
      </c>
      <c r="C45" s="37">
        <f>Dados!F45/Dados!G45</f>
        <v>0</v>
      </c>
      <c r="D45" s="38" t="e">
        <f>Dados!H45/Dados!I45</f>
        <v>#DIV/0!</v>
      </c>
      <c r="E45" s="38" t="e">
        <f>Dados!F45/Dados!I45</f>
        <v>#DIV/0!</v>
      </c>
      <c r="F45" s="38" t="e">
        <f>Dados!J45/Dados!F45</f>
        <v>#DIV/0!</v>
      </c>
      <c r="G45" s="38" t="e">
        <f>Dados!K45/Dados!M45</f>
        <v>#DIV/0!</v>
      </c>
      <c r="H45" s="38" t="e">
        <f>Dados!M45/Dados!F45</f>
        <v>#DIV/0!</v>
      </c>
      <c r="I45" s="37">
        <f>Dados!N45/Dados!G45</f>
        <v>0</v>
      </c>
      <c r="J45" s="38" t="e">
        <f>Dados!N45/Dados!L45</f>
        <v>#DIV/0!</v>
      </c>
      <c r="K45" s="37">
        <f>Dados!O44/Dados!P44</f>
        <v>165.49203124396061</v>
      </c>
      <c r="L45" s="38">
        <f>Dados!Q45/Dados!R45</f>
        <v>0.67671931140531283</v>
      </c>
      <c r="M45" s="38">
        <f>Dados!O45/Dados!R45</f>
        <v>1.1858770769000062</v>
      </c>
      <c r="N45" s="38">
        <f>Dados!S44/Dados!O44</f>
        <v>1.6065988368373828E-2</v>
      </c>
      <c r="O45" s="38">
        <f>Dados!T44/Dados!V44</f>
        <v>1.4311114816289645</v>
      </c>
      <c r="P45" s="38">
        <f>Dados!V45/Dados!O45</f>
        <v>0</v>
      </c>
      <c r="Q45" s="37">
        <f>Dados!W44/Dados!P44</f>
        <v>1.5652934677575214</v>
      </c>
      <c r="R45" s="38">
        <f>Dados!W44/Dados!U44</f>
        <v>9.4771443605502822E-3</v>
      </c>
      <c r="S45" s="37">
        <f>Dados!X44/Dados!Y44</f>
        <v>0</v>
      </c>
      <c r="T45" s="38">
        <f>Dados!Z45/Dados!AA45</f>
        <v>0.89331913798652818</v>
      </c>
      <c r="U45" s="38">
        <f>Dados!X45/Dados!AA45</f>
        <v>1.2952516752272736</v>
      </c>
      <c r="V45" s="38" t="e">
        <f>Dados!AB44/Dados!X44</f>
        <v>#DIV/0!</v>
      </c>
      <c r="W45" s="38">
        <f>Dados!AC44/Dados!AE44</f>
        <v>0.1864836806508105</v>
      </c>
      <c r="X45" s="38">
        <f>Dados!AE45/Dados!X45</f>
        <v>0</v>
      </c>
      <c r="Y45" s="37">
        <f>Dados!AF44/Dados!Y44</f>
        <v>0.63166292027508908</v>
      </c>
      <c r="Z45" s="38" t="e">
        <f>Dados!AF44/Dados!AD44</f>
        <v>#DIV/0!</v>
      </c>
      <c r="AA45" s="37">
        <f>Dados!AG44/Dados!AH44</f>
        <v>97.577819074598679</v>
      </c>
      <c r="AB45" s="38">
        <f>Dados!AI45/Dados!AJ45</f>
        <v>0.9957766458490005</v>
      </c>
      <c r="AC45" s="38">
        <f>Dados!AG45/Dados!AJ45</f>
        <v>1.0378532568951022</v>
      </c>
      <c r="AD45" s="38">
        <f>Dados!AK44/Dados!AG44</f>
        <v>-5.8550990269531731E-3</v>
      </c>
      <c r="AE45" s="38">
        <f>Dados!AL44/Dados!AN44</f>
        <v>0.29529745672992336</v>
      </c>
      <c r="AF45" s="38">
        <f>Dados!AN45/Dados!AG45</f>
        <v>0</v>
      </c>
      <c r="AG45" s="37">
        <f>Dados!AO44/Dados!AH44</f>
        <v>0</v>
      </c>
      <c r="AH45" s="38">
        <f>Dados!AO44/Dados!AM44</f>
        <v>0</v>
      </c>
      <c r="AI45" s="37">
        <f>Dados!AP44/Dados!AQ44</f>
        <v>82.323417827218748</v>
      </c>
      <c r="AJ45" s="38">
        <f>Dados!AR45/Dados!AS45</f>
        <v>1</v>
      </c>
      <c r="AK45" s="38">
        <f>Dados!AP45/Dados!AS45</f>
        <v>1.0144835659000548</v>
      </c>
      <c r="AL45" s="38">
        <f>Dados!AT44/Dados!AP44</f>
        <v>2.3170169367624439E-2</v>
      </c>
      <c r="AM45" s="38">
        <f>Dados!AU44/Dados!AW44</f>
        <v>2.1137052152948934</v>
      </c>
      <c r="AN45" s="38">
        <f>Dados!AW45/Dados!AP45</f>
        <v>2.5465622941848839E-2</v>
      </c>
      <c r="AO45" s="37">
        <f>Dados!AX44/Dados!AQ44</f>
        <v>0.21486995385204186</v>
      </c>
      <c r="AP45" s="39">
        <f>Dados!AX44/Dados!AV44</f>
        <v>2.6226059419730986E-3</v>
      </c>
    </row>
    <row r="46" spans="1:42" x14ac:dyDescent="0.25">
      <c r="A46" s="12">
        <v>275</v>
      </c>
      <c r="B46" s="13" t="s">
        <v>53</v>
      </c>
      <c r="C46" s="37">
        <f>Dados!F46/Dados!G46</f>
        <v>0</v>
      </c>
      <c r="D46" s="38" t="e">
        <f>Dados!H46/Dados!I46</f>
        <v>#DIV/0!</v>
      </c>
      <c r="E46" s="38" t="e">
        <f>Dados!F46/Dados!I46</f>
        <v>#DIV/0!</v>
      </c>
      <c r="F46" s="38" t="e">
        <f>Dados!J46/Dados!F46</f>
        <v>#DIV/0!</v>
      </c>
      <c r="G46" s="38">
        <f>Dados!K46/Dados!M46</f>
        <v>170.62671451355664</v>
      </c>
      <c r="H46" s="38" t="e">
        <f>Dados!M46/Dados!F46</f>
        <v>#DIV/0!</v>
      </c>
      <c r="I46" s="37">
        <f>Dados!N46/Dados!G46</f>
        <v>0</v>
      </c>
      <c r="J46" s="38" t="e">
        <f>Dados!N46/Dados!L46</f>
        <v>#DIV/0!</v>
      </c>
      <c r="K46" s="37">
        <f>Dados!O45/Dados!P45</f>
        <v>27.548717974193647</v>
      </c>
      <c r="L46" s="38" t="e">
        <f>Dados!Q46/Dados!R46</f>
        <v>#DIV/0!</v>
      </c>
      <c r="M46" s="38" t="e">
        <f>Dados!O46/Dados!R46</f>
        <v>#DIV/0!</v>
      </c>
      <c r="N46" s="38">
        <f>Dados!S45/Dados!O45</f>
        <v>0.15674228005646781</v>
      </c>
      <c r="O46" s="38" t="e">
        <f>Dados!T45/Dados!V45</f>
        <v>#DIV/0!</v>
      </c>
      <c r="P46" s="38" t="e">
        <f>Dados!V46/Dados!O46</f>
        <v>#DIV/0!</v>
      </c>
      <c r="Q46" s="37">
        <f>Dados!W45/Dados!P45</f>
        <v>0</v>
      </c>
      <c r="R46" s="38">
        <f>Dados!W45/Dados!U45</f>
        <v>0</v>
      </c>
      <c r="S46" s="37">
        <f>Dados!X45/Dados!Y45</f>
        <v>18.868522111703058</v>
      </c>
      <c r="T46" s="38" t="e">
        <f>Dados!Z46/Dados!AA46</f>
        <v>#DIV/0!</v>
      </c>
      <c r="U46" s="38" t="e">
        <f>Dados!X46/Dados!AA46</f>
        <v>#DIV/0!</v>
      </c>
      <c r="V46" s="38">
        <f>Dados!AB45/Dados!X45</f>
        <v>0.22794927107541998</v>
      </c>
      <c r="W46" s="38" t="e">
        <f>Dados!AC45/Dados!AE45</f>
        <v>#DIV/0!</v>
      </c>
      <c r="X46" s="38" t="e">
        <f>Dados!AE46/Dados!X46</f>
        <v>#DIV/0!</v>
      </c>
      <c r="Y46" s="37">
        <f>Dados!AF45/Dados!Y45</f>
        <v>0</v>
      </c>
      <c r="Z46" s="38">
        <f>Dados!AF45/Dados!AD45</f>
        <v>0</v>
      </c>
      <c r="AA46" s="37">
        <f>Dados!AG45/Dados!AH45</f>
        <v>8.2361974874823183</v>
      </c>
      <c r="AB46" s="38">
        <f>Dados!AI46/Dados!AJ46</f>
        <v>1</v>
      </c>
      <c r="AC46" s="38">
        <f>Dados!AG46/Dados!AJ46</f>
        <v>1.3728991867664124</v>
      </c>
      <c r="AD46" s="38">
        <f>Dados!AK45/Dados!AG45</f>
        <v>3.6472648366827926E-2</v>
      </c>
      <c r="AE46" s="38" t="e">
        <f>Dados!AL45/Dados!AN45</f>
        <v>#DIV/0!</v>
      </c>
      <c r="AF46" s="38">
        <f>Dados!AN46/Dados!AG46</f>
        <v>0</v>
      </c>
      <c r="AG46" s="37">
        <f>Dados!AO45/Dados!AH45</f>
        <v>0</v>
      </c>
      <c r="AH46" s="38">
        <f>Dados!AO45/Dados!AM45</f>
        <v>0</v>
      </c>
      <c r="AI46" s="37">
        <f>Dados!AP45/Dados!AQ45</f>
        <v>7.1635595287157114</v>
      </c>
      <c r="AJ46" s="38" t="e">
        <f>Dados!AR46/Dados!AS46</f>
        <v>#DIV/0!</v>
      </c>
      <c r="AK46" s="38" t="e">
        <f>Dados!AP46/Dados!AS46</f>
        <v>#DIV/0!</v>
      </c>
      <c r="AL46" s="38">
        <f>Dados!AT45/Dados!AP45</f>
        <v>1.427678711306167E-2</v>
      </c>
      <c r="AM46" s="38">
        <f>Dados!AU45/Dados!AW45</f>
        <v>4.9672075671393285</v>
      </c>
      <c r="AN46" s="38" t="e">
        <f>Dados!AW46/Dados!AP46</f>
        <v>#DIV/0!</v>
      </c>
      <c r="AO46" s="37">
        <f>Dados!AX45/Dados!AQ45</f>
        <v>0</v>
      </c>
      <c r="AP46" s="39">
        <f>Dados!AX45/Dados!AV45</f>
        <v>0</v>
      </c>
    </row>
    <row r="47" spans="1:42" ht="25.5" x14ac:dyDescent="0.25">
      <c r="A47" s="12">
        <v>276</v>
      </c>
      <c r="B47" s="13" t="s">
        <v>54</v>
      </c>
      <c r="C47" s="37">
        <f>Dados!F47/Dados!G47</f>
        <v>7.912247029802927</v>
      </c>
      <c r="D47" s="38">
        <f>Dados!H47/Dados!I47</f>
        <v>0.96603898106229191</v>
      </c>
      <c r="E47" s="38">
        <f>Dados!F47/Dados!I47</f>
        <v>1.0500263556759755</v>
      </c>
      <c r="F47" s="38">
        <f>Dados!J47/Dados!F47</f>
        <v>4.764295239405688E-2</v>
      </c>
      <c r="G47" s="38">
        <f>Dados!K47/Dados!M47</f>
        <v>13.728476102241352</v>
      </c>
      <c r="H47" s="38">
        <f>Dados!M47/Dados!F47</f>
        <v>1.4626244934191346E-2</v>
      </c>
      <c r="I47" s="37">
        <f>Dados!N47/Dados!G47</f>
        <v>0</v>
      </c>
      <c r="J47" s="38">
        <f>Dados!N47/Dados!L47</f>
        <v>0</v>
      </c>
      <c r="K47" s="37">
        <f>Dados!O46/Dados!P46</f>
        <v>0</v>
      </c>
      <c r="L47" s="38">
        <f>Dados!Q47/Dados!R47</f>
        <v>0.98286335925676316</v>
      </c>
      <c r="M47" s="38">
        <f>Dados!O47/Dados!R47</f>
        <v>1.0450562722691177</v>
      </c>
      <c r="N47" s="38" t="e">
        <f>Dados!S46/Dados!O46</f>
        <v>#DIV/0!</v>
      </c>
      <c r="O47" s="38">
        <f>Dados!T46/Dados!V46</f>
        <v>211.56328172619774</v>
      </c>
      <c r="P47" s="38">
        <f>Dados!V47/Dados!O47</f>
        <v>7.1695237970636469E-2</v>
      </c>
      <c r="Q47" s="37">
        <f>Dados!W46/Dados!P46</f>
        <v>0</v>
      </c>
      <c r="R47" s="38" t="e">
        <f>Dados!W46/Dados!U46</f>
        <v>#DIV/0!</v>
      </c>
      <c r="S47" s="37">
        <f>Dados!X46/Dados!Y46</f>
        <v>0</v>
      </c>
      <c r="T47" s="38">
        <f>Dados!Z47/Dados!AA47</f>
        <v>0.59143941428380398</v>
      </c>
      <c r="U47" s="38">
        <f>Dados!X47/Dados!AA47</f>
        <v>1.0429373918624665</v>
      </c>
      <c r="V47" s="38" t="e">
        <f>Dados!AB46/Dados!X46</f>
        <v>#DIV/0!</v>
      </c>
      <c r="W47" s="38">
        <f>Dados!AC46/Dados!AE46</f>
        <v>211.56328172619774</v>
      </c>
      <c r="X47" s="38">
        <f>Dados!AE47/Dados!X47</f>
        <v>4.6561058050918896E-2</v>
      </c>
      <c r="Y47" s="37">
        <f>Dados!AF46/Dados!Y46</f>
        <v>0</v>
      </c>
      <c r="Z47" s="38" t="e">
        <f>Dados!AF46/Dados!AD46</f>
        <v>#DIV/0!</v>
      </c>
      <c r="AA47" s="37">
        <f>Dados!AG46/Dados!AH46</f>
        <v>0.73197476306272602</v>
      </c>
      <c r="AB47" s="38">
        <f>Dados!AI47/Dados!AJ47</f>
        <v>0.84973980986620123</v>
      </c>
      <c r="AC47" s="38">
        <f>Dados!AG47/Dados!AJ47</f>
        <v>0.82100169562867309</v>
      </c>
      <c r="AD47" s="38">
        <f>Dados!AK46/Dados!AG46</f>
        <v>0.27161439846482932</v>
      </c>
      <c r="AE47" s="38" t="e">
        <f>Dados!AL46/Dados!AN46</f>
        <v>#DIV/0!</v>
      </c>
      <c r="AF47" s="38">
        <f>Dados!AN47/Dados!AG47</f>
        <v>0.10065381876487701</v>
      </c>
      <c r="AG47" s="37">
        <f>Dados!AO46/Dados!AH46</f>
        <v>0</v>
      </c>
      <c r="AH47" s="38">
        <f>Dados!AO46/Dados!AM46</f>
        <v>0</v>
      </c>
      <c r="AI47" s="37">
        <f>Dados!AP46/Dados!AQ46</f>
        <v>0</v>
      </c>
      <c r="AJ47" s="38">
        <f>Dados!AR47/Dados!AS47</f>
        <v>0.99913667008280937</v>
      </c>
      <c r="AK47" s="38">
        <f>Dados!AP47/Dados!AS47</f>
        <v>1.0620524459384963</v>
      </c>
      <c r="AL47" s="38" t="e">
        <f>Dados!AT46/Dados!AP46</f>
        <v>#DIV/0!</v>
      </c>
      <c r="AM47" s="38" t="e">
        <f>Dados!AU46/Dados!AW46</f>
        <v>#DIV/0!</v>
      </c>
      <c r="AN47" s="38">
        <f>Dados!AW47/Dados!AP47</f>
        <v>1.5209585985161291E-2</v>
      </c>
      <c r="AO47" s="37">
        <f>Dados!AX46/Dados!AQ46</f>
        <v>0</v>
      </c>
      <c r="AP47" s="39" t="e">
        <f>Dados!AX46/Dados!AV46</f>
        <v>#DIV/0!</v>
      </c>
    </row>
    <row r="48" spans="1:42" x14ac:dyDescent="0.25">
      <c r="A48" s="12">
        <v>277</v>
      </c>
      <c r="B48" s="13" t="s">
        <v>55</v>
      </c>
      <c r="C48" s="37">
        <f>Dados!F48/Dados!G48</f>
        <v>3.971080566453411</v>
      </c>
      <c r="D48" s="38">
        <f>Dados!H48/Dados!I48</f>
        <v>1</v>
      </c>
      <c r="E48" s="38">
        <f>Dados!F48/Dados!I48</f>
        <v>0.98520304057643437</v>
      </c>
      <c r="F48" s="38">
        <f>Dados!J48/Dados!F48</f>
        <v>-1.5019197885248175E-2</v>
      </c>
      <c r="G48" s="38">
        <f>Dados!K48/Dados!M48</f>
        <v>128.29526322541261</v>
      </c>
      <c r="H48" s="38">
        <f>Dados!M48/Dados!F48</f>
        <v>1.1221080474677501E-3</v>
      </c>
      <c r="I48" s="37">
        <f>Dados!N48/Dados!G48</f>
        <v>0</v>
      </c>
      <c r="J48" s="38">
        <f>Dados!N48/Dados!L48</f>
        <v>0</v>
      </c>
      <c r="K48" s="37">
        <f>Dados!O47/Dados!P47</f>
        <v>6.3770943879939681</v>
      </c>
      <c r="L48" s="38">
        <f>Dados!Q48/Dados!R48</f>
        <v>0.98783563305005595</v>
      </c>
      <c r="M48" s="38">
        <f>Dados!O48/Dados!R48</f>
        <v>1.1000410508970662</v>
      </c>
      <c r="N48" s="38">
        <f>Dados!S47/Dados!O47</f>
        <v>4.3113728384489375E-2</v>
      </c>
      <c r="O48" s="38">
        <f>Dados!T47/Dados!V47</f>
        <v>3.3974039797282707</v>
      </c>
      <c r="P48" s="38">
        <f>Dados!V48/Dados!O48</f>
        <v>1.8677898419678454E-3</v>
      </c>
      <c r="Q48" s="37">
        <f>Dados!W47/Dados!P47</f>
        <v>0</v>
      </c>
      <c r="R48" s="38">
        <f>Dados!W47/Dados!U47</f>
        <v>0</v>
      </c>
      <c r="S48" s="37">
        <f>Dados!X47/Dados!Y47</f>
        <v>8.9496887825750342</v>
      </c>
      <c r="T48" s="38">
        <f>Dados!Z48/Dados!AA48</f>
        <v>0.6657103977104859</v>
      </c>
      <c r="U48" s="38">
        <f>Dados!X48/Dados!AA48</f>
        <v>0.95884327148765214</v>
      </c>
      <c r="V48" s="38">
        <f>Dados!AB47/Dados!X47</f>
        <v>4.1169673460253881E-2</v>
      </c>
      <c r="W48" s="38">
        <f>Dados!AC47/Dados!AE47</f>
        <v>3.0023005547884063</v>
      </c>
      <c r="X48" s="38">
        <f>Dados!AE48/Dados!X48</f>
        <v>1.778288916810215E-3</v>
      </c>
      <c r="Y48" s="37">
        <f>Dados!AF47/Dados!Y47</f>
        <v>0</v>
      </c>
      <c r="Z48" s="38">
        <f>Dados!AF47/Dados!AD47</f>
        <v>0</v>
      </c>
      <c r="AA48" s="37">
        <f>Dados!AG47/Dados!AH47</f>
        <v>3.1393472311294319</v>
      </c>
      <c r="AB48" s="38">
        <f>Dados!AI48/Dados!AJ48</f>
        <v>0.97906819633021758</v>
      </c>
      <c r="AC48" s="38">
        <f>Dados!AG48/Dados!AJ48</f>
        <v>0.91884214419319188</v>
      </c>
      <c r="AD48" s="38">
        <f>Dados!AK47/Dados!AG47</f>
        <v>-0.21802428097820301</v>
      </c>
      <c r="AE48" s="38">
        <f>Dados!AL47/Dados!AN47</f>
        <v>2.4508551311255919</v>
      </c>
      <c r="AF48" s="38">
        <f>Dados!AN48/Dados!AG48</f>
        <v>1.7926704359859859E-2</v>
      </c>
      <c r="AG48" s="37">
        <f>Dados!AO47/Dados!AH47</f>
        <v>0</v>
      </c>
      <c r="AH48" s="38">
        <f>Dados!AO47/Dados!AM47</f>
        <v>0</v>
      </c>
      <c r="AI48" s="37">
        <f>Dados!AP47/Dados!AQ47</f>
        <v>2.8093520000353189</v>
      </c>
      <c r="AJ48" s="38">
        <f>Dados!AR48/Dados!AS48</f>
        <v>0.99339676525046916</v>
      </c>
      <c r="AK48" s="38">
        <f>Dados!AP48/Dados!AS48</f>
        <v>0.97663735737631852</v>
      </c>
      <c r="AL48" s="38">
        <f>Dados!AT47/Dados!AP47</f>
        <v>5.8426913073640965E-2</v>
      </c>
      <c r="AM48" s="38">
        <f>Dados!AU47/Dados!AW47</f>
        <v>27.895088340135349</v>
      </c>
      <c r="AN48" s="38">
        <f>Dados!AW48/Dados!AP48</f>
        <v>1.9355223572905072E-2</v>
      </c>
      <c r="AO48" s="37">
        <f>Dados!AX47/Dados!AQ47</f>
        <v>0</v>
      </c>
      <c r="AP48" s="39">
        <f>Dados!AX47/Dados!AV47</f>
        <v>0</v>
      </c>
    </row>
    <row r="49" spans="1:42" x14ac:dyDescent="0.25">
      <c r="A49" s="12">
        <v>278</v>
      </c>
      <c r="B49" s="13" t="s">
        <v>56</v>
      </c>
      <c r="C49" s="37">
        <f>Dados!F49/Dados!G49</f>
        <v>3.3336086447848357</v>
      </c>
      <c r="D49" s="38">
        <f>Dados!H49/Dados!I49</f>
        <v>0.98953174175708525</v>
      </c>
      <c r="E49" s="38">
        <f>Dados!F49/Dados!I49</f>
        <v>0.89292045246143947</v>
      </c>
      <c r="F49" s="38">
        <f>Dados!J49/Dados!F49</f>
        <v>-0.11992059006307132</v>
      </c>
      <c r="G49" s="38">
        <f>Dados!K49/Dados!M49</f>
        <v>7.2729684357235866</v>
      </c>
      <c r="H49" s="38">
        <f>Dados!M49/Dados!F49</f>
        <v>7.0376713982995109E-2</v>
      </c>
      <c r="I49" s="37">
        <f>Dados!N49/Dados!G49</f>
        <v>0</v>
      </c>
      <c r="J49" s="38">
        <f>Dados!N49/Dados!L49</f>
        <v>0</v>
      </c>
      <c r="K49" s="37">
        <f>Dados!O48/Dados!P48</f>
        <v>3.4801130119713082</v>
      </c>
      <c r="L49" s="38">
        <f>Dados!Q49/Dados!R49</f>
        <v>0.9958979860842857</v>
      </c>
      <c r="M49" s="38">
        <f>Dados!O49/Dados!R49</f>
        <v>1.2507899991134759</v>
      </c>
      <c r="N49" s="38">
        <f>Dados!S48/Dados!O48</f>
        <v>9.0943016004252086E-2</v>
      </c>
      <c r="O49" s="38">
        <f>Dados!T48/Dados!V48</f>
        <v>73.641464129548808</v>
      </c>
      <c r="P49" s="38">
        <f>Dados!V49/Dados!O49</f>
        <v>6.8024050261406954E-2</v>
      </c>
      <c r="Q49" s="37">
        <f>Dados!W48/Dados!P48</f>
        <v>0</v>
      </c>
      <c r="R49" s="38">
        <f>Dados!W48/Dados!U48</f>
        <v>0</v>
      </c>
      <c r="S49" s="37">
        <f>Dados!X48/Dados!Y48</f>
        <v>3.0265530122129265</v>
      </c>
      <c r="T49" s="38">
        <f>Dados!Z49/Dados!AA49</f>
        <v>0.72050614260605605</v>
      </c>
      <c r="U49" s="38">
        <f>Dados!X49/Dados!AA49</f>
        <v>1.0892140926614573</v>
      </c>
      <c r="V49" s="38">
        <f>Dados!AB48/Dados!X48</f>
        <v>-4.2923311594493349E-2</v>
      </c>
      <c r="W49" s="38">
        <f>Dados!AC48/Dados!AE48</f>
        <v>47.838369469420783</v>
      </c>
      <c r="X49" s="38">
        <f>Dados!AE49/Dados!X49</f>
        <v>0.1022605560176095</v>
      </c>
      <c r="Y49" s="37">
        <f>Dados!AF48/Dados!Y48</f>
        <v>0</v>
      </c>
      <c r="Z49" s="38">
        <f>Dados!AF48/Dados!AD48</f>
        <v>0</v>
      </c>
      <c r="AA49" s="37">
        <f>Dados!AG48/Dados!AH48</f>
        <v>2.0638047979786602</v>
      </c>
      <c r="AB49" s="38">
        <f>Dados!AI49/Dados!AJ49</f>
        <v>0.97488210269419284</v>
      </c>
      <c r="AC49" s="38">
        <f>Dados!AG49/Dados!AJ49</f>
        <v>1.0265294985803226</v>
      </c>
      <c r="AD49" s="38">
        <f>Dados!AK48/Dados!AG48</f>
        <v>-8.8326222648472841E-2</v>
      </c>
      <c r="AE49" s="38">
        <f>Dados!AL48/Dados!AN48</f>
        <v>12.49863860655238</v>
      </c>
      <c r="AF49" s="38">
        <f>Dados!AN49/Dados!AG49</f>
        <v>0.10050027341268573</v>
      </c>
      <c r="AG49" s="37">
        <f>Dados!AO48/Dados!AH48</f>
        <v>0</v>
      </c>
      <c r="AH49" s="38">
        <f>Dados!AO48/Dados!AM48</f>
        <v>0</v>
      </c>
      <c r="AI49" s="37">
        <f>Dados!AP48/Dados!AQ48</f>
        <v>1.737654899274734</v>
      </c>
      <c r="AJ49" s="38">
        <f>Dados!AR49/Dados!AS49</f>
        <v>0.99995738879355023</v>
      </c>
      <c r="AK49" s="38">
        <f>Dados!AP49/Dados!AS49</f>
        <v>0.76779726924566793</v>
      </c>
      <c r="AL49" s="38">
        <f>Dados!AT48/Dados!AP48</f>
        <v>-2.3921512368156747E-2</v>
      </c>
      <c r="AM49" s="38">
        <f>Dados!AU48/Dados!AW48</f>
        <v>12.041932597725589</v>
      </c>
      <c r="AN49" s="38">
        <f>Dados!AW49/Dados!AP49</f>
        <v>0.12759546336690164</v>
      </c>
      <c r="AO49" s="37">
        <f>Dados!AX48/Dados!AQ48</f>
        <v>0</v>
      </c>
      <c r="AP49" s="39">
        <f>Dados!AX48/Dados!AV48</f>
        <v>0</v>
      </c>
    </row>
    <row r="50" spans="1:42" x14ac:dyDescent="0.25">
      <c r="A50" s="12">
        <v>279</v>
      </c>
      <c r="B50" s="13" t="s">
        <v>57</v>
      </c>
      <c r="C50" s="37">
        <f>Dados!F50/Dados!G50</f>
        <v>1.1605454081465503</v>
      </c>
      <c r="D50" s="38">
        <f>Dados!H50/Dados!I50</f>
        <v>1</v>
      </c>
      <c r="E50" s="38">
        <f>Dados!F50/Dados!I50</f>
        <v>1.2390231671797589</v>
      </c>
      <c r="F50" s="38">
        <f>Dados!J50/Dados!F50</f>
        <v>0.19291258913569703</v>
      </c>
      <c r="G50" s="38">
        <f>Dados!K50/Dados!M50</f>
        <v>6.5697244291298373</v>
      </c>
      <c r="H50" s="38">
        <f>Dados!M50/Dados!F50</f>
        <v>5.9709746005059551E-2</v>
      </c>
      <c r="I50" s="37">
        <f>Dados!N50/Dados!G50</f>
        <v>0</v>
      </c>
      <c r="J50" s="38">
        <f>Dados!N50/Dados!L50</f>
        <v>0</v>
      </c>
      <c r="K50" s="37">
        <f>Dados!O49/Dados!P49</f>
        <v>3.775830527414386</v>
      </c>
      <c r="L50" s="38">
        <f>Dados!Q50/Dados!R50</f>
        <v>0.23236213016957011</v>
      </c>
      <c r="M50" s="38">
        <f>Dados!O50/Dados!R50</f>
        <v>1.0469148471544836</v>
      </c>
      <c r="N50" s="38">
        <f>Dados!S49/Dados!O49</f>
        <v>0.20050528009596225</v>
      </c>
      <c r="O50" s="38">
        <f>Dados!T49/Dados!V49</f>
        <v>8.35767420845273</v>
      </c>
      <c r="P50" s="38">
        <f>Dados!V50/Dados!O50</f>
        <v>2.858663369764803E-2</v>
      </c>
      <c r="Q50" s="37">
        <f>Dados!W49/Dados!P49</f>
        <v>0</v>
      </c>
      <c r="R50" s="38">
        <f>Dados!W49/Dados!U49</f>
        <v>0</v>
      </c>
      <c r="S50" s="37">
        <f>Dados!X49/Dados!Y49</f>
        <v>4.5687506106985021</v>
      </c>
      <c r="T50" s="38">
        <f>Dados!Z50/Dados!AA50</f>
        <v>0.38306672822530108</v>
      </c>
      <c r="U50" s="38">
        <f>Dados!X50/Dados!AA50</f>
        <v>0.98331061540352771</v>
      </c>
      <c r="V50" s="38">
        <f>Dados!AB49/Dados!X49</f>
        <v>8.1906847572515165E-2</v>
      </c>
      <c r="W50" s="38">
        <f>Dados!AC49/Dados!AE49</f>
        <v>2.7037603268105586</v>
      </c>
      <c r="X50" s="38">
        <f>Dados!AE50/Dados!X50</f>
        <v>6.0707886870763159E-2</v>
      </c>
      <c r="Y50" s="37">
        <f>Dados!AF49/Dados!Y49</f>
        <v>0</v>
      </c>
      <c r="Z50" s="38">
        <f>Dados!AF49/Dados!AD49</f>
        <v>0</v>
      </c>
      <c r="AA50" s="37">
        <f>Dados!AG49/Dados!AH49</f>
        <v>3.368587075334649</v>
      </c>
      <c r="AB50" s="38">
        <f>Dados!AI50/Dados!AJ50</f>
        <v>0.6076812352496318</v>
      </c>
      <c r="AC50" s="38">
        <f>Dados!AG50/Dados!AJ50</f>
        <v>1.1899437097469803</v>
      </c>
      <c r="AD50" s="38">
        <f>Dados!AK49/Dados!AG49</f>
        <v>2.5843873573056123E-2</v>
      </c>
      <c r="AE50" s="38">
        <f>Dados!AL49/Dados!AN49</f>
        <v>2.0895888921616845</v>
      </c>
      <c r="AF50" s="38">
        <f>Dados!AN50/Dados!AG50</f>
        <v>8.3365886574450571E-2</v>
      </c>
      <c r="AG50" s="37">
        <f>Dados!AO49/Dados!AH49</f>
        <v>0</v>
      </c>
      <c r="AH50" s="38">
        <f>Dados!AO49/Dados!AM49</f>
        <v>0</v>
      </c>
      <c r="AI50" s="37">
        <f>Dados!AP49/Dados!AQ49</f>
        <v>5.6795436960770909</v>
      </c>
      <c r="AJ50" s="38">
        <f>Dados!AR50/Dados!AS50</f>
        <v>0.99540720304364894</v>
      </c>
      <c r="AK50" s="38">
        <f>Dados!AP50/Dados!AS50</f>
        <v>0.91678512525370182</v>
      </c>
      <c r="AL50" s="38">
        <f>Dados!AT49/Dados!AP49</f>
        <v>-0.30242713806792054</v>
      </c>
      <c r="AM50" s="38">
        <f>Dados!AU49/Dados!AW49</f>
        <v>1.5319281946264824</v>
      </c>
      <c r="AN50" s="38">
        <f>Dados!AW50/Dados!AP50</f>
        <v>0.22248003711558856</v>
      </c>
      <c r="AO50" s="37">
        <f>Dados!AX49/Dados!AQ49</f>
        <v>0</v>
      </c>
      <c r="AP50" s="39">
        <f>Dados!AX49/Dados!AV49</f>
        <v>0</v>
      </c>
    </row>
    <row r="51" spans="1:42" ht="25.5" x14ac:dyDescent="0.25">
      <c r="A51" s="12">
        <v>281</v>
      </c>
      <c r="B51" s="13" t="s">
        <v>58</v>
      </c>
      <c r="C51" s="37">
        <f>Dados!F51/Dados!G51</f>
        <v>118.18913704842321</v>
      </c>
      <c r="D51" s="38">
        <f>Dados!H51/Dados!I51</f>
        <v>0.99444004094518634</v>
      </c>
      <c r="E51" s="38">
        <f>Dados!F51/Dados!I51</f>
        <v>0.99293476807460268</v>
      </c>
      <c r="F51" s="38">
        <f>Dados!J51/Dados!F51</f>
        <v>-7.1155046157739977E-3</v>
      </c>
      <c r="G51" s="38">
        <f>Dados!K51/Dados!M51</f>
        <v>841.47549422313887</v>
      </c>
      <c r="H51" s="38">
        <f>Dados!M51/Dados!F51</f>
        <v>6.7336667191801502E-5</v>
      </c>
      <c r="I51" s="37">
        <f>Dados!N51/Dados!G51</f>
        <v>0</v>
      </c>
      <c r="J51" s="38">
        <f>Dados!N51/Dados!L51</f>
        <v>0</v>
      </c>
      <c r="K51" s="37">
        <f>Dados!O50/Dados!P50</f>
        <v>3.2552522000490489</v>
      </c>
      <c r="L51" s="38">
        <f>Dados!Q51/Dados!R51</f>
        <v>0.99965294813231009</v>
      </c>
      <c r="M51" s="38">
        <f>Dados!O51/Dados!R51</f>
        <v>0.99649555657530586</v>
      </c>
      <c r="N51" s="38">
        <f>Dados!S50/Dados!O50</f>
        <v>4.481247666130448E-2</v>
      </c>
      <c r="O51" s="38">
        <f>Dados!T50/Dados!V50</f>
        <v>2.7282541005203207</v>
      </c>
      <c r="P51" s="38">
        <f>Dados!V51/Dados!O51</f>
        <v>0</v>
      </c>
      <c r="Q51" s="37">
        <f>Dados!W50/Dados!P50</f>
        <v>0</v>
      </c>
      <c r="R51" s="38">
        <f>Dados!W50/Dados!U50</f>
        <v>0</v>
      </c>
      <c r="S51" s="37">
        <f>Dados!X50/Dados!Y50</f>
        <v>1.4438419180173943</v>
      </c>
      <c r="T51" s="38">
        <f>Dados!Z51/Dados!AA51</f>
        <v>0.99971118546478666</v>
      </c>
      <c r="U51" s="38">
        <f>Dados!X51/Dados!AA51</f>
        <v>1.0271731631850618</v>
      </c>
      <c r="V51" s="38">
        <f>Dados!AB50/Dados!X50</f>
        <v>-1.6972647640566132E-2</v>
      </c>
      <c r="W51" s="38">
        <f>Dados!AC50/Dados!AE50</f>
        <v>2.3067771190089124</v>
      </c>
      <c r="X51" s="38">
        <f>Dados!AE51/Dados!X51</f>
        <v>0</v>
      </c>
      <c r="Y51" s="37">
        <f>Dados!AF50/Dados!Y50</f>
        <v>2.3756459807559849E-2</v>
      </c>
      <c r="Z51" s="38">
        <f>Dados!AF50/Dados!AD50</f>
        <v>4.3875650587490017E-2</v>
      </c>
      <c r="AA51" s="37">
        <f>Dados!AG50/Dados!AH50</f>
        <v>0.84328422088469812</v>
      </c>
      <c r="AB51" s="38">
        <f>Dados!AI51/Dados!AJ51</f>
        <v>1</v>
      </c>
      <c r="AC51" s="38">
        <f>Dados!AG51/Dados!AJ51</f>
        <v>1.0592718209025349</v>
      </c>
      <c r="AD51" s="38">
        <f>Dados!AK50/Dados!AG50</f>
        <v>0.1596241134695088</v>
      </c>
      <c r="AE51" s="38">
        <f>Dados!AL50/Dados!AN50</f>
        <v>4.7011914128155832</v>
      </c>
      <c r="AF51" s="38">
        <f>Dados!AN51/Dados!AG51</f>
        <v>8.6267971590913849E-5</v>
      </c>
      <c r="AG51" s="37">
        <f>Dados!AO50/Dados!AH50</f>
        <v>2.3576098458552103E-2</v>
      </c>
      <c r="AH51" s="38">
        <f>Dados!AO50/Dados!AM50</f>
        <v>4.1708603830774377E-2</v>
      </c>
      <c r="AI51" s="37">
        <f>Dados!AP50/Dados!AQ50</f>
        <v>0.32171947631029041</v>
      </c>
      <c r="AJ51" s="38">
        <f>Dados!AR51/Dados!AS51</f>
        <v>0.9998414313469266</v>
      </c>
      <c r="AK51" s="38">
        <f>Dados!AP51/Dados!AS51</f>
        <v>0.94861759061152606</v>
      </c>
      <c r="AL51" s="38">
        <f>Dados!AT50/Dados!AP50</f>
        <v>-9.0768133616118768E-2</v>
      </c>
      <c r="AM51" s="38">
        <f>Dados!AU50/Dados!AW50</f>
        <v>1.3990793793144784E-3</v>
      </c>
      <c r="AN51" s="38">
        <f>Dados!AW51/Dados!AP51</f>
        <v>9.6127740937753761E-5</v>
      </c>
      <c r="AO51" s="37">
        <f>Dados!AX50/Dados!AQ50</f>
        <v>2.3867388801228198E-2</v>
      </c>
      <c r="AP51" s="39">
        <f>Dados!AX50/Dados!AV50</f>
        <v>7.4186956521739136E-2</v>
      </c>
    </row>
    <row r="52" spans="1:42" x14ac:dyDescent="0.25">
      <c r="A52" s="12">
        <v>311</v>
      </c>
      <c r="B52" s="13" t="s">
        <v>59</v>
      </c>
      <c r="C52" s="37">
        <f>Dados!F52/Dados!G52</f>
        <v>11.086429693866188</v>
      </c>
      <c r="D52" s="38">
        <f>Dados!H52/Dados!I52</f>
        <v>0.17185639485477747</v>
      </c>
      <c r="E52" s="38">
        <f>Dados!F52/Dados!I52</f>
        <v>1.2128790091273955</v>
      </c>
      <c r="F52" s="38">
        <f>Dados!J52/Dados!F52</f>
        <v>0.17551545333491356</v>
      </c>
      <c r="G52" s="38">
        <f>Dados!K52/Dados!M52</f>
        <v>37.684317739977821</v>
      </c>
      <c r="H52" s="38">
        <f>Dados!M52/Dados!F52</f>
        <v>1.0033378517885846E-2</v>
      </c>
      <c r="I52" s="37">
        <f>Dados!N52/Dados!G52</f>
        <v>0</v>
      </c>
      <c r="J52" s="38">
        <f>Dados!N52/Dados!L52</f>
        <v>0</v>
      </c>
      <c r="K52" s="37">
        <f>Dados!O51/Dados!P51</f>
        <v>107.08627644453456</v>
      </c>
      <c r="L52" s="38">
        <f>Dados!Q52/Dados!R52</f>
        <v>5.4512600566813008E-2</v>
      </c>
      <c r="M52" s="38">
        <f>Dados!O52/Dados!R52</f>
        <v>0.99949998656578343</v>
      </c>
      <c r="N52" s="38">
        <f>Dados!S51/Dados!O51</f>
        <v>-3.5167677382708083E-3</v>
      </c>
      <c r="O52" s="38" t="e">
        <f>Dados!T51/Dados!V51</f>
        <v>#DIV/0!</v>
      </c>
      <c r="P52" s="38">
        <f>Dados!V52/Dados!O52</f>
        <v>1.8871472946498935E-3</v>
      </c>
      <c r="Q52" s="37">
        <f>Dados!W51/Dados!P51</f>
        <v>0</v>
      </c>
      <c r="R52" s="38">
        <f>Dados!W51/Dados!U51</f>
        <v>0</v>
      </c>
      <c r="S52" s="37">
        <f>Dados!X51/Dados!Y51</f>
        <v>74.42940230419606</v>
      </c>
      <c r="T52" s="38">
        <f>Dados!Z52/Dados!AA52</f>
        <v>0.51934164565323859</v>
      </c>
      <c r="U52" s="38">
        <f>Dados!X52/Dados!AA52</f>
        <v>1.106863735878912</v>
      </c>
      <c r="V52" s="38">
        <f>Dados!AB51/Dados!X51</f>
        <v>2.6454315746337331E-2</v>
      </c>
      <c r="W52" s="38" t="e">
        <f>Dados!AC51/Dados!AE51</f>
        <v>#DIV/0!</v>
      </c>
      <c r="X52" s="38">
        <f>Dados!AE52/Dados!X52</f>
        <v>3.0664364707494642E-2</v>
      </c>
      <c r="Y52" s="37">
        <f>Dados!AF51/Dados!Y51</f>
        <v>0</v>
      </c>
      <c r="Z52" s="38">
        <f>Dados!AF51/Dados!AD51</f>
        <v>0</v>
      </c>
      <c r="AA52" s="37">
        <f>Dados!AG51/Dados!AH51</f>
        <v>67.603284024317972</v>
      </c>
      <c r="AB52" s="38" t="e">
        <f>Dados!AI52/Dados!AJ52</f>
        <v>#DIV/0!</v>
      </c>
      <c r="AC52" s="38" t="e">
        <f>Dados!AG52/Dados!AJ52</f>
        <v>#DIV/0!</v>
      </c>
      <c r="AD52" s="38">
        <f>Dados!AK51/Dados!AG51</f>
        <v>5.5955251270663746E-2</v>
      </c>
      <c r="AE52" s="38">
        <f>Dados!AL51/Dados!AN51</f>
        <v>1083.0794435314926</v>
      </c>
      <c r="AF52" s="38" t="e">
        <f>Dados!AN52/Dados!AG52</f>
        <v>#DIV/0!</v>
      </c>
      <c r="AG52" s="37">
        <f>Dados!AO51/Dados!AH51</f>
        <v>0</v>
      </c>
      <c r="AH52" s="38">
        <f>Dados!AO51/Dados!AM51</f>
        <v>0</v>
      </c>
      <c r="AI52" s="37">
        <f>Dados!AP51/Dados!AQ51</f>
        <v>60.651361475789209</v>
      </c>
      <c r="AJ52" s="38">
        <f>Dados!AR52/Dados!AS52</f>
        <v>3.0556697221974502E-2</v>
      </c>
      <c r="AK52" s="38">
        <f>Dados!AP52/Dados!AS52</f>
        <v>0.40517159668344271</v>
      </c>
      <c r="AL52" s="38">
        <f>Dados!AT51/Dados!AP51</f>
        <v>-5.4165566712030211E-2</v>
      </c>
      <c r="AM52" s="38">
        <f>Dados!AU51/Dados!AW51</f>
        <v>435.62925907258062</v>
      </c>
      <c r="AN52" s="38">
        <f>Dados!AW52/Dados!AP52</f>
        <v>0.17093586955004378</v>
      </c>
      <c r="AO52" s="37">
        <f>Dados!AX51/Dados!AQ51</f>
        <v>0</v>
      </c>
      <c r="AP52" s="39">
        <f>Dados!AX51/Dados!AV51</f>
        <v>0</v>
      </c>
    </row>
    <row r="53" spans="1:42" ht="25.5" x14ac:dyDescent="0.25">
      <c r="A53" s="12">
        <v>312</v>
      </c>
      <c r="B53" s="13" t="s">
        <v>60</v>
      </c>
      <c r="C53" s="37">
        <f>Dados!F53/Dados!G53</f>
        <v>3.1330853417076159</v>
      </c>
      <c r="D53" s="38">
        <f>Dados!H53/Dados!I53</f>
        <v>1</v>
      </c>
      <c r="E53" s="38">
        <f>Dados!F53/Dados!I53</f>
        <v>1.1331193775626078</v>
      </c>
      <c r="F53" s="38">
        <f>Dados!J53/Dados!F53</f>
        <v>0.11748045280891224</v>
      </c>
      <c r="G53" s="38">
        <f>Dados!K53/Dados!M53</f>
        <v>83.85383575828844</v>
      </c>
      <c r="H53" s="38">
        <f>Dados!M53/Dados!F53</f>
        <v>2.6655412086568049E-3</v>
      </c>
      <c r="I53" s="37">
        <f>Dados!N53/Dados!G53</f>
        <v>0</v>
      </c>
      <c r="J53" s="38">
        <f>Dados!N53/Dados!L53</f>
        <v>0</v>
      </c>
      <c r="K53" s="37">
        <f>Dados!O52/Dados!P52</f>
        <v>21.95709549945116</v>
      </c>
      <c r="L53" s="38">
        <f>Dados!Q53/Dados!R53</f>
        <v>0.26393389497406533</v>
      </c>
      <c r="M53" s="38">
        <f>Dados!O53/Dados!R53</f>
        <v>1.0601297607741118</v>
      </c>
      <c r="N53" s="38">
        <f>Dados!S52/Dados!O52</f>
        <v>-5.0026357272345962E-4</v>
      </c>
      <c r="O53" s="38">
        <f>Dados!T52/Dados!V52</f>
        <v>161.90867922759455</v>
      </c>
      <c r="P53" s="38">
        <f>Dados!V53/Dados!O53</f>
        <v>8.0887090703651455E-3</v>
      </c>
      <c r="Q53" s="37">
        <f>Dados!W52/Dados!P52</f>
        <v>0</v>
      </c>
      <c r="R53" s="38">
        <f>Dados!W52/Dados!U52</f>
        <v>0</v>
      </c>
      <c r="S53" s="37">
        <f>Dados!X52/Dados!Y52</f>
        <v>2.1904435714071528</v>
      </c>
      <c r="T53" s="38">
        <f>Dados!Z53/Dados!AA53</f>
        <v>1</v>
      </c>
      <c r="U53" s="38">
        <f>Dados!X53/Dados!AA53</f>
        <v>1.0220729261525325</v>
      </c>
      <c r="V53" s="38">
        <f>Dados!AB52/Dados!X52</f>
        <v>9.6546424293190783E-2</v>
      </c>
      <c r="W53" s="38">
        <f>Dados!AC52/Dados!AE52</f>
        <v>8.5213991096298152</v>
      </c>
      <c r="X53" s="38">
        <f>Dados!AE53/Dados!X53</f>
        <v>6.7348200640403449E-2</v>
      </c>
      <c r="Y53" s="37">
        <f>Dados!AF52/Dados!Y52</f>
        <v>0</v>
      </c>
      <c r="Z53" s="38">
        <f>Dados!AF52/Dados!AD52</f>
        <v>0</v>
      </c>
      <c r="AA53" s="37">
        <f>Dados!AG52/Dados!AH52</f>
        <v>0</v>
      </c>
      <c r="AB53" s="38" t="e">
        <f>Dados!AI53/Dados!AJ53</f>
        <v>#DIV/0!</v>
      </c>
      <c r="AC53" s="38" t="e">
        <f>Dados!AG53/Dados!AJ53</f>
        <v>#DIV/0!</v>
      </c>
      <c r="AD53" s="38" t="e">
        <f>Dados!AK52/Dados!AG52</f>
        <v>#DIV/0!</v>
      </c>
      <c r="AE53" s="38">
        <f>Dados!AL52/Dados!AN52</f>
        <v>5.3548655371907987</v>
      </c>
      <c r="AF53" s="38" t="e">
        <f>Dados!AN53/Dados!AG53</f>
        <v>#DIV/0!</v>
      </c>
      <c r="AG53" s="37">
        <f>Dados!AO52/Dados!AH52</f>
        <v>0</v>
      </c>
      <c r="AH53" s="38" t="e">
        <f>Dados!AO52/Dados!AM52</f>
        <v>#DIV/0!</v>
      </c>
      <c r="AI53" s="37">
        <f>Dados!AP52/Dados!AQ52</f>
        <v>9.5646432892105544</v>
      </c>
      <c r="AJ53" s="38" t="e">
        <f>Dados!AR53/Dados!AS53</f>
        <v>#DIV/0!</v>
      </c>
      <c r="AK53" s="38" t="e">
        <f>Dados!AP53/Dados!AS53</f>
        <v>#DIV/0!</v>
      </c>
      <c r="AL53" s="38">
        <f>Dados!AT52/Dados!AP52</f>
        <v>-1.4680900837708324</v>
      </c>
      <c r="AM53" s="38">
        <f>Dados!AU52/Dados!AW52</f>
        <v>3.4664798697316237</v>
      </c>
      <c r="AN53" s="38" t="e">
        <f>Dados!AW53/Dados!AP53</f>
        <v>#DIV/0!</v>
      </c>
      <c r="AO53" s="37">
        <f>Dados!AX52/Dados!AQ52</f>
        <v>0</v>
      </c>
      <c r="AP53" s="39">
        <f>Dados!AX52/Dados!AV52</f>
        <v>0</v>
      </c>
    </row>
    <row r="54" spans="1:42" x14ac:dyDescent="0.25">
      <c r="A54" s="12">
        <v>313</v>
      </c>
      <c r="B54" s="13" t="s">
        <v>61</v>
      </c>
      <c r="C54" s="37">
        <f>Dados!F54/Dados!G54</f>
        <v>24.79636420117097</v>
      </c>
      <c r="D54" s="38">
        <f>Dados!H54/Dados!I54</f>
        <v>1</v>
      </c>
      <c r="E54" s="38">
        <f>Dados!F54/Dados!I54</f>
        <v>1.0066581759396676</v>
      </c>
      <c r="F54" s="38">
        <f>Dados!J54/Dados!F54</f>
        <v>6.6141378461983197E-3</v>
      </c>
      <c r="G54" s="38">
        <f>Dados!K54/Dados!M54</f>
        <v>647.09994916052869</v>
      </c>
      <c r="H54" s="38">
        <f>Dados!M54/Dados!F54</f>
        <v>6.8496096333611094E-4</v>
      </c>
      <c r="I54" s="37">
        <f>Dados!N54/Dados!G54</f>
        <v>0</v>
      </c>
      <c r="J54" s="38">
        <f>Dados!N54/Dados!L54</f>
        <v>0</v>
      </c>
      <c r="K54" s="37">
        <f>Dados!O53/Dados!P53</f>
        <v>5.6961353443767626</v>
      </c>
      <c r="L54" s="38">
        <f>Dados!Q54/Dados!R54</f>
        <v>1</v>
      </c>
      <c r="M54" s="38">
        <f>Dados!O54/Dados!R54</f>
        <v>1.2356007795549753</v>
      </c>
      <c r="N54" s="38">
        <f>Dados!S53/Dados!O53</f>
        <v>5.6719246076258584E-2</v>
      </c>
      <c r="O54" s="38">
        <f>Dados!T53/Dados!V53</f>
        <v>7.0657190132848218</v>
      </c>
      <c r="P54" s="38">
        <f>Dados!V54/Dados!O54</f>
        <v>2.2078710103934414E-4</v>
      </c>
      <c r="Q54" s="37">
        <f>Dados!W53/Dados!P53</f>
        <v>0</v>
      </c>
      <c r="R54" s="38">
        <f>Dados!W53/Dados!U53</f>
        <v>0</v>
      </c>
      <c r="S54" s="37">
        <f>Dados!X53/Dados!Y53</f>
        <v>0.35886608749393228</v>
      </c>
      <c r="T54" s="38">
        <f>Dados!Z54/Dados!AA54</f>
        <v>1</v>
      </c>
      <c r="U54" s="38">
        <f>Dados!X54/Dados!AA54</f>
        <v>0.83705250895267524</v>
      </c>
      <c r="V54" s="38">
        <f>Dados!AB53/Dados!X53</f>
        <v>2.159623407267355E-2</v>
      </c>
      <c r="W54" s="38">
        <f>Dados!AC53/Dados!AE53</f>
        <v>1.1446299899075574</v>
      </c>
      <c r="X54" s="38">
        <f>Dados!AE54/Dados!X54</f>
        <v>2.187855598215948E-3</v>
      </c>
      <c r="Y54" s="37">
        <f>Dados!AF53/Dados!Y53</f>
        <v>0</v>
      </c>
      <c r="Z54" s="38">
        <f>Dados!AF53/Dados!AD53</f>
        <v>0</v>
      </c>
      <c r="AA54" s="37">
        <f>Dados!AG53/Dados!AH53</f>
        <v>0</v>
      </c>
      <c r="AB54" s="38">
        <f>Dados!AI54/Dados!AJ54</f>
        <v>1</v>
      </c>
      <c r="AC54" s="38">
        <f>Dados!AG54/Dados!AJ54</f>
        <v>1.4795941292101595</v>
      </c>
      <c r="AD54" s="38" t="e">
        <f>Dados!AK53/Dados!AG53</f>
        <v>#DIV/0!</v>
      </c>
      <c r="AE54" s="38" t="e">
        <f>Dados!AL53/Dados!AN53</f>
        <v>#DIV/0!</v>
      </c>
      <c r="AF54" s="38">
        <f>Dados!AN54/Dados!AG54</f>
        <v>0</v>
      </c>
      <c r="AG54" s="37">
        <f>Dados!AO53/Dados!AH53</f>
        <v>0</v>
      </c>
      <c r="AH54" s="38" t="e">
        <f>Dados!AO53/Dados!AM53</f>
        <v>#DIV/0!</v>
      </c>
      <c r="AI54" s="37">
        <f>Dados!AP53/Dados!AQ53</f>
        <v>0</v>
      </c>
      <c r="AJ54" s="38">
        <f>Dados!AR54/Dados!AS54</f>
        <v>1</v>
      </c>
      <c r="AK54" s="38">
        <f>Dados!AP54/Dados!AS54</f>
        <v>2.3854707560622588</v>
      </c>
      <c r="AL54" s="38" t="e">
        <f>Dados!AT53/Dados!AP53</f>
        <v>#DIV/0!</v>
      </c>
      <c r="AM54" s="38" t="e">
        <f>Dados!AU53/Dados!AW53</f>
        <v>#DIV/0!</v>
      </c>
      <c r="AN54" s="38">
        <f>Dados!AW54/Dados!AP54</f>
        <v>0</v>
      </c>
      <c r="AO54" s="37">
        <f>Dados!AX53/Dados!AQ53</f>
        <v>0</v>
      </c>
      <c r="AP54" s="39" t="e">
        <f>Dados!AX53/Dados!AV53</f>
        <v>#DIV/0!</v>
      </c>
    </row>
    <row r="55" spans="1:42" x14ac:dyDescent="0.25">
      <c r="A55" s="12">
        <v>314</v>
      </c>
      <c r="B55" s="13" t="s">
        <v>62</v>
      </c>
      <c r="C55" s="37">
        <f>Dados!F55/Dados!G55</f>
        <v>53.864928942460452</v>
      </c>
      <c r="D55" s="38">
        <f>Dados!H55/Dados!I55</f>
        <v>0.97393599133941389</v>
      </c>
      <c r="E55" s="38">
        <f>Dados!F55/Dados!I55</f>
        <v>1.1249766707157935</v>
      </c>
      <c r="F55" s="38">
        <f>Dados!J55/Dados!F55</f>
        <v>0.11109267771417343</v>
      </c>
      <c r="G55" s="38">
        <f>Dados!K55/Dados!M55</f>
        <v>11.921667566273706</v>
      </c>
      <c r="H55" s="38">
        <f>Dados!M55/Dados!F55</f>
        <v>3.5440407632957138E-2</v>
      </c>
      <c r="I55" s="37">
        <f>Dados!N55/Dados!G55</f>
        <v>0</v>
      </c>
      <c r="J55" s="38">
        <f>Dados!N55/Dados!L55</f>
        <v>0</v>
      </c>
      <c r="K55" s="37">
        <f>Dados!O54/Dados!P54</f>
        <v>29.616001671924174</v>
      </c>
      <c r="L55" s="38">
        <f>Dados!Q55/Dados!R55</f>
        <v>0.94351560458770223</v>
      </c>
      <c r="M55" s="38">
        <f>Dados!O55/Dados!R55</f>
        <v>1.2206511304759169</v>
      </c>
      <c r="N55" s="38">
        <f>Dados!S54/Dados!O54</f>
        <v>0.19067710497870624</v>
      </c>
      <c r="O55" s="38">
        <f>Dados!T54/Dados!V54</f>
        <v>1929.1444001901298</v>
      </c>
      <c r="P55" s="38">
        <f>Dados!V55/Dados!O55</f>
        <v>6.0390957657821966E-2</v>
      </c>
      <c r="Q55" s="37">
        <f>Dados!W54/Dados!P54</f>
        <v>0</v>
      </c>
      <c r="R55" s="38">
        <f>Dados!W54/Dados!U54</f>
        <v>0</v>
      </c>
      <c r="S55" s="37">
        <f>Dados!X54/Dados!Y54</f>
        <v>22.319409257225161</v>
      </c>
      <c r="T55" s="38">
        <f>Dados!Z55/Dados!AA55</f>
        <v>0.98451029991916794</v>
      </c>
      <c r="U55" s="38">
        <f>Dados!X55/Dados!AA55</f>
        <v>1.1960444232291345</v>
      </c>
      <c r="V55" s="38">
        <f>Dados!AB54/Dados!X54</f>
        <v>-0.19466818306441197</v>
      </c>
      <c r="W55" s="38">
        <f>Dados!AC54/Dados!AE54</f>
        <v>154.79480882803125</v>
      </c>
      <c r="X55" s="38">
        <f>Dados!AE55/Dados!X55</f>
        <v>7.2102553130293179E-2</v>
      </c>
      <c r="Y55" s="37">
        <f>Dados!AF54/Dados!Y54</f>
        <v>0</v>
      </c>
      <c r="Z55" s="38">
        <f>Dados!AF54/Dados!AD54</f>
        <v>0</v>
      </c>
      <c r="AA55" s="37">
        <f>Dados!AG54/Dados!AH54</f>
        <v>16.302702774783583</v>
      </c>
      <c r="AB55" s="38">
        <f>Dados!AI55/Dados!AJ55</f>
        <v>0.98273819446154487</v>
      </c>
      <c r="AC55" s="38">
        <f>Dados!AG55/Dados!AJ55</f>
        <v>1.3174087638819965</v>
      </c>
      <c r="AD55" s="38">
        <f>Dados!AK54/Dados!AG54</f>
        <v>0.3241389782116651</v>
      </c>
      <c r="AE55" s="38" t="e">
        <f>Dados!AL54/Dados!AN54</f>
        <v>#DIV/0!</v>
      </c>
      <c r="AF55" s="38">
        <f>Dados!AN55/Dados!AG55</f>
        <v>2.3783217526803395E-2</v>
      </c>
      <c r="AG55" s="37">
        <f>Dados!AO54/Dados!AH54</f>
        <v>0</v>
      </c>
      <c r="AH55" s="38">
        <f>Dados!AO54/Dados!AM54</f>
        <v>0</v>
      </c>
      <c r="AI55" s="37">
        <f>Dados!AP54/Dados!AQ54</f>
        <v>7.3990026307644685</v>
      </c>
      <c r="AJ55" s="38">
        <f>Dados!AR55/Dados!AS55</f>
        <v>0.99794813160880858</v>
      </c>
      <c r="AK55" s="38">
        <f>Dados!AP55/Dados!AS55</f>
        <v>1.2057542759106166</v>
      </c>
      <c r="AL55" s="38">
        <f>Dados!AT54/Dados!AP54</f>
        <v>0.58079553167496445</v>
      </c>
      <c r="AM55" s="38" t="e">
        <f>Dados!AU54/Dados!AW54</f>
        <v>#DIV/0!</v>
      </c>
      <c r="AN55" s="38">
        <f>Dados!AW55/Dados!AP55</f>
        <v>2.6988385527970955E-2</v>
      </c>
      <c r="AO55" s="37">
        <f>Dados!AX54/Dados!AQ54</f>
        <v>0</v>
      </c>
      <c r="AP55" s="39">
        <f>Dados!AX54/Dados!AV54</f>
        <v>0</v>
      </c>
    </row>
    <row r="56" spans="1:42" x14ac:dyDescent="0.25">
      <c r="A56" s="12">
        <v>316</v>
      </c>
      <c r="B56" s="13" t="s">
        <v>63</v>
      </c>
      <c r="C56" s="37">
        <f>Dados!F56/Dados!G56</f>
        <v>39.982138635725221</v>
      </c>
      <c r="D56" s="38">
        <f>Dados!H56/Dados!I56</f>
        <v>0.96385549646654778</v>
      </c>
      <c r="E56" s="38">
        <f>Dados!F56/Dados!I56</f>
        <v>1.0610172773588511</v>
      </c>
      <c r="F56" s="38">
        <f>Dados!J56/Dados!F56</f>
        <v>5.7508278763130978E-2</v>
      </c>
      <c r="G56" s="38">
        <f>Dados!K56/Dados!M56</f>
        <v>3.3312430179778065</v>
      </c>
      <c r="H56" s="38">
        <f>Dados!M56/Dados!F56</f>
        <v>4.8510994055889302E-2</v>
      </c>
      <c r="I56" s="37">
        <f>Dados!N56/Dados!G56</f>
        <v>0</v>
      </c>
      <c r="J56" s="38">
        <f>Dados!N56/Dados!L56</f>
        <v>0</v>
      </c>
      <c r="K56" s="37">
        <f>Dados!O55/Dados!P55</f>
        <v>51.908672528040363</v>
      </c>
      <c r="L56" s="38">
        <f>Dados!Q56/Dados!R56</f>
        <v>0.98727235783607004</v>
      </c>
      <c r="M56" s="38">
        <f>Dados!O56/Dados!R56</f>
        <v>1.1299423338248391</v>
      </c>
      <c r="N56" s="38">
        <f>Dados!S55/Dados!O55</f>
        <v>0.18076510557925585</v>
      </c>
      <c r="O56" s="38">
        <f>Dados!T55/Dados!V55</f>
        <v>7.5581497464269427</v>
      </c>
      <c r="P56" s="38">
        <f>Dados!V56/Dados!O56</f>
        <v>3.8119886024188421E-2</v>
      </c>
      <c r="Q56" s="37">
        <f>Dados!W55/Dados!P55</f>
        <v>0</v>
      </c>
      <c r="R56" s="38">
        <f>Dados!W55/Dados!U55</f>
        <v>0</v>
      </c>
      <c r="S56" s="37">
        <f>Dados!X55/Dados!Y55</f>
        <v>41.299851889806114</v>
      </c>
      <c r="T56" s="38">
        <f>Dados!Z56/Dados!AA56</f>
        <v>0.84767481288932778</v>
      </c>
      <c r="U56" s="38">
        <f>Dados!X56/Dados!AA56</f>
        <v>1.1261488421289776</v>
      </c>
      <c r="V56" s="38">
        <f>Dados!AB55/Dados!X55</f>
        <v>0.16391065366940549</v>
      </c>
      <c r="W56" s="38">
        <f>Dados!AC55/Dados!AE55</f>
        <v>6.6110876718898526</v>
      </c>
      <c r="X56" s="38">
        <f>Dados!AE56/Dados!X56</f>
        <v>2.2728121496900275E-2</v>
      </c>
      <c r="Y56" s="37">
        <f>Dados!AF55/Dados!Y55</f>
        <v>0</v>
      </c>
      <c r="Z56" s="38">
        <f>Dados!AF55/Dados!AD55</f>
        <v>0</v>
      </c>
      <c r="AA56" s="37">
        <f>Dados!AG55/Dados!AH55</f>
        <v>42.147437903937195</v>
      </c>
      <c r="AB56" s="38">
        <f>Dados!AI56/Dados!AJ56</f>
        <v>0.97596460027142207</v>
      </c>
      <c r="AC56" s="38">
        <f>Dados!AG56/Dados!AJ56</f>
        <v>1.0514175470589355</v>
      </c>
      <c r="AD56" s="38">
        <f>Dados!AK55/Dados!AG55</f>
        <v>0.24093415239374219</v>
      </c>
      <c r="AE56" s="38">
        <f>Dados!AL55/Dados!AN55</f>
        <v>14.981505353444403</v>
      </c>
      <c r="AF56" s="38">
        <f>Dados!AN56/Dados!AG56</f>
        <v>6.5711770439630694E-3</v>
      </c>
      <c r="AG56" s="37">
        <f>Dados!AO55/Dados!AH55</f>
        <v>0</v>
      </c>
      <c r="AH56" s="38">
        <f>Dados!AO55/Dados!AM55</f>
        <v>0</v>
      </c>
      <c r="AI56" s="37">
        <f>Dados!AP55/Dados!AQ55</f>
        <v>38.736764089075301</v>
      </c>
      <c r="AJ56" s="38">
        <f>Dados!AR56/Dados!AS56</f>
        <v>0.98769654175984489</v>
      </c>
      <c r="AK56" s="38">
        <f>Dados!AP56/Dados!AS56</f>
        <v>1.1576857811356134</v>
      </c>
      <c r="AL56" s="38">
        <f>Dados!AT55/Dados!AP55</f>
        <v>0.17064362119323667</v>
      </c>
      <c r="AM56" s="38">
        <f>Dados!AU55/Dados!AW55</f>
        <v>10.50484598735189</v>
      </c>
      <c r="AN56" s="38">
        <f>Dados!AW56/Dados!AP56</f>
        <v>2.815072323368428E-3</v>
      </c>
      <c r="AO56" s="37">
        <f>Dados!AX55/Dados!AQ55</f>
        <v>0</v>
      </c>
      <c r="AP56" s="39">
        <f>Dados!AX55/Dados!AV55</f>
        <v>0</v>
      </c>
    </row>
    <row r="57" spans="1:42" ht="25.5" x14ac:dyDescent="0.25">
      <c r="A57" s="12">
        <v>318</v>
      </c>
      <c r="B57" s="13" t="s">
        <v>64</v>
      </c>
      <c r="C57" s="37">
        <f>Dados!F57/Dados!G57</f>
        <v>25.774988370543429</v>
      </c>
      <c r="D57" s="38">
        <f>Dados!H57/Dados!I57</f>
        <v>0.95029247074097645</v>
      </c>
      <c r="E57" s="38">
        <f>Dados!F57/Dados!I57</f>
        <v>1.0453333292471461</v>
      </c>
      <c r="F57" s="38">
        <f>Dados!J57/Dados!F57</f>
        <v>4.3367343199317405E-2</v>
      </c>
      <c r="G57" s="38">
        <f>Dados!K57/Dados!M57</f>
        <v>9.0492457292743236</v>
      </c>
      <c r="H57" s="38">
        <f>Dados!M57/Dados!F57</f>
        <v>2.1334452246331508E-2</v>
      </c>
      <c r="I57" s="37">
        <f>Dados!N57/Dados!G57</f>
        <v>7.2829115980837598</v>
      </c>
      <c r="J57" s="38">
        <f>Dados!N57/Dados!L57</f>
        <v>0.28267149842461115</v>
      </c>
      <c r="K57" s="37">
        <f>Dados!O56/Dados!P56</f>
        <v>35.979671073754638</v>
      </c>
      <c r="L57" s="38">
        <f>Dados!Q57/Dados!R57</f>
        <v>0.95862594328664419</v>
      </c>
      <c r="M57" s="38">
        <f>Dados!O57/Dados!R57</f>
        <v>1.1663978279462972</v>
      </c>
      <c r="N57" s="38">
        <f>Dados!S56/Dados!O56</f>
        <v>0.11499908440901241</v>
      </c>
      <c r="O57" s="38">
        <f>Dados!T56/Dados!V56</f>
        <v>5.2580211129167633</v>
      </c>
      <c r="P57" s="38">
        <f>Dados!V57/Dados!O57</f>
        <v>0.21969471025078405</v>
      </c>
      <c r="Q57" s="37">
        <f>Dados!W56/Dados!P56</f>
        <v>0</v>
      </c>
      <c r="R57" s="38">
        <f>Dados!W56/Dados!U56</f>
        <v>0</v>
      </c>
      <c r="S57" s="37">
        <f>Dados!X56/Dados!Y56</f>
        <v>30.651107505364152</v>
      </c>
      <c r="T57" s="38">
        <f>Dados!Z57/Dados!AA57</f>
        <v>0.95714079855380851</v>
      </c>
      <c r="U57" s="38">
        <f>Dados!X57/Dados!AA57</f>
        <v>0.97255052220600513</v>
      </c>
      <c r="V57" s="38">
        <f>Dados!AB56/Dados!X56</f>
        <v>0.1120179122064308</v>
      </c>
      <c r="W57" s="38">
        <f>Dados!AC56/Dados!AE56</f>
        <v>7.3951362059450965</v>
      </c>
      <c r="X57" s="38">
        <f>Dados!AE57/Dados!X57</f>
        <v>-1.8971622616981362E-2</v>
      </c>
      <c r="Y57" s="37">
        <f>Dados!AF56/Dados!Y56</f>
        <v>0</v>
      </c>
      <c r="Z57" s="38">
        <f>Dados!AF56/Dados!AD56</f>
        <v>0</v>
      </c>
      <c r="AA57" s="37">
        <f>Dados!AG56/Dados!AH56</f>
        <v>18.705556663828578</v>
      </c>
      <c r="AB57" s="38">
        <f>Dados!AI57/Dados!AJ57</f>
        <v>0.96583747470265791</v>
      </c>
      <c r="AC57" s="38">
        <f>Dados!AG57/Dados!AJ57</f>
        <v>0.91429553409291031</v>
      </c>
      <c r="AD57" s="38">
        <f>Dados!AK56/Dados!AG56</f>
        <v>4.8903071099357723E-2</v>
      </c>
      <c r="AE57" s="38">
        <f>Dados!AL56/Dados!AN56</f>
        <v>22.955150792010741</v>
      </c>
      <c r="AF57" s="38">
        <f>Dados!AN57/Dados!AG57</f>
        <v>-3.3866957974380094E-2</v>
      </c>
      <c r="AG57" s="37">
        <f>Dados!AO56/Dados!AH56</f>
        <v>0</v>
      </c>
      <c r="AH57" s="38">
        <f>Dados!AO56/Dados!AM56</f>
        <v>0</v>
      </c>
      <c r="AI57" s="37">
        <f>Dados!AP56/Dados!AQ56</f>
        <v>19.294863643581962</v>
      </c>
      <c r="AJ57" s="38">
        <f>Dados!AR57/Dados!AS57</f>
        <v>0.96307412426609984</v>
      </c>
      <c r="AK57" s="38">
        <f>Dados!AP57/Dados!AS57</f>
        <v>1.0382360375003543</v>
      </c>
      <c r="AL57" s="38">
        <f>Dados!AT56/Dados!AP56</f>
        <v>0.13620775490646003</v>
      </c>
      <c r="AM57" s="38">
        <f>Dados!AU56/Dados!AW56</f>
        <v>65.289213436425811</v>
      </c>
      <c r="AN57" s="38">
        <f>Dados!AW57/Dados!AP57</f>
        <v>-2.0070115260487648E-2</v>
      </c>
      <c r="AO57" s="37">
        <f>Dados!AX56/Dados!AQ56</f>
        <v>0</v>
      </c>
      <c r="AP57" s="39">
        <f>Dados!AX56/Dados!AV56</f>
        <v>0</v>
      </c>
    </row>
    <row r="58" spans="1:42" ht="25.5" x14ac:dyDescent="0.25">
      <c r="A58" s="12">
        <v>319</v>
      </c>
      <c r="B58" s="13" t="s">
        <v>65</v>
      </c>
      <c r="C58" s="37">
        <f>Dados!F58/Dados!G58</f>
        <v>14.646669766228108</v>
      </c>
      <c r="D58" s="38">
        <f>Dados!H58/Dados!I58</f>
        <v>0.98508178331478002</v>
      </c>
      <c r="E58" s="38">
        <f>Dados!F58/Dados!I58</f>
        <v>0.9836708663792747</v>
      </c>
      <c r="F58" s="38">
        <f>Dados!J58/Dados!F58</f>
        <v>-1.6600200513033507E-2</v>
      </c>
      <c r="G58" s="38">
        <f>Dados!K58/Dados!M58</f>
        <v>1.1296236919557441</v>
      </c>
      <c r="H58" s="38">
        <f>Dados!M58/Dados!F58</f>
        <v>6.1760824633403558E-2</v>
      </c>
      <c r="I58" s="37">
        <f>Dados!N58/Dados!G58</f>
        <v>2.4089886721809183E-2</v>
      </c>
      <c r="J58" s="38">
        <f>Dados!N58/Dados!L58</f>
        <v>1.6447347490113409E-3</v>
      </c>
      <c r="K58" s="37">
        <f>Dados!O57/Dados!P57</f>
        <v>21.684063774164756</v>
      </c>
      <c r="L58" s="38">
        <f>Dados!Q58/Dados!R58</f>
        <v>0.96184632943274051</v>
      </c>
      <c r="M58" s="38">
        <f>Dados!O58/Dados!R58</f>
        <v>0.91717452747690154</v>
      </c>
      <c r="N58" s="38">
        <f>Dados!S57/Dados!O57</f>
        <v>0.14265958317093036</v>
      </c>
      <c r="O58" s="38">
        <f>Dados!T57/Dados!V57</f>
        <v>0.79193398994419928</v>
      </c>
      <c r="P58" s="38">
        <f>Dados!V58/Dados!O58</f>
        <v>6.108507268015851E-2</v>
      </c>
      <c r="Q58" s="37">
        <f>Dados!W57/Dados!P57</f>
        <v>0</v>
      </c>
      <c r="R58" s="38">
        <f>Dados!W57/Dados!U57</f>
        <v>0</v>
      </c>
      <c r="S58" s="37">
        <f>Dados!X57/Dados!Y57</f>
        <v>18.713001051357285</v>
      </c>
      <c r="T58" s="38">
        <f>Dados!Z58/Dados!AA58</f>
        <v>0.93275166943042931</v>
      </c>
      <c r="U58" s="38">
        <f>Dados!X58/Dados!AA58</f>
        <v>0.98167866216926403</v>
      </c>
      <c r="V58" s="38">
        <f>Dados!AB57/Dados!X57</f>
        <v>-2.822421783470137E-2</v>
      </c>
      <c r="W58" s="38">
        <f>Dados!AC57/Dados!AE57</f>
        <v>-0.99580190669740076</v>
      </c>
      <c r="X58" s="38">
        <f>Dados!AE58/Dados!X58</f>
        <v>4.012557759227852E-2</v>
      </c>
      <c r="Y58" s="37">
        <f>Dados!AF57/Dados!Y57</f>
        <v>-8.2385164388725923E-3</v>
      </c>
      <c r="Z58" s="38">
        <f>Dados!AF57/Dados!AD57</f>
        <v>-4.4032005229298441E-4</v>
      </c>
      <c r="AA58" s="37">
        <f>Dados!AG57/Dados!AH57</f>
        <v>15.416567125994547</v>
      </c>
      <c r="AB58" s="38">
        <f>Dados!AI58/Dados!AJ58</f>
        <v>0.99264326439135653</v>
      </c>
      <c r="AC58" s="38">
        <f>Dados!AG58/Dados!AJ58</f>
        <v>1.1051811584110731</v>
      </c>
      <c r="AD58" s="38">
        <f>Dados!AK57/Dados!AG57</f>
        <v>-9.3738252798225383E-2</v>
      </c>
      <c r="AE58" s="38">
        <f>Dados!AL57/Dados!AN57</f>
        <v>-0.19590318816700256</v>
      </c>
      <c r="AF58" s="38">
        <f>Dados!AN58/Dados!AG58</f>
        <v>3.7106998427371432E-2</v>
      </c>
      <c r="AG58" s="37">
        <f>Dados!AO57/Dados!AH57</f>
        <v>-8.2885348481871648E-3</v>
      </c>
      <c r="AH58" s="38">
        <f>Dados!AO57/Dados!AM57</f>
        <v>-5.3921522758870212E-4</v>
      </c>
      <c r="AI58" s="37">
        <f>Dados!AP57/Dados!AQ57</f>
        <v>16.867641310567315</v>
      </c>
      <c r="AJ58" s="38">
        <f>Dados!AR58/Dados!AS58</f>
        <v>0.99975369788850543</v>
      </c>
      <c r="AK58" s="38">
        <f>Dados!AP58/Dados!AS58</f>
        <v>1.0484375395889265</v>
      </c>
      <c r="AL58" s="38">
        <f>Dados!AT57/Dados!AP57</f>
        <v>3.6827885104442161E-2</v>
      </c>
      <c r="AM58" s="38">
        <f>Dados!AU57/Dados!AW57</f>
        <v>-3.2325831008248769</v>
      </c>
      <c r="AN58" s="38">
        <f>Dados!AW58/Dados!AP58</f>
        <v>9.712108159841025E-2</v>
      </c>
      <c r="AO58" s="37">
        <f>Dados!AX57/Dados!AQ57</f>
        <v>-8.3310714360555552E-3</v>
      </c>
      <c r="AP58" s="39">
        <f>Dados!AX57/Dados!AV57</f>
        <v>-4.9390850105617717E-4</v>
      </c>
    </row>
    <row r="59" spans="1:42" x14ac:dyDescent="0.25">
      <c r="A59" s="12">
        <v>325</v>
      </c>
      <c r="B59" s="13" t="s">
        <v>66</v>
      </c>
      <c r="C59" s="37">
        <f>Dados!F59/Dados!G59</f>
        <v>23.976920464295084</v>
      </c>
      <c r="D59" s="38">
        <f>Dados!H59/Dados!I59</f>
        <v>1</v>
      </c>
      <c r="E59" s="38">
        <f>Dados!F59/Dados!I59</f>
        <v>0.90331483167700832</v>
      </c>
      <c r="F59" s="38">
        <f>Dados!J59/Dados!F59</f>
        <v>-0.10703374386479977</v>
      </c>
      <c r="G59" s="38">
        <f>Dados!K59/Dados!M59</f>
        <v>1.0722538705122071</v>
      </c>
      <c r="H59" s="38">
        <f>Dados!M59/Dados!F59</f>
        <v>8.9813325568430719E-2</v>
      </c>
      <c r="I59" s="37">
        <f>Dados!N59/Dados!G59</f>
        <v>0</v>
      </c>
      <c r="J59" s="38">
        <f>Dados!N59/Dados!L59</f>
        <v>0</v>
      </c>
      <c r="K59" s="37">
        <f>Dados!O58/Dados!P58</f>
        <v>11.914865434387867</v>
      </c>
      <c r="L59" s="38">
        <f>Dados!Q59/Dados!R59</f>
        <v>0.99994456036331858</v>
      </c>
      <c r="M59" s="38">
        <f>Dados!O59/Dados!R59</f>
        <v>1.0335595931779447</v>
      </c>
      <c r="N59" s="38">
        <f>Dados!S58/Dados!O58</f>
        <v>-9.0305029241214238E-2</v>
      </c>
      <c r="O59" s="38">
        <f>Dados!T58/Dados!V58</f>
        <v>1.5727227361608036</v>
      </c>
      <c r="P59" s="38">
        <f>Dados!V59/Dados!O59</f>
        <v>8.1059967691538934E-2</v>
      </c>
      <c r="Q59" s="37">
        <f>Dados!W58/Dados!P58</f>
        <v>2.3908595516551417E-2</v>
      </c>
      <c r="R59" s="38">
        <f>Dados!W58/Dados!U58</f>
        <v>2.0066190128801686E-3</v>
      </c>
      <c r="S59" s="37">
        <f>Dados!X58/Dados!Y58</f>
        <v>11.523887903059205</v>
      </c>
      <c r="T59" s="38">
        <f>Dados!Z59/Dados!AA59</f>
        <v>0.99819029142551385</v>
      </c>
      <c r="U59" s="38">
        <f>Dados!X59/Dados!AA59</f>
        <v>0.95060797258281893</v>
      </c>
      <c r="V59" s="38">
        <f>Dados!AB58/Dados!X58</f>
        <v>-1.8663273978320363E-2</v>
      </c>
      <c r="W59" s="38">
        <f>Dados!AC58/Dados!AE58</f>
        <v>4.0101091046289872</v>
      </c>
      <c r="X59" s="38">
        <f>Dados!AE59/Dados!X59</f>
        <v>9.3922322106369582E-2</v>
      </c>
      <c r="Y59" s="37">
        <f>Dados!AF58/Dados!Y58</f>
        <v>2.3730012585379281E-2</v>
      </c>
      <c r="Z59" s="38">
        <f>Dados!AF58/Dados!AD58</f>
        <v>2.162672869226754E-3</v>
      </c>
      <c r="AA59" s="37">
        <f>Dados!AG58/Dados!AH58</f>
        <v>9.3642169650701117</v>
      </c>
      <c r="AB59" s="38">
        <f>Dados!AI59/Dados!AJ59</f>
        <v>1</v>
      </c>
      <c r="AC59" s="38">
        <f>Dados!AG59/Dados!AJ59</f>
        <v>1.0705670605167801</v>
      </c>
      <c r="AD59" s="38">
        <f>Dados!AK58/Dados!AG58</f>
        <v>9.5170965963890283E-2</v>
      </c>
      <c r="AE59" s="38">
        <f>Dados!AL58/Dados!AN58</f>
        <v>4.1464493118134733</v>
      </c>
      <c r="AF59" s="38">
        <f>Dados!AN59/Dados!AG59</f>
        <v>7.6250580110542115E-2</v>
      </c>
      <c r="AG59" s="37">
        <f>Dados!AO58/Dados!AH58</f>
        <v>0</v>
      </c>
      <c r="AH59" s="38">
        <f>Dados!AO58/Dados!AM58</f>
        <v>0</v>
      </c>
      <c r="AI59" s="37">
        <f>Dados!AP58/Dados!AQ58</f>
        <v>7.0436427566613986</v>
      </c>
      <c r="AJ59" s="38">
        <f>Dados!AR59/Dados!AS59</f>
        <v>0.9994660141269649</v>
      </c>
      <c r="AK59" s="38">
        <f>Dados!AP59/Dados!AS59</f>
        <v>1.0329564490946477</v>
      </c>
      <c r="AL59" s="38">
        <f>Dados!AT58/Dados!AP58</f>
        <v>4.6199737952837716E-2</v>
      </c>
      <c r="AM59" s="38">
        <f>Dados!AU58/Dados!AW58</f>
        <v>0.87937953394722468</v>
      </c>
      <c r="AN59" s="38">
        <f>Dados!AW59/Dados!AP59</f>
        <v>7.9572883900543359E-2</v>
      </c>
      <c r="AO59" s="37">
        <f>Dados!AX58/Dados!AQ58</f>
        <v>8.4116506808134296E-3</v>
      </c>
      <c r="AP59" s="39">
        <f>Dados!AX58/Dados!AV58</f>
        <v>1.1942188114038381E-3</v>
      </c>
    </row>
    <row r="60" spans="1:42" x14ac:dyDescent="0.25">
      <c r="A60" s="12">
        <v>326</v>
      </c>
      <c r="B60" s="13" t="s">
        <v>67</v>
      </c>
      <c r="C60" s="37">
        <f>Dados!F60/Dados!G60</f>
        <v>335.59919673300362</v>
      </c>
      <c r="D60" s="38">
        <f>Dados!H60/Dados!I60</f>
        <v>0.99953352176984878</v>
      </c>
      <c r="E60" s="38">
        <f>Dados!F60/Dados!I60</f>
        <v>1.0197439998354632</v>
      </c>
      <c r="F60" s="38">
        <f>Dados!J60/Dados!F60</f>
        <v>1.9361721999490902E-2</v>
      </c>
      <c r="G60" s="38">
        <f>Dados!K60/Dados!M60</f>
        <v>32.618674045213758</v>
      </c>
      <c r="H60" s="38">
        <f>Dados!M60/Dados!F60</f>
        <v>1.6890036035098323E-3</v>
      </c>
      <c r="I60" s="37">
        <f>Dados!N60/Dados!G60</f>
        <v>0</v>
      </c>
      <c r="J60" s="38">
        <f>Dados!N60/Dados!L60</f>
        <v>0</v>
      </c>
      <c r="K60" s="37">
        <f>Dados!O59/Dados!P59</f>
        <v>23.654521451881664</v>
      </c>
      <c r="L60" s="38">
        <f>Dados!Q60/Dados!R60</f>
        <v>0.99964507446075812</v>
      </c>
      <c r="M60" s="38">
        <f>Dados!O60/Dados!R60</f>
        <v>0.93524250346411653</v>
      </c>
      <c r="N60" s="38">
        <f>Dados!S59/Dados!O59</f>
        <v>3.2469916006252722E-2</v>
      </c>
      <c r="O60" s="38">
        <f>Dados!T59/Dados!V59</f>
        <v>2.1201317955275765</v>
      </c>
      <c r="P60" s="38">
        <f>Dados!V60/Dados!O60</f>
        <v>3.5964668005799639E-3</v>
      </c>
      <c r="Q60" s="37">
        <f>Dados!W59/Dados!P59</f>
        <v>0</v>
      </c>
      <c r="R60" s="38">
        <f>Dados!W59/Dados!U59</f>
        <v>0</v>
      </c>
      <c r="S60" s="37">
        <f>Dados!X59/Dados!Y59</f>
        <v>20.185078449485708</v>
      </c>
      <c r="T60" s="38">
        <f>Dados!Z60/Dados!AA60</f>
        <v>0.99420370382780765</v>
      </c>
      <c r="U60" s="38">
        <f>Dados!X60/Dados!AA60</f>
        <v>1.040065508009766</v>
      </c>
      <c r="V60" s="38">
        <f>Dados!AB59/Dados!X59</f>
        <v>-5.1958355959273193E-2</v>
      </c>
      <c r="W60" s="38">
        <f>Dados!AC59/Dados!AE59</f>
        <v>1.7259366835824106</v>
      </c>
      <c r="X60" s="38">
        <f>Dados!AE60/Dados!X60</f>
        <v>1.5444422174105421E-3</v>
      </c>
      <c r="Y60" s="37">
        <f>Dados!AF59/Dados!Y59</f>
        <v>0</v>
      </c>
      <c r="Z60" s="38">
        <f>Dados!AF59/Dados!AD59</f>
        <v>0</v>
      </c>
      <c r="AA60" s="37">
        <f>Dados!AG59/Dados!AH59</f>
        <v>20.22631441589321</v>
      </c>
      <c r="AB60" s="38">
        <f>Dados!AI60/Dados!AJ60</f>
        <v>0.96748039070228731</v>
      </c>
      <c r="AC60" s="38">
        <f>Dados!AG60/Dados!AJ60</f>
        <v>1.0044177423604954</v>
      </c>
      <c r="AD60" s="38">
        <f>Dados!AK59/Dados!AG59</f>
        <v>6.5915591016518088E-2</v>
      </c>
      <c r="AE60" s="38">
        <f>Dados!AL59/Dados!AN59</f>
        <v>2.5740799265203176</v>
      </c>
      <c r="AF60" s="38">
        <f>Dados!AN60/Dados!AG60</f>
        <v>1.6861479076945437E-3</v>
      </c>
      <c r="AG60" s="37">
        <f>Dados!AO59/Dados!AH59</f>
        <v>0</v>
      </c>
      <c r="AH60" s="38">
        <f>Dados!AO59/Dados!AM59</f>
        <v>0</v>
      </c>
      <c r="AI60" s="37">
        <f>Dados!AP59/Dados!AQ59</f>
        <v>19.248419715925969</v>
      </c>
      <c r="AJ60" s="38">
        <f>Dados!AR60/Dados!AS60</f>
        <v>0.99961102259876633</v>
      </c>
      <c r="AK60" s="38">
        <f>Dados!AP60/Dados!AS60</f>
        <v>1.0196041436484411</v>
      </c>
      <c r="AL60" s="38">
        <f>Dados!AT59/Dados!AP59</f>
        <v>3.1904974429011898E-2</v>
      </c>
      <c r="AM60" s="38">
        <f>Dados!AU59/Dados!AW59</f>
        <v>1.7198062277147079</v>
      </c>
      <c r="AN60" s="38">
        <f>Dados!AW60/Dados!AP60</f>
        <v>3.4635722452595378E-3</v>
      </c>
      <c r="AO60" s="37">
        <f>Dados!AX59/Dados!AQ59</f>
        <v>0</v>
      </c>
      <c r="AP60" s="39">
        <f>Dados!AX59/Dados!AV59</f>
        <v>0</v>
      </c>
    </row>
    <row r="61" spans="1:42" x14ac:dyDescent="0.25">
      <c r="A61" s="13">
        <v>44</v>
      </c>
      <c r="B61" s="13" t="s">
        <v>68</v>
      </c>
      <c r="C61" s="37">
        <f>Dados!F61/Dados!G61</f>
        <v>227.204673257845</v>
      </c>
      <c r="D61" s="38">
        <f>Dados!H61/Dados!I61</f>
        <v>0.99297871856607967</v>
      </c>
      <c r="E61" s="38">
        <f>Dados!F61/Dados!I61</f>
        <v>1.0186293868844454</v>
      </c>
      <c r="F61" s="38">
        <f>Dados!J61/Dados!F61</f>
        <v>1.828867998931873E-2</v>
      </c>
      <c r="G61" s="38">
        <f>Dados!K61/Dados!M61</f>
        <v>430.47988103664028</v>
      </c>
      <c r="H61" s="38">
        <f>Dados!M61/Dados!F61</f>
        <v>1.1469839750425825E-4</v>
      </c>
      <c r="I61" s="37">
        <f>Dados!N61/Dados!G61</f>
        <v>0</v>
      </c>
      <c r="J61" s="38">
        <f>Dados!N61/Dados!L61</f>
        <v>0</v>
      </c>
      <c r="K61" s="37">
        <f>Dados!O60/Dados!P60</f>
        <v>243.09285634713279</v>
      </c>
      <c r="L61" s="38">
        <f>Dados!Q61/Dados!R61</f>
        <v>0.99578719895884171</v>
      </c>
      <c r="M61" s="38">
        <f>Dados!O61/Dados!R61</f>
        <v>0.96643093382833256</v>
      </c>
      <c r="N61" s="38">
        <f>Dados!S60/Dados!O60</f>
        <v>-6.9241395997319558E-2</v>
      </c>
      <c r="O61" s="38">
        <f>Dados!T60/Dados!V60</f>
        <v>14.863933418161078</v>
      </c>
      <c r="P61" s="38">
        <f>Dados!V61/Dados!O61</f>
        <v>1.4356195180999129E-2</v>
      </c>
      <c r="Q61" s="37">
        <f>Dados!W60/Dados!P60</f>
        <v>0</v>
      </c>
      <c r="R61" s="38">
        <f>Dados!W60/Dados!U60</f>
        <v>0</v>
      </c>
      <c r="S61" s="37">
        <f>Dados!X60/Dados!Y60</f>
        <v>232.1507162151288</v>
      </c>
      <c r="T61" s="38">
        <f>Dados!Z61/Dados!AA61</f>
        <v>0.99839912669300745</v>
      </c>
      <c r="U61" s="38">
        <f>Dados!X61/Dados!AA61</f>
        <v>0.99267927950500223</v>
      </c>
      <c r="V61" s="38">
        <f>Dados!AB60/Dados!X60</f>
        <v>3.852210048426085E-2</v>
      </c>
      <c r="W61" s="38">
        <f>Dados!AC60/Dados!AE60</f>
        <v>72.673281343179482</v>
      </c>
      <c r="X61" s="38">
        <f>Dados!AE61/Dados!X61</f>
        <v>-2.5303343465517603E-3</v>
      </c>
      <c r="Y61" s="37">
        <f>Dados!AF60/Dados!Y60</f>
        <v>0</v>
      </c>
      <c r="Z61" s="38">
        <f>Dados!AF60/Dados!AD60</f>
        <v>0</v>
      </c>
      <c r="AA61" s="37">
        <f>Dados!AG60/Dados!AH60</f>
        <v>179.1002717573582</v>
      </c>
      <c r="AB61" s="38">
        <f>Dados!AI61/Dados!AJ61</f>
        <v>0.95438152083181205</v>
      </c>
      <c r="AC61" s="38">
        <f>Dados!AG61/Dados!AJ61</f>
        <v>1.0181047988069665</v>
      </c>
      <c r="AD61" s="38">
        <f>Dados!AK60/Dados!AG60</f>
        <v>4.3983117523525546E-3</v>
      </c>
      <c r="AE61" s="38">
        <f>Dados!AL60/Dados!AN60</f>
        <v>61.163681966646742</v>
      </c>
      <c r="AF61" s="38">
        <f>Dados!AN61/Dados!AG61</f>
        <v>1.8287154309771171E-3</v>
      </c>
      <c r="AG61" s="37">
        <f>Dados!AO60/Dados!AH60</f>
        <v>0</v>
      </c>
      <c r="AH61" s="38">
        <f>Dados!AO60/Dados!AM60</f>
        <v>0</v>
      </c>
      <c r="AI61" s="37">
        <f>Dados!AP60/Dados!AQ60</f>
        <v>159.73990741953403</v>
      </c>
      <c r="AJ61" s="38">
        <f>Dados!AR61/Dados!AS61</f>
        <v>0.97961124002584421</v>
      </c>
      <c r="AK61" s="38">
        <f>Dados!AP61/Dados!AS61</f>
        <v>1.0720341406518252</v>
      </c>
      <c r="AL61" s="38">
        <f>Dados!AT60/Dados!AP60</f>
        <v>1.922721064892079E-2</v>
      </c>
      <c r="AM61" s="38">
        <f>Dados!AU60/Dados!AW60</f>
        <v>30.52895767519075</v>
      </c>
      <c r="AN61" s="38">
        <f>Dados!AW61/Dados!AP61</f>
        <v>0.10373176025379886</v>
      </c>
      <c r="AO61" s="37">
        <f>Dados!AX60/Dados!AQ60</f>
        <v>0</v>
      </c>
      <c r="AP61" s="39">
        <f>Dados!AX60/Dados!AV60</f>
        <v>0</v>
      </c>
    </row>
    <row r="62" spans="1:42" x14ac:dyDescent="0.25">
      <c r="A62" s="13">
        <v>45</v>
      </c>
      <c r="B62" s="13" t="s">
        <v>69</v>
      </c>
      <c r="C62" s="37">
        <f>Dados!F62/Dados!G62</f>
        <v>30.976760787033566</v>
      </c>
      <c r="D62" s="38">
        <f>Dados!H62/Dados!I62</f>
        <v>0.99990277720930887</v>
      </c>
      <c r="E62" s="38">
        <f>Dados!F62/Dados!I62</f>
        <v>1.1116047897549657</v>
      </c>
      <c r="F62" s="38">
        <f>Dados!J62/Dados!F62</f>
        <v>0.10039970210956622</v>
      </c>
      <c r="G62" s="38">
        <f>Dados!K62/Dados!M62</f>
        <v>17178.45536635707</v>
      </c>
      <c r="H62" s="38">
        <f>Dados!M62/Dados!F62</f>
        <v>4.0268802029836195E-5</v>
      </c>
      <c r="I62" s="37">
        <f>Dados!N62/Dados!G62</f>
        <v>0</v>
      </c>
      <c r="J62" s="38">
        <f>Dados!N62/Dados!L62</f>
        <v>0</v>
      </c>
      <c r="K62" s="37">
        <f>Dados!O61/Dados!P61</f>
        <v>180.19663691619292</v>
      </c>
      <c r="L62" s="38" t="e">
        <f>Dados!Q62/Dados!R62</f>
        <v>#DIV/0!</v>
      </c>
      <c r="M62" s="38" t="e">
        <f>Dados!O62/Dados!R62</f>
        <v>#DIV/0!</v>
      </c>
      <c r="N62" s="38">
        <f>Dados!S61/Dados!O61</f>
        <v>-3.4735090730891705E-2</v>
      </c>
      <c r="O62" s="38">
        <f>Dados!T61/Dados!V61</f>
        <v>4.2330788924745892</v>
      </c>
      <c r="P62" s="38" t="e">
        <f>Dados!V62/Dados!O62</f>
        <v>#DIV/0!</v>
      </c>
      <c r="Q62" s="37">
        <f>Dados!W61/Dados!P61</f>
        <v>0</v>
      </c>
      <c r="R62" s="38">
        <f>Dados!W61/Dados!U61</f>
        <v>0</v>
      </c>
      <c r="S62" s="37">
        <f>Dados!X61/Dados!Y61</f>
        <v>140.80838974142139</v>
      </c>
      <c r="T62" s="38" t="e">
        <f>Dados!Z62/Dados!AA62</f>
        <v>#DIV/0!</v>
      </c>
      <c r="U62" s="38" t="e">
        <f>Dados!X62/Dados!AA62</f>
        <v>#DIV/0!</v>
      </c>
      <c r="V62" s="38">
        <f>Dados!AB61/Dados!X61</f>
        <v>-7.3747086759464115E-3</v>
      </c>
      <c r="W62" s="38">
        <f>Dados!AC61/Dados!AE61</f>
        <v>-33.171999375098927</v>
      </c>
      <c r="X62" s="38" t="e">
        <f>Dados!AE62/Dados!X62</f>
        <v>#DIV/0!</v>
      </c>
      <c r="Y62" s="37">
        <f>Dados!AF61/Dados!Y61</f>
        <v>0</v>
      </c>
      <c r="Z62" s="38">
        <f>Dados!AF61/Dados!AD61</f>
        <v>0</v>
      </c>
      <c r="AA62" s="37">
        <f>Dados!AG61/Dados!AH61</f>
        <v>91.5990550057071</v>
      </c>
      <c r="AB62" s="38">
        <f>Dados!AI62/Dados!AJ62</f>
        <v>0.99977231994696703</v>
      </c>
      <c r="AC62" s="38">
        <f>Dados!AG62/Dados!AJ62</f>
        <v>0.91219591738604666</v>
      </c>
      <c r="AD62" s="38">
        <f>Dados!AK61/Dados!AG61</f>
        <v>1.7782843994235225E-2</v>
      </c>
      <c r="AE62" s="38">
        <f>Dados!AL61/Dados!AN61</f>
        <v>44.492432438587286</v>
      </c>
      <c r="AF62" s="38">
        <f>Dados!AN62/Dados!AG62</f>
        <v>0</v>
      </c>
      <c r="AG62" s="37">
        <f>Dados!AO61/Dados!AH61</f>
        <v>0</v>
      </c>
      <c r="AH62" s="38">
        <f>Dados!AO61/Dados!AM61</f>
        <v>0</v>
      </c>
      <c r="AI62" s="37">
        <f>Dados!AP61/Dados!AQ61</f>
        <v>69.66669252512942</v>
      </c>
      <c r="AJ62" s="38">
        <f>Dados!AR62/Dados!AS62</f>
        <v>0.99705174963199694</v>
      </c>
      <c r="AK62" s="38">
        <f>Dados!AP62/Dados!AS62</f>
        <v>1.2943492596982693</v>
      </c>
      <c r="AL62" s="38">
        <f>Dados!AT61/Dados!AP61</f>
        <v>6.7193886761877403E-2</v>
      </c>
      <c r="AM62" s="38">
        <f>Dados!AU61/Dados!AW61</f>
        <v>0.95304210145077584</v>
      </c>
      <c r="AN62" s="38">
        <f>Dados!AW62/Dados!AP62</f>
        <v>0</v>
      </c>
      <c r="AO62" s="37">
        <f>Dados!AX61/Dados!AQ61</f>
        <v>0</v>
      </c>
      <c r="AP62" s="39">
        <f>Dados!AX61/Dados!AV61</f>
        <v>0</v>
      </c>
    </row>
    <row r="63" spans="1:42" x14ac:dyDescent="0.25">
      <c r="A63" s="13">
        <v>47</v>
      </c>
      <c r="B63" s="13" t="s">
        <v>70</v>
      </c>
      <c r="C63" s="37">
        <f>Dados!F63/Dados!G63</f>
        <v>18.276444020742893</v>
      </c>
      <c r="D63" s="38">
        <f>Dados!H63/Dados!I63</f>
        <v>1.000028953367595</v>
      </c>
      <c r="E63" s="38">
        <f>Dados!F63/Dados!I63</f>
        <v>0.87058438838655616</v>
      </c>
      <c r="F63" s="38">
        <f>Dados!J63/Dados!F63</f>
        <v>0.14865372425674697</v>
      </c>
      <c r="G63" s="38">
        <f>Dados!K63/Dados!M63</f>
        <v>1.3166186132836657</v>
      </c>
      <c r="H63" s="38">
        <f>Dados!M63/Dados!F63</f>
        <v>1.6724698321133167</v>
      </c>
      <c r="I63" s="37">
        <f>Dados!N63/Dados!G63</f>
        <v>3.1670980104866136E-6</v>
      </c>
      <c r="J63" s="38">
        <f>Dados!N63/Dados!L63</f>
        <v>1.7328852411837379E-7</v>
      </c>
      <c r="K63" s="37">
        <f>Dados!O62/Dados!P62</f>
        <v>0</v>
      </c>
      <c r="L63" s="38">
        <f>Dados!Q63/Dados!R63</f>
        <v>1</v>
      </c>
      <c r="M63" s="38">
        <f>Dados!O63/Dados!R63</f>
        <v>3.0247198977468526</v>
      </c>
      <c r="N63" s="38" t="e">
        <f>Dados!S62/Dados!O62</f>
        <v>#DIV/0!</v>
      </c>
      <c r="O63" s="38" t="e">
        <f>Dados!T62/Dados!V62</f>
        <v>#DIV/0!</v>
      </c>
      <c r="P63" s="38">
        <f>Dados!V63/Dados!O63</f>
        <v>1.3224421251160976</v>
      </c>
      <c r="Q63" s="37">
        <f>Dados!W62/Dados!P62</f>
        <v>0</v>
      </c>
      <c r="R63" s="38" t="e">
        <f>Dados!W62/Dados!U62</f>
        <v>#DIV/0!</v>
      </c>
      <c r="S63" s="37">
        <f>Dados!X62/Dados!Y62</f>
        <v>0</v>
      </c>
      <c r="T63" s="38">
        <f>Dados!Z63/Dados!AA63</f>
        <v>1</v>
      </c>
      <c r="U63" s="38">
        <f>Dados!X63/Dados!AA63</f>
        <v>5.4274955556604141</v>
      </c>
      <c r="V63" s="38" t="e">
        <f>Dados!AB62/Dados!X62</f>
        <v>#DIV/0!</v>
      </c>
      <c r="W63" s="38" t="e">
        <f>Dados!AC62/Dados!AE62</f>
        <v>#DIV/0!</v>
      </c>
      <c r="X63" s="38">
        <f>Dados!AE63/Dados!X63</f>
        <v>0.50772322041031304</v>
      </c>
      <c r="Y63" s="37">
        <f>Dados!AF62/Dados!Y62</f>
        <v>0</v>
      </c>
      <c r="Z63" s="38" t="e">
        <f>Dados!AF62/Dados!AD62</f>
        <v>#DIV/0!</v>
      </c>
      <c r="AA63" s="37">
        <f>Dados!AG62/Dados!AH62</f>
        <v>20.369166616157258</v>
      </c>
      <c r="AB63" s="38">
        <f>Dados!AI63/Dados!AJ63</f>
        <v>1</v>
      </c>
      <c r="AC63" s="38">
        <f>Dados!AG63/Dados!AJ63</f>
        <v>0.9726071879611714</v>
      </c>
      <c r="AD63" s="38">
        <f>Dados!AK62/Dados!AG62</f>
        <v>-9.6255728556165043E-2</v>
      </c>
      <c r="AE63" s="38" t="e">
        <f>Dados!AL62/Dados!AN62</f>
        <v>#DIV/0!</v>
      </c>
      <c r="AF63" s="38">
        <f>Dados!AN63/Dados!AG63</f>
        <v>0.15578098946147664</v>
      </c>
      <c r="AG63" s="37">
        <f>Dados!AO62/Dados!AH62</f>
        <v>0</v>
      </c>
      <c r="AH63" s="38">
        <f>Dados!AO62/Dados!AM62</f>
        <v>0</v>
      </c>
      <c r="AI63" s="37">
        <f>Dados!AP62/Dados!AQ62</f>
        <v>23.349033989797039</v>
      </c>
      <c r="AJ63" s="38">
        <f>Dados!AR63/Dados!AS63</f>
        <v>1</v>
      </c>
      <c r="AK63" s="38">
        <f>Dados!AP63/Dados!AS63</f>
        <v>2.2225141689550756</v>
      </c>
      <c r="AL63" s="38">
        <f>Dados!AT62/Dados!AP62</f>
        <v>0.22741100015531066</v>
      </c>
      <c r="AM63" s="38" t="e">
        <f>Dados!AU62/Dados!AW62</f>
        <v>#DIV/0!</v>
      </c>
      <c r="AN63" s="38">
        <f>Dados!AW63/Dados!AP63</f>
        <v>0.11012970488480191</v>
      </c>
      <c r="AO63" s="37">
        <f>Dados!AX62/Dados!AQ62</f>
        <v>0</v>
      </c>
      <c r="AP63" s="39">
        <f>Dados!AX62/Dados!AV62</f>
        <v>0</v>
      </c>
    </row>
    <row r="64" spans="1:42" x14ac:dyDescent="0.25">
      <c r="A64" s="13">
        <v>48</v>
      </c>
      <c r="B64" s="13" t="s">
        <v>71</v>
      </c>
      <c r="C64" s="37">
        <f>Dados!F64/Dados!G64</f>
        <v>36.21549957987412</v>
      </c>
      <c r="D64" s="38">
        <f>Dados!H64/Dados!I64</f>
        <v>0.84446378181506887</v>
      </c>
      <c r="E64" s="38">
        <f>Dados!F64/Dados!I64</f>
        <v>2.0558540942307748</v>
      </c>
      <c r="F64" s="38">
        <f>Dados!J64/Dados!F64</f>
        <v>0.51358415813347724</v>
      </c>
      <c r="G64" s="38">
        <f>Dados!K64/Dados!M64</f>
        <v>-9.9118539325779693</v>
      </c>
      <c r="H64" s="38">
        <f>Dados!M64/Dados!F64</f>
        <v>-5.2049854782548761E-2</v>
      </c>
      <c r="I64" s="37">
        <f>Dados!N64/Dados!G64</f>
        <v>5.3589513235286351E-2</v>
      </c>
      <c r="J64" s="38">
        <f>Dados!N64/Dados!L64</f>
        <v>1.5550583554751649E-3</v>
      </c>
      <c r="K64" s="37">
        <f>Dados!O63/Dados!P63</f>
        <v>13.904468795609032</v>
      </c>
      <c r="L64" s="38">
        <f>Dados!Q64/Dados!R64</f>
        <v>0.96070363422690375</v>
      </c>
      <c r="M64" s="38">
        <f>Dados!O64/Dados!R64</f>
        <v>0.93928278831907563</v>
      </c>
      <c r="N64" s="38">
        <f>Dados!S63/Dados!O63</f>
        <v>0.66939087459142543</v>
      </c>
      <c r="O64" s="38">
        <f>Dados!T63/Dados!V63</f>
        <v>1.1267752406848197</v>
      </c>
      <c r="P64" s="38">
        <f>Dados!V64/Dados!O64</f>
        <v>1.5501841132325915E-2</v>
      </c>
      <c r="Q64" s="37">
        <f>Dados!W63/Dados!P63</f>
        <v>3.2013900715947239E-6</v>
      </c>
      <c r="R64" s="38">
        <f>Dados!W63/Dados!U63</f>
        <v>2.3024181064764648E-7</v>
      </c>
      <c r="S64" s="37">
        <f>Dados!X63/Dados!Y63</f>
        <v>17.116605940870262</v>
      </c>
      <c r="T64" s="38">
        <f>Dados!Z64/Dados!AA64</f>
        <v>0.94811292378957313</v>
      </c>
      <c r="U64" s="38">
        <f>Dados!X64/Dados!AA64</f>
        <v>1.397507783282228</v>
      </c>
      <c r="V64" s="38">
        <f>Dados!AB63/Dados!X63</f>
        <v>0.81575295829453309</v>
      </c>
      <c r="W64" s="38">
        <f>Dados!AC63/Dados!AE63</f>
        <v>3.0353146462506464</v>
      </c>
      <c r="X64" s="38">
        <f>Dados!AE64/Dados!X64</f>
        <v>0.12965384965583285</v>
      </c>
      <c r="Y64" s="37">
        <f>Dados!AF63/Dados!Y63</f>
        <v>3.2364328625431383E-6</v>
      </c>
      <c r="Z64" s="38">
        <f>Dados!AF63/Dados!AD63</f>
        <v>1.8908146122680371E-7</v>
      </c>
      <c r="AA64" s="37">
        <f>Dados!AG63/Dados!AH63</f>
        <v>22.665718804537523</v>
      </c>
      <c r="AB64" s="38">
        <f>Dados!AI64/Dados!AJ64</f>
        <v>0.98315763118428778</v>
      </c>
      <c r="AC64" s="38">
        <f>Dados!AG64/Dados!AJ64</f>
        <v>0.9911562863911062</v>
      </c>
      <c r="AD64" s="38">
        <f>Dados!AK63/Dados!AG63</f>
        <v>-2.8164311736427541E-2</v>
      </c>
      <c r="AE64" s="38">
        <f>Dados!AL63/Dados!AN63</f>
        <v>10.353356461336668</v>
      </c>
      <c r="AF64" s="38">
        <f>Dados!AN64/Dados!AG64</f>
        <v>2.1565632956124563E-2</v>
      </c>
      <c r="AG64" s="37">
        <f>Dados!AO63/Dados!AH63</f>
        <v>3.2722513089005235E-6</v>
      </c>
      <c r="AH64" s="38">
        <f>Dados!AO63/Dados!AM63</f>
        <v>1.4437006552139175E-7</v>
      </c>
      <c r="AI64" s="37">
        <f>Dados!AP63/Dados!AQ63</f>
        <v>17.151806926730348</v>
      </c>
      <c r="AJ64" s="38">
        <f>Dados!AR64/Dados!AS64</f>
        <v>0.94572873725935691</v>
      </c>
      <c r="AK64" s="38">
        <f>Dados!AP64/Dados!AS64</f>
        <v>1.048403084830414</v>
      </c>
      <c r="AL64" s="38">
        <f>Dados!AT63/Dados!AP63</f>
        <v>0.55005911144757536</v>
      </c>
      <c r="AM64" s="38">
        <f>Dados!AU63/Dados!AW63</f>
        <v>15.290895341489804</v>
      </c>
      <c r="AN64" s="38">
        <f>Dados!AW64/Dados!AP64</f>
        <v>2.0557517746543109E-2</v>
      </c>
      <c r="AO64" s="37">
        <f>Dados!AX63/Dados!AQ63</f>
        <v>0.17135709616308234</v>
      </c>
      <c r="AP64" s="39">
        <f>Dados!AX63/Dados!AV63</f>
        <v>9.9906148019909043E-3</v>
      </c>
    </row>
    <row r="65" spans="1:42" x14ac:dyDescent="0.25">
      <c r="A65" s="13">
        <v>49</v>
      </c>
      <c r="B65" s="13" t="s">
        <v>72</v>
      </c>
      <c r="C65" s="37">
        <f>Dados!F65/Dados!G65</f>
        <v>0</v>
      </c>
      <c r="D65" s="38" t="e">
        <f>Dados!H65/Dados!I65</f>
        <v>#DIV/0!</v>
      </c>
      <c r="E65" s="38" t="e">
        <f>Dados!F65/Dados!I65</f>
        <v>#DIV/0!</v>
      </c>
      <c r="F65" s="38" t="e">
        <f>Dados!J65/Dados!F65</f>
        <v>#DIV/0!</v>
      </c>
      <c r="G65" s="38" t="e">
        <f>Dados!K65/Dados!M65</f>
        <v>#DIV/0!</v>
      </c>
      <c r="H65" s="38" t="e">
        <f>Dados!M65/Dados!F65</f>
        <v>#DIV/0!</v>
      </c>
      <c r="I65" s="37">
        <f>Dados!N65/Dados!G65</f>
        <v>0</v>
      </c>
      <c r="J65" s="38" t="e">
        <f>Dados!N65/Dados!L65</f>
        <v>#DIV/0!</v>
      </c>
      <c r="K65" s="37">
        <f>Dados!O64/Dados!P64</f>
        <v>217.29113285540586</v>
      </c>
      <c r="L65" s="38" t="e">
        <f>Dados!Q65/Dados!R65</f>
        <v>#DIV/0!</v>
      </c>
      <c r="M65" s="38" t="e">
        <f>Dados!O65/Dados!R65</f>
        <v>#DIV/0!</v>
      </c>
      <c r="N65" s="38">
        <f>Dados!S64/Dados!O64</f>
        <v>-6.464209973397135E-2</v>
      </c>
      <c r="O65" s="38">
        <f>Dados!T64/Dados!V64</f>
        <v>4.7425142013273751</v>
      </c>
      <c r="P65" s="38" t="e">
        <f>Dados!V65/Dados!O65</f>
        <v>#DIV/0!</v>
      </c>
      <c r="Q65" s="37">
        <f>Dados!W64/Dados!P64</f>
        <v>5.4157719620245272E-2</v>
      </c>
      <c r="R65" s="38">
        <f>Dados!W64/Dados!U64</f>
        <v>2.5395260075300642E-4</v>
      </c>
      <c r="S65" s="37">
        <f>Dados!X64/Dados!Y64</f>
        <v>22.634470064324596</v>
      </c>
      <c r="T65" s="38" t="e">
        <f>Dados!Z65/Dados!AA65</f>
        <v>#DIV/0!</v>
      </c>
      <c r="U65" s="38" t="e">
        <f>Dados!X65/Dados!AA65</f>
        <v>#DIV/0!</v>
      </c>
      <c r="V65" s="38">
        <f>Dados!AB64/Dados!X64</f>
        <v>0.28444047899942959</v>
      </c>
      <c r="W65" s="38">
        <f>Dados!AC64/Dados!AE64</f>
        <v>8.6250514514694512</v>
      </c>
      <c r="X65" s="38" t="e">
        <f>Dados!AE65/Dados!X65</f>
        <v>#DIV/0!</v>
      </c>
      <c r="Y65" s="37">
        <f>Dados!AF64/Dados!Y64</f>
        <v>0.13047391480365259</v>
      </c>
      <c r="Z65" s="38">
        <f>Dados!AF64/Dados!AD64</f>
        <v>6.2951069315353358E-3</v>
      </c>
      <c r="AA65" s="37">
        <f>Dados!AG64/Dados!AH64</f>
        <v>120.35450884745707</v>
      </c>
      <c r="AB65" s="38">
        <f>Dados!AI65/Dados!AJ65</f>
        <v>0.99700857528235509</v>
      </c>
      <c r="AC65" s="38">
        <f>Dados!AG65/Dados!AJ65</f>
        <v>0.99915608825611624</v>
      </c>
      <c r="AD65" s="38">
        <f>Dados!AK64/Dados!AG64</f>
        <v>-8.9226227289488456E-3</v>
      </c>
      <c r="AE65" s="38">
        <f>Dados!AL64/Dados!AN64</f>
        <v>5.6312707495097376</v>
      </c>
      <c r="AF65" s="38">
        <f>Dados!AN65/Dados!AG65</f>
        <v>8.0841655437187326E-2</v>
      </c>
      <c r="AG65" s="37">
        <f>Dados!AO64/Dados!AH64</f>
        <v>0.1682534797815281</v>
      </c>
      <c r="AH65" s="38">
        <f>Dados!AO64/Dados!AM64</f>
        <v>1.3997183497771524E-3</v>
      </c>
      <c r="AI65" s="37">
        <f>Dados!AP64/Dados!AQ64</f>
        <v>96.588801652440949</v>
      </c>
      <c r="AJ65" s="38" t="e">
        <f>Dados!AR65/Dados!AS65</f>
        <v>#DIV/0!</v>
      </c>
      <c r="AK65" s="38" t="e">
        <f>Dados!AP65/Dados!AS65</f>
        <v>#DIV/0!</v>
      </c>
      <c r="AL65" s="38">
        <f>Dados!AT64/Dados!AP64</f>
        <v>4.6168392225060632E-2</v>
      </c>
      <c r="AM65" s="38">
        <f>Dados!AU64/Dados!AW64</f>
        <v>7.7834604793585251</v>
      </c>
      <c r="AN65" s="38" t="e">
        <f>Dados!AW65/Dados!AP65</f>
        <v>#DIV/0!</v>
      </c>
      <c r="AO65" s="37">
        <f>Dados!AX64/Dados!AQ64</f>
        <v>0.26041376596977084</v>
      </c>
      <c r="AP65" s="39">
        <f>Dados!AX64/Dados!AV64</f>
        <v>2.7864956743322289E-3</v>
      </c>
    </row>
    <row r="66" spans="1:42" ht="25.5" x14ac:dyDescent="0.25">
      <c r="A66" s="13">
        <v>56</v>
      </c>
      <c r="B66" s="13" t="s">
        <v>73</v>
      </c>
      <c r="C66" s="37">
        <f>Dados!F66/Dados!G66</f>
        <v>0</v>
      </c>
      <c r="D66" s="38" t="e">
        <f>Dados!H66/Dados!I66</f>
        <v>#DIV/0!</v>
      </c>
      <c r="E66" s="38" t="e">
        <f>Dados!F66/Dados!I66</f>
        <v>#DIV/0!</v>
      </c>
      <c r="F66" s="38" t="e">
        <f>Dados!J66/Dados!F66</f>
        <v>#DIV/0!</v>
      </c>
      <c r="G66" s="38" t="e">
        <f>Dados!K66/Dados!M66</f>
        <v>#DIV/0!</v>
      </c>
      <c r="H66" s="38" t="e">
        <f>Dados!M66/Dados!F66</f>
        <v>#DIV/0!</v>
      </c>
      <c r="I66" s="37">
        <f>Dados!N66/Dados!G66</f>
        <v>0</v>
      </c>
      <c r="J66" s="38" t="e">
        <f>Dados!N66/Dados!L66</f>
        <v>#DIV/0!</v>
      </c>
      <c r="K66" s="37">
        <f>Dados!O65/Dados!P65</f>
        <v>0</v>
      </c>
      <c r="L66" s="38">
        <f>Dados!Q66/Dados!R66</f>
        <v>1</v>
      </c>
      <c r="M66" s="38">
        <f>Dados!O66/Dados!R66</f>
        <v>1.0069424384811285</v>
      </c>
      <c r="N66" s="38" t="e">
        <f>Dados!S65/Dados!O65</f>
        <v>#DIV/0!</v>
      </c>
      <c r="O66" s="38" t="e">
        <f>Dados!T65/Dados!V65</f>
        <v>#DIV/0!</v>
      </c>
      <c r="P66" s="38">
        <f>Dados!V66/Dados!O66</f>
        <v>3.7189938734472405E-2</v>
      </c>
      <c r="Q66" s="37">
        <f>Dados!W65/Dados!P65</f>
        <v>0</v>
      </c>
      <c r="R66" s="38" t="e">
        <f>Dados!W65/Dados!U65</f>
        <v>#DIV/0!</v>
      </c>
      <c r="S66" s="37">
        <f>Dados!X65/Dados!Y65</f>
        <v>0</v>
      </c>
      <c r="T66" s="38" t="e">
        <f>Dados!Z66/Dados!AA66</f>
        <v>#DIV/0!</v>
      </c>
      <c r="U66" s="38" t="e">
        <f>Dados!X66/Dados!AA66</f>
        <v>#DIV/0!</v>
      </c>
      <c r="V66" s="38" t="e">
        <f>Dados!AB65/Dados!X65</f>
        <v>#DIV/0!</v>
      </c>
      <c r="W66" s="38" t="e">
        <f>Dados!AC65/Dados!AE65</f>
        <v>#DIV/0!</v>
      </c>
      <c r="X66" s="38" t="e">
        <f>Dados!AE66/Dados!X66</f>
        <v>#DIV/0!</v>
      </c>
      <c r="Y66" s="37">
        <f>Dados!AF65/Dados!Y65</f>
        <v>0</v>
      </c>
      <c r="Z66" s="38" t="e">
        <f>Dados!AF65/Dados!AD65</f>
        <v>#DIV/0!</v>
      </c>
      <c r="AA66" s="37">
        <f>Dados!AG65/Dados!AH65</f>
        <v>135.42487704918034</v>
      </c>
      <c r="AB66" s="38" t="e">
        <f>Dados!AI66/Dados!AJ66</f>
        <v>#DIV/0!</v>
      </c>
      <c r="AC66" s="38" t="e">
        <f>Dados!AG66/Dados!AJ66</f>
        <v>#DIV/0!</v>
      </c>
      <c r="AD66" s="38">
        <f>Dados!AK65/Dados!AG65</f>
        <v>-8.4462453244586353E-4</v>
      </c>
      <c r="AE66" s="38">
        <f>Dados!AL65/Dados!AN65</f>
        <v>1.3327295441493554</v>
      </c>
      <c r="AF66" s="38" t="e">
        <f>Dados!AN66/Dados!AG66</f>
        <v>#DIV/0!</v>
      </c>
      <c r="AG66" s="37">
        <f>Dados!AO65/Dados!AH65</f>
        <v>0</v>
      </c>
      <c r="AH66" s="38">
        <f>Dados!AO65/Dados!AM65</f>
        <v>0</v>
      </c>
      <c r="AI66" s="37">
        <f>Dados!AP65/Dados!AQ65</f>
        <v>0</v>
      </c>
      <c r="AJ66" s="38">
        <f>Dados!AR66/Dados!AS66</f>
        <v>0.99820221520431218</v>
      </c>
      <c r="AK66" s="38">
        <f>Dados!AP66/Dados!AS66</f>
        <v>0.9644988512623851</v>
      </c>
      <c r="AL66" s="38" t="e">
        <f>Dados!AT65/Dados!AP65</f>
        <v>#DIV/0!</v>
      </c>
      <c r="AM66" s="38" t="e">
        <f>Dados!AU65/Dados!AW65</f>
        <v>#DIV/0!</v>
      </c>
      <c r="AN66" s="38">
        <f>Dados!AW66/Dados!AP66</f>
        <v>7.5947327117853333E-2</v>
      </c>
      <c r="AO66" s="37">
        <f>Dados!AX65/Dados!AQ65</f>
        <v>0</v>
      </c>
      <c r="AP66" s="39" t="e">
        <f>Dados!AX65/Dados!AV65</f>
        <v>#DIV/0!</v>
      </c>
    </row>
    <row r="67" spans="1:42" x14ac:dyDescent="0.25">
      <c r="A67" s="13">
        <v>57</v>
      </c>
      <c r="B67" s="13" t="s">
        <v>74</v>
      </c>
      <c r="C67" s="37">
        <f>Dados!F67/Dados!G67</f>
        <v>212.91667511650536</v>
      </c>
      <c r="D67" s="38">
        <f>Dados!H67/Dados!I67</f>
        <v>0.99384365336557123</v>
      </c>
      <c r="E67" s="38">
        <f>Dados!F67/Dados!I67</f>
        <v>1.0248728455880565</v>
      </c>
      <c r="F67" s="38">
        <f>Dados!J67/Dados!F67</f>
        <v>2.4269201486926698E-2</v>
      </c>
      <c r="G67" s="38">
        <f>Dados!K67/Dados!M67</f>
        <v>1.2070333947437599</v>
      </c>
      <c r="H67" s="38">
        <f>Dados!M67/Dados!F67</f>
        <v>4.4443972994608873E-2</v>
      </c>
      <c r="I67" s="37">
        <f>Dados!N67/Dados!G67</f>
        <v>0</v>
      </c>
      <c r="J67" s="38">
        <f>Dados!N67/Dados!L67</f>
        <v>0</v>
      </c>
      <c r="K67" s="37">
        <f>Dados!O66/Dados!P66</f>
        <v>65.507194908398759</v>
      </c>
      <c r="L67" s="38">
        <f>Dados!Q67/Dados!R67</f>
        <v>0.99942796143898538</v>
      </c>
      <c r="M67" s="38">
        <f>Dados!O67/Dados!R67</f>
        <v>1.0053716788232236</v>
      </c>
      <c r="N67" s="38">
        <f>Dados!S66/Dados!O66</f>
        <v>6.8945733299318676E-3</v>
      </c>
      <c r="O67" s="38">
        <f>Dados!T66/Dados!V66</f>
        <v>2.2065715355588851</v>
      </c>
      <c r="P67" s="38">
        <f>Dados!V67/Dados!O67</f>
        <v>9.9805408168690379E-2</v>
      </c>
      <c r="Q67" s="37">
        <f>Dados!W66/Dados!P66</f>
        <v>0</v>
      </c>
      <c r="R67" s="38">
        <f>Dados!W66/Dados!U66</f>
        <v>0</v>
      </c>
      <c r="S67" s="37">
        <f>Dados!X66/Dados!Y66</f>
        <v>0</v>
      </c>
      <c r="T67" s="38">
        <f>Dados!Z67/Dados!AA67</f>
        <v>1</v>
      </c>
      <c r="U67" s="38">
        <f>Dados!X67/Dados!AA67</f>
        <v>1.0299646171518948</v>
      </c>
      <c r="V67" s="38" t="e">
        <f>Dados!AB66/Dados!X66</f>
        <v>#DIV/0!</v>
      </c>
      <c r="W67" s="38" t="e">
        <f>Dados!AC66/Dados!AE66</f>
        <v>#DIV/0!</v>
      </c>
      <c r="X67" s="38">
        <f>Dados!AE67/Dados!X67</f>
        <v>9.5243282819210795E-2</v>
      </c>
      <c r="Y67" s="37">
        <f>Dados!AF66/Dados!Y66</f>
        <v>0</v>
      </c>
      <c r="Z67" s="38" t="e">
        <f>Dados!AF66/Dados!AD66</f>
        <v>#DIV/0!</v>
      </c>
      <c r="AA67" s="37">
        <f>Dados!AG66/Dados!AH66</f>
        <v>0</v>
      </c>
      <c r="AB67" s="38">
        <f>Dados!AI67/Dados!AJ67</f>
        <v>0.99978902345852483</v>
      </c>
      <c r="AC67" s="38">
        <f>Dados!AG67/Dados!AJ67</f>
        <v>1.0503020468552708</v>
      </c>
      <c r="AD67" s="38" t="e">
        <f>Dados!AK66/Dados!AG66</f>
        <v>#DIV/0!</v>
      </c>
      <c r="AE67" s="38" t="e">
        <f>Dados!AL66/Dados!AN66</f>
        <v>#DIV/0!</v>
      </c>
      <c r="AF67" s="38">
        <f>Dados!AN67/Dados!AG67</f>
        <v>0.18227313108703413</v>
      </c>
      <c r="AG67" s="37">
        <f>Dados!AO66/Dados!AH66</f>
        <v>0</v>
      </c>
      <c r="AH67" s="38" t="e">
        <f>Dados!AO66/Dados!AM66</f>
        <v>#DIV/0!</v>
      </c>
      <c r="AI67" s="37">
        <f>Dados!AP66/Dados!AQ66</f>
        <v>41.726336556705107</v>
      </c>
      <c r="AJ67" s="38">
        <f>Dados!AR67/Dados!AS67</f>
        <v>0.99967866112241333</v>
      </c>
      <c r="AK67" s="38">
        <f>Dados!AP67/Dados!AS67</f>
        <v>1.0925086560196553</v>
      </c>
      <c r="AL67" s="38">
        <f>Dados!AT66/Dados!AP66</f>
        <v>-3.6807870420114144E-2</v>
      </c>
      <c r="AM67" s="38">
        <f>Dados!AU66/Dados!AW66</f>
        <v>3.0573157664415391</v>
      </c>
      <c r="AN67" s="38">
        <f>Dados!AW67/Dados!AP67</f>
        <v>0.23930859822408568</v>
      </c>
      <c r="AO67" s="37">
        <f>Dados!AX66/Dados!AQ66</f>
        <v>0</v>
      </c>
      <c r="AP67" s="39">
        <f>Dados!AX66/Dados!AV66</f>
        <v>0</v>
      </c>
    </row>
    <row r="68" spans="1:42" x14ac:dyDescent="0.25">
      <c r="A68" s="13">
        <v>61</v>
      </c>
      <c r="B68" s="13" t="s">
        <v>75</v>
      </c>
      <c r="C68" s="37">
        <f>Dados!F68/Dados!G68</f>
        <v>0</v>
      </c>
      <c r="D68" s="38" t="e">
        <f>Dados!H68/Dados!I68</f>
        <v>#DIV/0!</v>
      </c>
      <c r="E68" s="38" t="e">
        <f>Dados!F68/Dados!I68</f>
        <v>#DIV/0!</v>
      </c>
      <c r="F68" s="38" t="e">
        <f>Dados!J68/Dados!F68</f>
        <v>#DIV/0!</v>
      </c>
      <c r="G68" s="38" t="e">
        <f>Dados!K68/Dados!M68</f>
        <v>#DIV/0!</v>
      </c>
      <c r="H68" s="38" t="e">
        <f>Dados!M68/Dados!F68</f>
        <v>#DIV/0!</v>
      </c>
      <c r="I68" s="37">
        <f>Dados!N68/Dados!G68</f>
        <v>0</v>
      </c>
      <c r="J68" s="38" t="e">
        <f>Dados!N68/Dados!L68</f>
        <v>#DIV/0!</v>
      </c>
      <c r="K68" s="37">
        <f>Dados!O67/Dados!P67</f>
        <v>173.59931214309603</v>
      </c>
      <c r="L68" s="38" t="e">
        <f>Dados!Q68/Dados!R68</f>
        <v>#DIV/0!</v>
      </c>
      <c r="M68" s="38" t="e">
        <f>Dados!O68/Dados!R68</f>
        <v>#DIV/0!</v>
      </c>
      <c r="N68" s="38">
        <f>Dados!S67/Dados!O67</f>
        <v>5.3429780611199268E-3</v>
      </c>
      <c r="O68" s="38">
        <f>Dados!T67/Dados!V67</f>
        <v>0.77240270584568582</v>
      </c>
      <c r="P68" s="38" t="e">
        <f>Dados!V68/Dados!O68</f>
        <v>#DIV/0!</v>
      </c>
      <c r="Q68" s="37">
        <f>Dados!W67/Dados!P67</f>
        <v>0</v>
      </c>
      <c r="R68" s="38">
        <f>Dados!W67/Dados!U67</f>
        <v>0</v>
      </c>
      <c r="S68" s="37">
        <f>Dados!X67/Dados!Y67</f>
        <v>133.25462525212771</v>
      </c>
      <c r="T68" s="38" t="e">
        <f>Dados!Z68/Dados!AA68</f>
        <v>#DIV/0!</v>
      </c>
      <c r="U68" s="38" t="e">
        <f>Dados!X68/Dados!AA68</f>
        <v>#DIV/0!</v>
      </c>
      <c r="V68" s="38">
        <f>Dados!AB67/Dados!X67</f>
        <v>2.9092860718608126E-2</v>
      </c>
      <c r="W68" s="38">
        <f>Dados!AC67/Dados!AE67</f>
        <v>0.55841174616950007</v>
      </c>
      <c r="X68" s="38" t="e">
        <f>Dados!AE68/Dados!X68</f>
        <v>#DIV/0!</v>
      </c>
      <c r="Y68" s="37">
        <f>Dados!AF67/Dados!Y67</f>
        <v>0</v>
      </c>
      <c r="Z68" s="38">
        <f>Dados!AF67/Dados!AD67</f>
        <v>0</v>
      </c>
      <c r="AA68" s="37">
        <f>Dados!AG67/Dados!AH67</f>
        <v>117.72516609707874</v>
      </c>
      <c r="AB68" s="38">
        <f>Dados!AI68/Dados!AJ68</f>
        <v>0.99682767930744154</v>
      </c>
      <c r="AC68" s="38">
        <f>Dados!AG68/Dados!AJ68</f>
        <v>0.97753286821986529</v>
      </c>
      <c r="AD68" s="38">
        <f>Dados!AK67/Dados!AG67</f>
        <v>4.7892934233424632E-2</v>
      </c>
      <c r="AE68" s="38">
        <f>Dados!AL67/Dados!AN67</f>
        <v>0.54673135343675339</v>
      </c>
      <c r="AF68" s="38">
        <f>Dados!AN68/Dados!AG68</f>
        <v>1.5744929071224316E-2</v>
      </c>
      <c r="AG68" s="37">
        <f>Dados!AO67/Dados!AH67</f>
        <v>0</v>
      </c>
      <c r="AH68" s="38">
        <f>Dados!AO67/Dados!AM67</f>
        <v>0</v>
      </c>
      <c r="AI68" s="37">
        <f>Dados!AP67/Dados!AQ67</f>
        <v>107.6462553835713</v>
      </c>
      <c r="AJ68" s="38">
        <f>Dados!AR68/Dados!AS68</f>
        <v>0.99687959463633469</v>
      </c>
      <c r="AK68" s="38">
        <f>Dados!AP68/Dados!AS68</f>
        <v>1.1121085774084611</v>
      </c>
      <c r="AL68" s="38">
        <f>Dados!AT67/Dados!AP67</f>
        <v>8.4675444455234575E-2</v>
      </c>
      <c r="AM68" s="38">
        <f>Dados!AU67/Dados!AW67</f>
        <v>0.42506355143065705</v>
      </c>
      <c r="AN68" s="38">
        <f>Dados!AW68/Dados!AP68</f>
        <v>1.8104044168729627E-2</v>
      </c>
      <c r="AO68" s="37">
        <f>Dados!AX67/Dados!AQ67</f>
        <v>0</v>
      </c>
      <c r="AP68" s="39">
        <f>Dados!AX67/Dados!AV67</f>
        <v>0</v>
      </c>
    </row>
    <row r="69" spans="1:42" ht="25.5" x14ac:dyDescent="0.25">
      <c r="A69" s="13">
        <v>66</v>
      </c>
      <c r="B69" s="13" t="s">
        <v>76</v>
      </c>
      <c r="C69" s="37">
        <f>Dados!F69/Dados!G69</f>
        <v>294.43871506750617</v>
      </c>
      <c r="D69" s="38">
        <f>Dados!H69/Dados!I69</f>
        <v>1</v>
      </c>
      <c r="E69" s="38">
        <f>Dados!F69/Dados!I69</f>
        <v>1.0523092812825117</v>
      </c>
      <c r="F69" s="38">
        <f>Dados!J69/Dados!F69</f>
        <v>4.9709037269688762E-2</v>
      </c>
      <c r="G69" s="38">
        <f>Dados!K69/Dados!M69</f>
        <v>40.308712215822183</v>
      </c>
      <c r="H69" s="38">
        <f>Dados!M69/Dados!F69</f>
        <v>4.2610991615987448E-3</v>
      </c>
      <c r="I69" s="37">
        <f>Dados!N69/Dados!G69</f>
        <v>0</v>
      </c>
      <c r="J69" s="38">
        <f>Dados!N69/Dados!L69</f>
        <v>0</v>
      </c>
      <c r="K69" s="37">
        <f>Dados!O68/Dados!P68</f>
        <v>0</v>
      </c>
      <c r="L69" s="38">
        <f>Dados!Q69/Dados!R69</f>
        <v>0.9980840741257595</v>
      </c>
      <c r="M69" s="38">
        <f>Dados!O69/Dados!R69</f>
        <v>1.0381860169887465</v>
      </c>
      <c r="N69" s="38" t="e">
        <f>Dados!S68/Dados!O68</f>
        <v>#DIV/0!</v>
      </c>
      <c r="O69" s="38" t="e">
        <f>Dados!T68/Dados!V68</f>
        <v>#DIV/0!</v>
      </c>
      <c r="P69" s="38">
        <f>Dados!V69/Dados!O69</f>
        <v>1.1282598759962294E-2</v>
      </c>
      <c r="Q69" s="37">
        <f>Dados!W68/Dados!P68</f>
        <v>0</v>
      </c>
      <c r="R69" s="38" t="e">
        <f>Dados!W68/Dados!U68</f>
        <v>#DIV/0!</v>
      </c>
      <c r="S69" s="37">
        <f>Dados!X68/Dados!Y68</f>
        <v>0</v>
      </c>
      <c r="T69" s="38" t="e">
        <f>Dados!Z69/Dados!AA69</f>
        <v>#DIV/0!</v>
      </c>
      <c r="U69" s="38" t="e">
        <f>Dados!X69/Dados!AA69</f>
        <v>#DIV/0!</v>
      </c>
      <c r="V69" s="38" t="e">
        <f>Dados!AB68/Dados!X68</f>
        <v>#DIV/0!</v>
      </c>
      <c r="W69" s="38" t="e">
        <f>Dados!AC68/Dados!AE68</f>
        <v>#DIV/0!</v>
      </c>
      <c r="X69" s="38" t="e">
        <f>Dados!AE69/Dados!X69</f>
        <v>#DIV/0!</v>
      </c>
      <c r="Y69" s="37">
        <f>Dados!AF68/Dados!Y68</f>
        <v>0</v>
      </c>
      <c r="Z69" s="38" t="e">
        <f>Dados!AF68/Dados!AD68</f>
        <v>#DIV/0!</v>
      </c>
      <c r="AA69" s="37">
        <f>Dados!AG68/Dados!AH68</f>
        <v>11.914707126535186</v>
      </c>
      <c r="AB69" s="38" t="e">
        <f>Dados!AI69/Dados!AJ69</f>
        <v>#DIV/0!</v>
      </c>
      <c r="AC69" s="38" t="e">
        <f>Dados!AG69/Dados!AJ69</f>
        <v>#DIV/0!</v>
      </c>
      <c r="AD69" s="38">
        <f>Dados!AK68/Dados!AG68</f>
        <v>-2.2983505220697524E-2</v>
      </c>
      <c r="AE69" s="38">
        <f>Dados!AL68/Dados!AN68</f>
        <v>14.661141427515496</v>
      </c>
      <c r="AF69" s="38" t="e">
        <f>Dados!AN69/Dados!AG69</f>
        <v>#DIV/0!</v>
      </c>
      <c r="AG69" s="37">
        <f>Dados!AO68/Dados!AH68</f>
        <v>0.12479285615364762</v>
      </c>
      <c r="AH69" s="38">
        <f>Dados!AO68/Dados!AM68</f>
        <v>1.0473850076912261E-2</v>
      </c>
      <c r="AI69" s="37">
        <f>Dados!AP68/Dados!AQ68</f>
        <v>12.513034756882243</v>
      </c>
      <c r="AJ69" s="38" t="e">
        <f>Dados!AR69/Dados!AS69</f>
        <v>#DIV/0!</v>
      </c>
      <c r="AK69" s="38" t="e">
        <f>Dados!AP69/Dados!AS69</f>
        <v>#DIV/0!</v>
      </c>
      <c r="AL69" s="38">
        <f>Dados!AT68/Dados!AP68</f>
        <v>0.10080722304085368</v>
      </c>
      <c r="AM69" s="38">
        <f>Dados!AU68/Dados!AW68</f>
        <v>13.249796992017787</v>
      </c>
      <c r="AN69" s="38" t="e">
        <f>Dados!AW69/Dados!AP69</f>
        <v>#DIV/0!</v>
      </c>
      <c r="AO69" s="37">
        <f>Dados!AX68/Dados!AQ68</f>
        <v>0.12450222888546147</v>
      </c>
      <c r="AP69" s="39">
        <f>Dados!AX68/Dados!AV68</f>
        <v>9.949802849942898E-3</v>
      </c>
    </row>
    <row r="70" spans="1:42" ht="25.5" x14ac:dyDescent="0.25">
      <c r="A70" s="13">
        <v>213</v>
      </c>
      <c r="B70" s="13" t="s">
        <v>77</v>
      </c>
      <c r="C70" s="37">
        <f>Dados!F70/Dados!G70</f>
        <v>0</v>
      </c>
      <c r="D70" s="38" t="e">
        <f>Dados!H70/Dados!I70</f>
        <v>#DIV/0!</v>
      </c>
      <c r="E70" s="38" t="e">
        <f>Dados!F70/Dados!I70</f>
        <v>#DIV/0!</v>
      </c>
      <c r="F70" s="38" t="e">
        <f>Dados!J70/Dados!F70</f>
        <v>#DIV/0!</v>
      </c>
      <c r="G70" s="38" t="e">
        <f>Dados!K70/Dados!M70</f>
        <v>#DIV/0!</v>
      </c>
      <c r="H70" s="38" t="e">
        <f>Dados!M70/Dados!F70</f>
        <v>#DIV/0!</v>
      </c>
      <c r="I70" s="37">
        <f>Dados!N70/Dados!G70</f>
        <v>0</v>
      </c>
      <c r="J70" s="38" t="e">
        <f>Dados!N70/Dados!L70</f>
        <v>#DIV/0!</v>
      </c>
      <c r="K70" s="37">
        <f>Dados!O69/Dados!P69</f>
        <v>222.45183971512407</v>
      </c>
      <c r="L70" s="38" t="e">
        <f>Dados!Q70/Dados!R70</f>
        <v>#DIV/0!</v>
      </c>
      <c r="M70" s="38" t="e">
        <f>Dados!O70/Dados!R70</f>
        <v>#DIV/0!</v>
      </c>
      <c r="N70" s="38">
        <f>Dados!S69/Dados!O69</f>
        <v>3.6781478813888123E-2</v>
      </c>
      <c r="O70" s="38">
        <f>Dados!T69/Dados!V69</f>
        <v>14.892963794896945</v>
      </c>
      <c r="P70" s="38" t="e">
        <f>Dados!V70/Dados!O70</f>
        <v>#DIV/0!</v>
      </c>
      <c r="Q70" s="37">
        <f>Dados!W69/Dados!P69</f>
        <v>0</v>
      </c>
      <c r="R70" s="38">
        <f>Dados!W69/Dados!U69</f>
        <v>0</v>
      </c>
      <c r="S70" s="37">
        <f>Dados!X69/Dados!Y69</f>
        <v>0</v>
      </c>
      <c r="T70" s="38">
        <f>Dados!Z70/Dados!AA70</f>
        <v>0.98098230247017271</v>
      </c>
      <c r="U70" s="38">
        <f>Dados!X70/Dados!AA70</f>
        <v>0.9127235253538869</v>
      </c>
      <c r="V70" s="38" t="e">
        <f>Dados!AB69/Dados!X69</f>
        <v>#DIV/0!</v>
      </c>
      <c r="W70" s="38" t="e">
        <f>Dados!AC69/Dados!AE69</f>
        <v>#DIV/0!</v>
      </c>
      <c r="X70" s="38">
        <f>Dados!AE70/Dados!X70</f>
        <v>6.1769921841993069E-3</v>
      </c>
      <c r="Y70" s="37">
        <f>Dados!AF69/Dados!Y69</f>
        <v>0</v>
      </c>
      <c r="Z70" s="38" t="e">
        <f>Dados!AF69/Dados!AD69</f>
        <v>#DIV/0!</v>
      </c>
      <c r="AA70" s="37">
        <f>Dados!AG69/Dados!AH69</f>
        <v>0</v>
      </c>
      <c r="AB70" s="38">
        <f>Dados!AI70/Dados!AJ70</f>
        <v>0.98062837506151523</v>
      </c>
      <c r="AC70" s="38">
        <f>Dados!AG70/Dados!AJ70</f>
        <v>1.0520910345981065</v>
      </c>
      <c r="AD70" s="38" t="e">
        <f>Dados!AK69/Dados!AG69</f>
        <v>#DIV/0!</v>
      </c>
      <c r="AE70" s="38" t="e">
        <f>Dados!AL69/Dados!AN69</f>
        <v>#DIV/0!</v>
      </c>
      <c r="AF70" s="38">
        <f>Dados!AN70/Dados!AG70</f>
        <v>-3.5212626445903657E-3</v>
      </c>
      <c r="AG70" s="37">
        <f>Dados!AO69/Dados!AH69</f>
        <v>0</v>
      </c>
      <c r="AH70" s="38" t="e">
        <f>Dados!AO69/Dados!AM69</f>
        <v>#DIV/0!</v>
      </c>
      <c r="AI70" s="37">
        <f>Dados!AP69/Dados!AQ69</f>
        <v>0</v>
      </c>
      <c r="AJ70" s="38">
        <f>Dados!AR70/Dados!AS70</f>
        <v>0.98154712580893921</v>
      </c>
      <c r="AK70" s="38">
        <f>Dados!AP70/Dados!AS70</f>
        <v>1.0740066139462916</v>
      </c>
      <c r="AL70" s="38" t="e">
        <f>Dados!AT69/Dados!AP69</f>
        <v>#DIV/0!</v>
      </c>
      <c r="AM70" s="38" t="e">
        <f>Dados!AU69/Dados!AW69</f>
        <v>#DIV/0!</v>
      </c>
      <c r="AN70" s="38">
        <f>Dados!AW70/Dados!AP70</f>
        <v>1.0060159170565E-2</v>
      </c>
      <c r="AO70" s="37">
        <f>Dados!AX69/Dados!AQ69</f>
        <v>0</v>
      </c>
      <c r="AP70" s="39" t="e">
        <f>Dados!AX69/Dados!AV69</f>
        <v>#DIV/0!</v>
      </c>
    </row>
    <row r="71" spans="1:42" x14ac:dyDescent="0.25">
      <c r="A71" s="13">
        <v>216</v>
      </c>
      <c r="B71" s="13" t="s">
        <v>78</v>
      </c>
      <c r="C71" s="37">
        <f>Dados!F71/Dados!G71</f>
        <v>32.794175486320682</v>
      </c>
      <c r="D71" s="38">
        <f>Dados!H71/Dados!I71</f>
        <v>0.99922135646841648</v>
      </c>
      <c r="E71" s="38">
        <f>Dados!F71/Dados!I71</f>
        <v>1.4404759553239472</v>
      </c>
      <c r="F71" s="38">
        <f>Dados!J71/Dados!F71</f>
        <v>0.30578501063899322</v>
      </c>
      <c r="G71" s="38">
        <f>Dados!K71/Dados!M71</f>
        <v>41.465489252472729</v>
      </c>
      <c r="H71" s="38">
        <f>Dados!M71/Dados!F71</f>
        <v>2.1346666576228059E-2</v>
      </c>
      <c r="I71" s="37">
        <f>Dados!N71/Dados!G71</f>
        <v>4.0384841529590119E-2</v>
      </c>
      <c r="J71" s="38">
        <f>Dados!N71/Dados!L71</f>
        <v>1.2314638477932064E-3</v>
      </c>
      <c r="K71" s="37">
        <f>Dados!O70/Dados!P70</f>
        <v>0</v>
      </c>
      <c r="L71" s="38">
        <f>Dados!Q71/Dados!R71</f>
        <v>0.99322397348802349</v>
      </c>
      <c r="M71" s="38">
        <f>Dados!O71/Dados!R71</f>
        <v>1.0015201755184213</v>
      </c>
      <c r="N71" s="38" t="e">
        <f>Dados!S70/Dados!O70</f>
        <v>#DIV/0!</v>
      </c>
      <c r="O71" s="38" t="e">
        <f>Dados!T70/Dados!V70</f>
        <v>#DIV/0!</v>
      </c>
      <c r="P71" s="38">
        <f>Dados!V71/Dados!O71</f>
        <v>0.16004879510351391</v>
      </c>
      <c r="Q71" s="37">
        <f>Dados!W70/Dados!P70</f>
        <v>0</v>
      </c>
      <c r="R71" s="38" t="e">
        <f>Dados!W70/Dados!U70</f>
        <v>#DIV/0!</v>
      </c>
      <c r="S71" s="37">
        <f>Dados!X70/Dados!Y70</f>
        <v>80.75570844276973</v>
      </c>
      <c r="T71" s="38">
        <f>Dados!Z71/Dados!AA71</f>
        <v>1</v>
      </c>
      <c r="U71" s="38">
        <f>Dados!X71/Dados!AA71</f>
        <v>2.4572280753335956</v>
      </c>
      <c r="V71" s="38">
        <f>Dados!AB70/Dados!X70</f>
        <v>-9.5622028162661535E-2</v>
      </c>
      <c r="W71" s="38">
        <f>Dados!AC70/Dados!AE70</f>
        <v>26.351533953132812</v>
      </c>
      <c r="X71" s="38">
        <f>Dados!AE71/Dados!X71</f>
        <v>0.17556703271724686</v>
      </c>
      <c r="Y71" s="37">
        <f>Dados!AF70/Dados!Y70</f>
        <v>5.1933329029496015E-3</v>
      </c>
      <c r="Z71" s="38">
        <f>Dados!AF70/Dados!AD70</f>
        <v>6.4309173965454506E-5</v>
      </c>
      <c r="AA71" s="37">
        <f>Dados!AG70/Dados!AH70</f>
        <v>62.87220282870026</v>
      </c>
      <c r="AB71" s="38" t="e">
        <f>Dados!AI71/Dados!AJ71</f>
        <v>#DIV/0!</v>
      </c>
      <c r="AC71" s="38" t="e">
        <f>Dados!AG71/Dados!AJ71</f>
        <v>#DIV/0!</v>
      </c>
      <c r="AD71" s="38">
        <f>Dados!AK70/Dados!AG70</f>
        <v>4.9511908081229024E-2</v>
      </c>
      <c r="AE71" s="38">
        <f>Dados!AL70/Dados!AN70</f>
        <v>-52.586358327579489</v>
      </c>
      <c r="AF71" s="38" t="e">
        <f>Dados!AN71/Dados!AG71</f>
        <v>#DIV/0!</v>
      </c>
      <c r="AG71" s="37">
        <f>Dados!AO70/Dados!AH70</f>
        <v>5.1859674480624575E-3</v>
      </c>
      <c r="AH71" s="38">
        <f>Dados!AO70/Dados!AM70</f>
        <v>8.2484265140065006E-5</v>
      </c>
      <c r="AI71" s="37">
        <f>Dados!AP70/Dados!AQ70</f>
        <v>53.58900836173143</v>
      </c>
      <c r="AJ71" s="38" t="e">
        <f>Dados!AR71/Dados!AS71</f>
        <v>#DIV/0!</v>
      </c>
      <c r="AK71" s="38" t="e">
        <f>Dados!AP71/Dados!AS71</f>
        <v>#DIV/0!</v>
      </c>
      <c r="AL71" s="38">
        <f>Dados!AT70/Dados!AP70</f>
        <v>6.8907037429094001E-2</v>
      </c>
      <c r="AM71" s="38">
        <f>Dados!AU70/Dados!AW70</f>
        <v>10.300601537439384</v>
      </c>
      <c r="AN71" s="38" t="e">
        <f>Dados!AW71/Dados!AP71</f>
        <v>#DIV/0!</v>
      </c>
      <c r="AO71" s="37">
        <f>Dados!AX70/Dados!AQ70</f>
        <v>5.2256077704357284E-3</v>
      </c>
      <c r="AP71" s="39">
        <f>Dados!AX70/Dados!AV70</f>
        <v>9.7516099797111607E-5</v>
      </c>
    </row>
    <row r="72" spans="1:42" x14ac:dyDescent="0.25">
      <c r="A72" s="13">
        <v>217</v>
      </c>
      <c r="B72" s="13" t="s">
        <v>79</v>
      </c>
      <c r="C72" s="37">
        <f>Dados!F72/Dados!G72</f>
        <v>0</v>
      </c>
      <c r="D72" s="38" t="e">
        <f>Dados!H72/Dados!I72</f>
        <v>#DIV/0!</v>
      </c>
      <c r="E72" s="38" t="e">
        <f>Dados!F72/Dados!I72</f>
        <v>#DIV/0!</v>
      </c>
      <c r="F72" s="38" t="e">
        <f>Dados!J72/Dados!F72</f>
        <v>#DIV/0!</v>
      </c>
      <c r="G72" s="38" t="e">
        <f>Dados!K72/Dados!M72</f>
        <v>#DIV/0!</v>
      </c>
      <c r="H72" s="38" t="e">
        <f>Dados!M72/Dados!F72</f>
        <v>#DIV/0!</v>
      </c>
      <c r="I72" s="37">
        <f>Dados!N72/Dados!G72</f>
        <v>0</v>
      </c>
      <c r="J72" s="38" t="e">
        <f>Dados!N72/Dados!L72</f>
        <v>#DIV/0!</v>
      </c>
      <c r="K72" s="37">
        <f>Dados!O71/Dados!P71</f>
        <v>18.344324513648399</v>
      </c>
      <c r="L72" s="38">
        <f>Dados!Q72/Dados!R72</f>
        <v>1</v>
      </c>
      <c r="M72" s="38">
        <f>Dados!O72/Dados!R72</f>
        <v>1.0207663517055989</v>
      </c>
      <c r="N72" s="38">
        <f>Dados!S71/Dados!O71</f>
        <v>1.5178680925069272E-3</v>
      </c>
      <c r="O72" s="38">
        <f>Dados!T71/Dados!V71</f>
        <v>8.7283995265906231</v>
      </c>
      <c r="P72" s="38">
        <f>Dados!V72/Dados!O72</f>
        <v>4.6852162126535798E-2</v>
      </c>
      <c r="Q72" s="37">
        <f>Dados!W71/Dados!P71</f>
        <v>4.0818486015079238E-2</v>
      </c>
      <c r="R72" s="38">
        <f>Dados!W71/Dados!U71</f>
        <v>2.2251288666807977E-3</v>
      </c>
      <c r="S72" s="37">
        <f>Dados!X71/Dados!Y71</f>
        <v>18.334593281349516</v>
      </c>
      <c r="T72" s="38">
        <f>Dados!Z72/Dados!AA72</f>
        <v>1</v>
      </c>
      <c r="U72" s="38">
        <f>Dados!X72/Dados!AA72</f>
        <v>0.94493617941662122</v>
      </c>
      <c r="V72" s="38">
        <f>Dados!AB71/Dados!X71</f>
        <v>0.59303737001937074</v>
      </c>
      <c r="W72" s="38">
        <f>Dados!AC71/Dados!AE71</f>
        <v>10.000428881014829</v>
      </c>
      <c r="X72" s="38">
        <f>Dados!AE72/Dados!X72</f>
        <v>0.22257355004831306</v>
      </c>
      <c r="Y72" s="37">
        <f>Dados!AF71/Dados!Y71</f>
        <v>4.1261544363166119E-2</v>
      </c>
      <c r="Z72" s="38">
        <f>Dados!AF71/Dados!AD71</f>
        <v>2.2504750299063665E-3</v>
      </c>
      <c r="AA72" s="37">
        <f>Dados!AG71/Dados!AH71</f>
        <v>0</v>
      </c>
      <c r="AB72" s="38">
        <f>Dados!AI72/Dados!AJ72</f>
        <v>1</v>
      </c>
      <c r="AC72" s="38">
        <f>Dados!AG72/Dados!AJ72</f>
        <v>0</v>
      </c>
      <c r="AD72" s="38" t="e">
        <f>Dados!AK71/Dados!AG71</f>
        <v>#DIV/0!</v>
      </c>
      <c r="AE72" s="38" t="e">
        <f>Dados!AL71/Dados!AN71</f>
        <v>#DIV/0!</v>
      </c>
      <c r="AF72" s="38" t="e">
        <f>Dados!AN72/Dados!AG72</f>
        <v>#DIV/0!</v>
      </c>
      <c r="AG72" s="37">
        <f>Dados!AO71/Dados!AH71</f>
        <v>0</v>
      </c>
      <c r="AH72" s="38" t="e">
        <f>Dados!AO71/Dados!AM71</f>
        <v>#DIV/0!</v>
      </c>
      <c r="AI72" s="37">
        <f>Dados!AP71/Dados!AQ71</f>
        <v>0</v>
      </c>
      <c r="AJ72" s="38" t="e">
        <f>Dados!AR72/Dados!AS72</f>
        <v>#DIV/0!</v>
      </c>
      <c r="AK72" s="38" t="e">
        <f>Dados!AP72/Dados!AS72</f>
        <v>#DIV/0!</v>
      </c>
      <c r="AL72" s="38" t="e">
        <f>Dados!AT71/Dados!AP71</f>
        <v>#DIV/0!</v>
      </c>
      <c r="AM72" s="38" t="e">
        <f>Dados!AU71/Dados!AW71</f>
        <v>#DIV/0!</v>
      </c>
      <c r="AN72" s="38">
        <f>Dados!AW72/Dados!AP72</f>
        <v>1.655967154551467E-2</v>
      </c>
      <c r="AO72" s="37">
        <f>Dados!AX71/Dados!AQ71</f>
        <v>0</v>
      </c>
      <c r="AP72" s="39" t="e">
        <f>Dados!AX71/Dados!AV71</f>
        <v>#DIV/0!</v>
      </c>
    </row>
    <row r="73" spans="1:42" ht="25.5" x14ac:dyDescent="0.25">
      <c r="A73" s="13">
        <v>220</v>
      </c>
      <c r="B73" s="13" t="s">
        <v>80</v>
      </c>
      <c r="C73" s="37">
        <f>Dados!F73/Dados!G73</f>
        <v>1.3840016957923154</v>
      </c>
      <c r="D73" s="38">
        <f>Dados!H73/Dados!I73</f>
        <v>0.99239779751956447</v>
      </c>
      <c r="E73" s="38">
        <f>Dados!F73/Dados!I73</f>
        <v>1.2348371707428163</v>
      </c>
      <c r="F73" s="38">
        <f>Dados!J73/Dados!F73</f>
        <v>0.19017662920006687</v>
      </c>
      <c r="G73" s="38" t="e">
        <f>Dados!K73/Dados!M73</f>
        <v>#DIV/0!</v>
      </c>
      <c r="H73" s="38">
        <f>Dados!M73/Dados!F73</f>
        <v>0</v>
      </c>
      <c r="I73" s="37">
        <f>Dados!N73/Dados!G73</f>
        <v>0</v>
      </c>
      <c r="J73" s="38">
        <f>Dados!N73/Dados!L73</f>
        <v>0</v>
      </c>
      <c r="K73" s="37">
        <f>Dados!O72/Dados!P72</f>
        <v>79.129723180903071</v>
      </c>
      <c r="L73" s="38">
        <f>Dados!Q73/Dados!R73</f>
        <v>0.98777615903499094</v>
      </c>
      <c r="M73" s="38">
        <f>Dados!O73/Dados!R73</f>
        <v>1.0828106987420907</v>
      </c>
      <c r="N73" s="38">
        <f>Dados!S72/Dados!O72</f>
        <v>2.0343883466476465E-2</v>
      </c>
      <c r="O73" s="38">
        <f>Dados!T72/Dados!V72</f>
        <v>2.7933412848484851</v>
      </c>
      <c r="P73" s="38">
        <f>Dados!V73/Dados!O73</f>
        <v>3.2698822931071007E-3</v>
      </c>
      <c r="Q73" s="37">
        <f>Dados!W72/Dados!P72</f>
        <v>0</v>
      </c>
      <c r="R73" s="38">
        <f>Dados!W72/Dados!U72</f>
        <v>0</v>
      </c>
      <c r="S73" s="37">
        <f>Dados!X72/Dados!Y72</f>
        <v>39.113098027800014</v>
      </c>
      <c r="T73" s="38">
        <f>Dados!Z73/Dados!AA73</f>
        <v>0.99702416600445087</v>
      </c>
      <c r="U73" s="38">
        <f>Dados!X73/Dados!AA73</f>
        <v>0.97783128404628883</v>
      </c>
      <c r="V73" s="38">
        <f>Dados!AB72/Dados!X72</f>
        <v>-5.827252864566336E-2</v>
      </c>
      <c r="W73" s="38">
        <f>Dados!AC72/Dados!AE72</f>
        <v>1.2896095762314288</v>
      </c>
      <c r="X73" s="38">
        <f>Dados!AE73/Dados!X73</f>
        <v>2.3193649943900798E-2</v>
      </c>
      <c r="Y73" s="37">
        <f>Dados!AF72/Dados!Y72</f>
        <v>0</v>
      </c>
      <c r="Z73" s="38">
        <f>Dados!AF72/Dados!AD72</f>
        <v>0</v>
      </c>
      <c r="AA73" s="37">
        <f>Dados!AG72/Dados!AH72</f>
        <v>0</v>
      </c>
      <c r="AB73" s="38">
        <f>Dados!AI73/Dados!AJ73</f>
        <v>1</v>
      </c>
      <c r="AC73" s="38">
        <f>Dados!AG73/Dados!AJ73</f>
        <v>0.97918965921665069</v>
      </c>
      <c r="AD73" s="38" t="e">
        <f>Dados!AK72/Dados!AG72</f>
        <v>#DIV/0!</v>
      </c>
      <c r="AE73" s="38">
        <f>Dados!AL72/Dados!AN72</f>
        <v>7.6757764543658338</v>
      </c>
      <c r="AF73" s="38">
        <f>Dados!AN73/Dados!AG73</f>
        <v>3.6924341543796695E-2</v>
      </c>
      <c r="AG73" s="37">
        <f>Dados!AO72/Dados!AH72</f>
        <v>0</v>
      </c>
      <c r="AH73" s="38" t="e">
        <f>Dados!AO72/Dados!AM72</f>
        <v>#DIV/0!</v>
      </c>
      <c r="AI73" s="37">
        <f>Dados!AP72/Dados!AQ72</f>
        <v>35.564369052847312</v>
      </c>
      <c r="AJ73" s="38">
        <f>Dados!AR73/Dados!AS73</f>
        <v>1</v>
      </c>
      <c r="AK73" s="38">
        <f>Dados!AP73/Dados!AS73</f>
        <v>0.87924067951629514</v>
      </c>
      <c r="AL73" s="38">
        <f>Dados!AT72/Dados!AP72</f>
        <v>0.17675215594718052</v>
      </c>
      <c r="AM73" s="38">
        <f>Dados!AU72/Dados!AW72</f>
        <v>13.650459481830767</v>
      </c>
      <c r="AN73" s="38">
        <f>Dados!AW73/Dados!AP73</f>
        <v>6.8342791923192998E-3</v>
      </c>
      <c r="AO73" s="37">
        <f>Dados!AX72/Dados!AQ72</f>
        <v>0</v>
      </c>
      <c r="AP73" s="39">
        <f>Dados!AX72/Dados!AV72</f>
        <v>0</v>
      </c>
    </row>
    <row r="74" spans="1:42" ht="38.25" x14ac:dyDescent="0.25">
      <c r="A74" s="13">
        <v>223</v>
      </c>
      <c r="B74" s="13" t="s">
        <v>81</v>
      </c>
      <c r="C74" s="37">
        <f>Dados!F74/Dados!G74</f>
        <v>167.1046738450724</v>
      </c>
      <c r="D74" s="38">
        <f>Dados!H74/Dados!I74</f>
        <v>0.99730459719716036</v>
      </c>
      <c r="E74" s="38">
        <f>Dados!F74/Dados!I74</f>
        <v>1.0344071540686537</v>
      </c>
      <c r="F74" s="38">
        <f>Dados!J74/Dados!F74</f>
        <v>3.3262679916046048E-2</v>
      </c>
      <c r="G74" s="38">
        <f>Dados!K74/Dados!M74</f>
        <v>1.5554744013523543</v>
      </c>
      <c r="H74" s="38">
        <f>Dados!M74/Dados!F74</f>
        <v>6.0042976189153163E-2</v>
      </c>
      <c r="I74" s="37">
        <f>Dados!N74/Dados!G74</f>
        <v>0</v>
      </c>
      <c r="J74" s="38">
        <f>Dados!N74/Dados!L74</f>
        <v>0</v>
      </c>
      <c r="K74" s="37">
        <f>Dados!O73/Dados!P73</f>
        <v>2.2391533083597963</v>
      </c>
      <c r="L74" s="38">
        <f>Dados!Q74/Dados!R74</f>
        <v>0.99415333334662348</v>
      </c>
      <c r="M74" s="38">
        <f>Dados!O74/Dados!R74</f>
        <v>0.93637756290561847</v>
      </c>
      <c r="N74" s="38">
        <f>Dados!S73/Dados!O73</f>
        <v>7.6477540200048405E-2</v>
      </c>
      <c r="O74" s="38">
        <f>Dados!T73/Dados!V73</f>
        <v>15.483012062099613</v>
      </c>
      <c r="P74" s="38">
        <f>Dados!V74/Dados!O74</f>
        <v>6.693403994283402E-2</v>
      </c>
      <c r="Q74" s="37">
        <f>Dados!W73/Dados!P73</f>
        <v>0</v>
      </c>
      <c r="R74" s="38">
        <f>Dados!W73/Dados!U73</f>
        <v>0</v>
      </c>
      <c r="S74" s="37">
        <f>Dados!X73/Dados!Y73</f>
        <v>2.9645887613313824</v>
      </c>
      <c r="T74" s="38">
        <f>Dados!Z74/Dados!AA74</f>
        <v>0.98793582224770493</v>
      </c>
      <c r="U74" s="38">
        <f>Dados!X74/Dados!AA74</f>
        <v>1.3072035914029807</v>
      </c>
      <c r="V74" s="38">
        <f>Dados!AB73/Dados!X73</f>
        <v>-2.2671309780534363E-2</v>
      </c>
      <c r="W74" s="38">
        <f>Dados!AC73/Dados!AE73</f>
        <v>3.5639590531565873E-2</v>
      </c>
      <c r="X74" s="38">
        <f>Dados!AE74/Dados!X74</f>
        <v>6.7493061792103237E-2</v>
      </c>
      <c r="Y74" s="37">
        <f>Dados!AF73/Dados!Y73</f>
        <v>0</v>
      </c>
      <c r="Z74" s="38">
        <f>Dados!AF73/Dados!AD73</f>
        <v>0</v>
      </c>
      <c r="AA74" s="37">
        <f>Dados!AG73/Dados!AH73</f>
        <v>2.2569435064182848</v>
      </c>
      <c r="AB74" s="38" t="e">
        <f>Dados!AI74/Dados!AJ74</f>
        <v>#DIV/0!</v>
      </c>
      <c r="AC74" s="38" t="e">
        <f>Dados!AG74/Dados!AJ74</f>
        <v>#DIV/0!</v>
      </c>
      <c r="AD74" s="38">
        <f>Dados!AK73/Dados!AG73</f>
        <v>-2.1252614942847369E-2</v>
      </c>
      <c r="AE74" s="38">
        <f>Dados!AL73/Dados!AN73</f>
        <v>0.92335745556288751</v>
      </c>
      <c r="AF74" s="38" t="e">
        <f>Dados!AN74/Dados!AG74</f>
        <v>#DIV/0!</v>
      </c>
      <c r="AG74" s="37">
        <f>Dados!AO73/Dados!AH73</f>
        <v>0</v>
      </c>
      <c r="AH74" s="38">
        <f>Dados!AO73/Dados!AM73</f>
        <v>0</v>
      </c>
      <c r="AI74" s="37">
        <f>Dados!AP73/Dados!AQ73</f>
        <v>1.5864216056791471</v>
      </c>
      <c r="AJ74" s="38" t="e">
        <f>Dados!AR74/Dados!AS74</f>
        <v>#DIV/0!</v>
      </c>
      <c r="AK74" s="38" t="e">
        <f>Dados!AP74/Dados!AS74</f>
        <v>#DIV/0!</v>
      </c>
      <c r="AL74" s="38">
        <f>Dados!AT73/Dados!AP73</f>
        <v>-0.13734501064047594</v>
      </c>
      <c r="AM74" s="38">
        <f>Dados!AU73/Dados!AW73</f>
        <v>4.8219150560533617</v>
      </c>
      <c r="AN74" s="38" t="e">
        <f>Dados!AW74/Dados!AP74</f>
        <v>#DIV/0!</v>
      </c>
      <c r="AO74" s="37">
        <f>Dados!AX73/Dados!AQ73</f>
        <v>0</v>
      </c>
      <c r="AP74" s="39">
        <f>Dados!AX73/Dados!AV73</f>
        <v>0</v>
      </c>
    </row>
    <row r="75" spans="1:42" ht="25.5" x14ac:dyDescent="0.25">
      <c r="A75" s="13">
        <v>225</v>
      </c>
      <c r="B75" s="13" t="s">
        <v>82</v>
      </c>
      <c r="C75" s="37">
        <f>Dados!F75/Dados!G75</f>
        <v>47.285740685310294</v>
      </c>
      <c r="D75" s="38">
        <f>Dados!H75/Dados!I75</f>
        <v>0.99436702829260659</v>
      </c>
      <c r="E75" s="38">
        <f>Dados!F75/Dados!I75</f>
        <v>0.9923741127163741</v>
      </c>
      <c r="F75" s="38">
        <f>Dados!J75/Dados!F75</f>
        <v>-7.6844883254279517E-3</v>
      </c>
      <c r="G75" s="38">
        <f>Dados!K75/Dados!M75</f>
        <v>9.7620738721329161</v>
      </c>
      <c r="H75" s="38">
        <f>Dados!M75/Dados!F75</f>
        <v>9.3858470629891808E-3</v>
      </c>
      <c r="I75" s="37">
        <f>Dados!N75/Dados!G75</f>
        <v>0</v>
      </c>
      <c r="J75" s="38">
        <f>Dados!N75/Dados!L75</f>
        <v>0</v>
      </c>
      <c r="K75" s="37">
        <f>Dados!O74/Dados!P74</f>
        <v>93.151173683370928</v>
      </c>
      <c r="L75" s="38">
        <f>Dados!Q75/Dados!R75</f>
        <v>0.99968271985728852</v>
      </c>
      <c r="M75" s="38">
        <f>Dados!O75/Dados!R75</f>
        <v>0.88341776007066486</v>
      </c>
      <c r="N75" s="38">
        <f>Dados!S74/Dados!O74</f>
        <v>-6.7945281491964049E-2</v>
      </c>
      <c r="O75" s="38">
        <f>Dados!T74/Dados!V74</f>
        <v>1.5736070667724551</v>
      </c>
      <c r="P75" s="38">
        <f>Dados!V75/Dados!O75</f>
        <v>1.537147065818311E-2</v>
      </c>
      <c r="Q75" s="37">
        <f>Dados!W74/Dados!P74</f>
        <v>0</v>
      </c>
      <c r="R75" s="38">
        <f>Dados!W74/Dados!U74</f>
        <v>0</v>
      </c>
      <c r="S75" s="37">
        <f>Dados!X74/Dados!Y74</f>
        <v>14.323110337338846</v>
      </c>
      <c r="T75" s="38">
        <f>Dados!Z75/Dados!AA75</f>
        <v>1</v>
      </c>
      <c r="U75" s="38">
        <f>Dados!X75/Dados!AA75</f>
        <v>1.8050170978993223</v>
      </c>
      <c r="V75" s="38">
        <f>Dados!AB74/Dados!X74</f>
        <v>0.2350082216904473</v>
      </c>
      <c r="W75" s="38">
        <f>Dados!AC74/Dados!AE74</f>
        <v>4.7073483099286406</v>
      </c>
      <c r="X75" s="38">
        <f>Dados!AE75/Dados!X75</f>
        <v>8.8650092590183194E-2</v>
      </c>
      <c r="Y75" s="37">
        <f>Dados!AF74/Dados!Y74</f>
        <v>0</v>
      </c>
      <c r="Z75" s="38">
        <f>Dados!AF74/Dados!AD74</f>
        <v>0</v>
      </c>
      <c r="AA75" s="37">
        <f>Dados!AG74/Dados!AH74</f>
        <v>0</v>
      </c>
      <c r="AB75" s="38">
        <f>Dados!AI75/Dados!AJ75</f>
        <v>1</v>
      </c>
      <c r="AC75" s="38">
        <f>Dados!AG75/Dados!AJ75</f>
        <v>0.93588573375686146</v>
      </c>
      <c r="AD75" s="38" t="e">
        <f>Dados!AK74/Dados!AG74</f>
        <v>#DIV/0!</v>
      </c>
      <c r="AE75" s="38" t="e">
        <f>Dados!AL74/Dados!AN74</f>
        <v>#DIV/0!</v>
      </c>
      <c r="AF75" s="38">
        <f>Dados!AN75/Dados!AG75</f>
        <v>3.9301616501426287E-2</v>
      </c>
      <c r="AG75" s="37">
        <f>Dados!AO74/Dados!AH74</f>
        <v>0</v>
      </c>
      <c r="AH75" s="38" t="e">
        <f>Dados!AO74/Dados!AM74</f>
        <v>#DIV/0!</v>
      </c>
      <c r="AI75" s="37">
        <f>Dados!AP74/Dados!AQ74</f>
        <v>0</v>
      </c>
      <c r="AJ75" s="38" t="e">
        <f>Dados!AR75/Dados!AS75</f>
        <v>#DIV/0!</v>
      </c>
      <c r="AK75" s="38" t="e">
        <f>Dados!AP75/Dados!AS75</f>
        <v>#DIV/0!</v>
      </c>
      <c r="AL75" s="38" t="e">
        <f>Dados!AT74/Dados!AP74</f>
        <v>#DIV/0!</v>
      </c>
      <c r="AM75" s="38" t="e">
        <f>Dados!AU74/Dados!AW74</f>
        <v>#DIV/0!</v>
      </c>
      <c r="AN75" s="38" t="e">
        <f>Dados!AW75/Dados!AP75</f>
        <v>#DIV/0!</v>
      </c>
      <c r="AO75" s="37">
        <f>Dados!AX74/Dados!AQ74</f>
        <v>0</v>
      </c>
      <c r="AP75" s="39" t="e">
        <f>Dados!AX74/Dados!AV74</f>
        <v>#DIV/0!</v>
      </c>
    </row>
    <row r="76" spans="1:42" x14ac:dyDescent="0.25">
      <c r="A76" s="13">
        <v>226</v>
      </c>
      <c r="B76" s="13" t="s">
        <v>83</v>
      </c>
      <c r="C76" s="37">
        <f>Dados!F76/Dados!G76</f>
        <v>219.00423768019172</v>
      </c>
      <c r="D76" s="38">
        <f>Dados!H76/Dados!I76</f>
        <v>0.99888598555623009</v>
      </c>
      <c r="E76" s="38">
        <f>Dados!F76/Dados!I76</f>
        <v>1.0485169859591408</v>
      </c>
      <c r="F76" s="38">
        <f>Dados!J76/Dados!F76</f>
        <v>4.6272007615364825E-2</v>
      </c>
      <c r="G76" s="38">
        <f>Dados!K76/Dados!M76</f>
        <v>30.22284040351806</v>
      </c>
      <c r="H76" s="38">
        <f>Dados!M76/Dados!F76</f>
        <v>2.6867844231498106E-3</v>
      </c>
      <c r="I76" s="37">
        <f>Dados!N76/Dados!G76</f>
        <v>0</v>
      </c>
      <c r="J76" s="38">
        <f>Dados!N76/Dados!L76</f>
        <v>0</v>
      </c>
      <c r="K76" s="37">
        <f>Dados!O75/Dados!P75</f>
        <v>22.597732806313456</v>
      </c>
      <c r="L76" s="38">
        <f>Dados!Q76/Dados!R76</f>
        <v>0.99720470077690826</v>
      </c>
      <c r="M76" s="38">
        <f>Dados!O76/Dados!R76</f>
        <v>0.99845652953964326</v>
      </c>
      <c r="N76" s="38">
        <f>Dados!S75/Dados!O75</f>
        <v>-0.1319672811649267</v>
      </c>
      <c r="O76" s="38">
        <f>Dados!T75/Dados!V75</f>
        <v>17.715045776375632</v>
      </c>
      <c r="P76" s="38">
        <f>Dados!V76/Dados!O76</f>
        <v>1.7556282256874271E-2</v>
      </c>
      <c r="Q76" s="37">
        <f>Dados!W75/Dados!P75</f>
        <v>0</v>
      </c>
      <c r="R76" s="38">
        <f>Dados!W75/Dados!U75</f>
        <v>0</v>
      </c>
      <c r="S76" s="37">
        <f>Dados!X75/Dados!Y75</f>
        <v>3.7448383829403507</v>
      </c>
      <c r="T76" s="38" t="e">
        <f>Dados!Z76/Dados!AA76</f>
        <v>#DIV/0!</v>
      </c>
      <c r="U76" s="38" t="e">
        <f>Dados!X76/Dados!AA76</f>
        <v>#DIV/0!</v>
      </c>
      <c r="V76" s="38">
        <f>Dados!AB75/Dados!X75</f>
        <v>0.445988627385414</v>
      </c>
      <c r="W76" s="38">
        <f>Dados!AC75/Dados!AE75</f>
        <v>13.872465891721763</v>
      </c>
      <c r="X76" s="38" t="e">
        <f>Dados!AE76/Dados!X76</f>
        <v>#DIV/0!</v>
      </c>
      <c r="Y76" s="37">
        <f>Dados!AF75/Dados!Y75</f>
        <v>0</v>
      </c>
      <c r="Z76" s="38">
        <f>Dados!AF75/Dados!AD75</f>
        <v>0</v>
      </c>
      <c r="AA76" s="37">
        <f>Dados!AG75/Dados!AH75</f>
        <v>1.3995861090579624</v>
      </c>
      <c r="AB76" s="38" t="e">
        <f>Dados!AI76/Dados!AJ76</f>
        <v>#DIV/0!</v>
      </c>
      <c r="AC76" s="38" t="e">
        <f>Dados!AG76/Dados!AJ76</f>
        <v>#DIV/0!</v>
      </c>
      <c r="AD76" s="38">
        <f>Dados!AK75/Dados!AG75</f>
        <v>-6.8506510923902073E-2</v>
      </c>
      <c r="AE76" s="38">
        <f>Dados!AL75/Dados!AN75</f>
        <v>27.110972379141543</v>
      </c>
      <c r="AF76" s="38" t="e">
        <f>Dados!AN76/Dados!AG76</f>
        <v>#DIV/0!</v>
      </c>
      <c r="AG76" s="37">
        <f>Dados!AO75/Dados!AH75</f>
        <v>0</v>
      </c>
      <c r="AH76" s="38">
        <f>Dados!AO75/Dados!AM75</f>
        <v>0</v>
      </c>
      <c r="AI76" s="37">
        <f>Dados!AP75/Dados!AQ75</f>
        <v>0</v>
      </c>
      <c r="AJ76" s="38" t="e">
        <f>Dados!AR76/Dados!AS76</f>
        <v>#DIV/0!</v>
      </c>
      <c r="AK76" s="38" t="e">
        <f>Dados!AP76/Dados!AS76</f>
        <v>#DIV/0!</v>
      </c>
      <c r="AL76" s="38" t="e">
        <f>Dados!AT75/Dados!AP75</f>
        <v>#DIV/0!</v>
      </c>
      <c r="AM76" s="38" t="e">
        <f>Dados!AU75/Dados!AW75</f>
        <v>#DIV/0!</v>
      </c>
      <c r="AN76" s="38" t="e">
        <f>Dados!AW76/Dados!AP76</f>
        <v>#DIV/0!</v>
      </c>
      <c r="AO76" s="37">
        <f>Dados!AX75/Dados!AQ75</f>
        <v>0</v>
      </c>
      <c r="AP76" s="39" t="e">
        <f>Dados!AX75/Dados!AV75</f>
        <v>#DIV/0!</v>
      </c>
    </row>
    <row r="77" spans="1:42" x14ac:dyDescent="0.25">
      <c r="A77" s="13">
        <v>227</v>
      </c>
      <c r="B77" s="13" t="s">
        <v>84</v>
      </c>
      <c r="C77" s="37">
        <f>Dados!F77/Dados!G77</f>
        <v>207.68375812696547</v>
      </c>
      <c r="D77" s="38">
        <f>Dados!H77/Dados!I77</f>
        <v>0.99915897793903974</v>
      </c>
      <c r="E77" s="38">
        <f>Dados!F77/Dados!I77</f>
        <v>0.98409399791102903</v>
      </c>
      <c r="F77" s="38">
        <f>Dados!J77/Dados!F77</f>
        <v>-1.6163092268355675E-2</v>
      </c>
      <c r="G77" s="38">
        <f>Dados!K77/Dados!M77</f>
        <v>291.34219868923941</v>
      </c>
      <c r="H77" s="38">
        <f>Dados!M77/Dados!F77</f>
        <v>2.8343769618848776E-4</v>
      </c>
      <c r="I77" s="37">
        <f>Dados!N77/Dados!G77</f>
        <v>0</v>
      </c>
      <c r="J77" s="38">
        <f>Dados!N77/Dados!L77</f>
        <v>0</v>
      </c>
      <c r="K77" s="37">
        <f>Dados!O76/Dados!P76</f>
        <v>158.94027123133759</v>
      </c>
      <c r="L77" s="38">
        <f>Dados!Q77/Dados!R77</f>
        <v>0.99607477648631482</v>
      </c>
      <c r="M77" s="38">
        <f>Dados!O77/Dados!R77</f>
        <v>0.98702150699582802</v>
      </c>
      <c r="N77" s="38">
        <f>Dados!S76/Dados!O76</f>
        <v>-1.5458564441142015E-3</v>
      </c>
      <c r="O77" s="38">
        <f>Dados!T76/Dados!V76</f>
        <v>3.4535088892582619</v>
      </c>
      <c r="P77" s="38">
        <f>Dados!V77/Dados!O77</f>
        <v>7.0593140217885806E-4</v>
      </c>
      <c r="Q77" s="37">
        <f>Dados!W76/Dados!P76</f>
        <v>0</v>
      </c>
      <c r="R77" s="38">
        <f>Dados!W76/Dados!U76</f>
        <v>0</v>
      </c>
      <c r="S77" s="37">
        <f>Dados!X76/Dados!Y76</f>
        <v>0</v>
      </c>
      <c r="T77" s="38">
        <f>Dados!Z77/Dados!AA77</f>
        <v>0.99335281411920073</v>
      </c>
      <c r="U77" s="38">
        <f>Dados!X77/Dados!AA77</f>
        <v>1.0525852353822376</v>
      </c>
      <c r="V77" s="38" t="e">
        <f>Dados!AB76/Dados!X76</f>
        <v>#DIV/0!</v>
      </c>
      <c r="W77" s="38" t="e">
        <f>Dados!AC76/Dados!AE76</f>
        <v>#DIV/0!</v>
      </c>
      <c r="X77" s="38">
        <f>Dados!AE77/Dados!X77</f>
        <v>3.0194973868585221E-4</v>
      </c>
      <c r="Y77" s="37">
        <f>Dados!AF76/Dados!Y76</f>
        <v>0</v>
      </c>
      <c r="Z77" s="38" t="e">
        <f>Dados!AF76/Dados!AD76</f>
        <v>#DIV/0!</v>
      </c>
      <c r="AA77" s="37">
        <f>Dados!AG76/Dados!AH76</f>
        <v>0</v>
      </c>
      <c r="AB77" s="38">
        <f>Dados!AI77/Dados!AJ77</f>
        <v>0.9964634921046357</v>
      </c>
      <c r="AC77" s="38">
        <f>Dados!AG77/Dados!AJ77</f>
        <v>1.0162787673303624</v>
      </c>
      <c r="AD77" s="38" t="e">
        <f>Dados!AK76/Dados!AG76</f>
        <v>#DIV/0!</v>
      </c>
      <c r="AE77" s="38" t="e">
        <f>Dados!AL76/Dados!AN76</f>
        <v>#DIV/0!</v>
      </c>
      <c r="AF77" s="38">
        <f>Dados!AN77/Dados!AG77</f>
        <v>8.4486747312863692E-6</v>
      </c>
      <c r="AG77" s="37">
        <f>Dados!AO76/Dados!AH76</f>
        <v>0</v>
      </c>
      <c r="AH77" s="38" t="e">
        <f>Dados!AO76/Dados!AM76</f>
        <v>#DIV/0!</v>
      </c>
      <c r="AI77" s="37">
        <f>Dados!AP76/Dados!AQ76</f>
        <v>0</v>
      </c>
      <c r="AJ77" s="38" t="e">
        <f>Dados!AR77/Dados!AS77</f>
        <v>#DIV/0!</v>
      </c>
      <c r="AK77" s="38" t="e">
        <f>Dados!AP77/Dados!AS77</f>
        <v>#DIV/0!</v>
      </c>
      <c r="AL77" s="38" t="e">
        <f>Dados!AT76/Dados!AP76</f>
        <v>#DIV/0!</v>
      </c>
      <c r="AM77" s="38" t="e">
        <f>Dados!AU76/Dados!AW76</f>
        <v>#DIV/0!</v>
      </c>
      <c r="AN77" s="38" t="e">
        <f>Dados!AW77/Dados!AP77</f>
        <v>#DIV/0!</v>
      </c>
      <c r="AO77" s="37">
        <f>Dados!AX76/Dados!AQ76</f>
        <v>0</v>
      </c>
      <c r="AP77" s="39" t="e">
        <f>Dados!AX76/Dados!AV76</f>
        <v>#DIV/0!</v>
      </c>
    </row>
    <row r="78" spans="1:42" x14ac:dyDescent="0.25">
      <c r="A78" s="13">
        <v>229</v>
      </c>
      <c r="B78" s="13" t="s">
        <v>85</v>
      </c>
      <c r="C78" s="37">
        <f>Dados!F78/Dados!G78</f>
        <v>11.92855340967356</v>
      </c>
      <c r="D78" s="38">
        <f>Dados!H78/Dados!I78</f>
        <v>1</v>
      </c>
      <c r="E78" s="38">
        <f>Dados!F78/Dados!I78</f>
        <v>0.98449403507251487</v>
      </c>
      <c r="F78" s="38">
        <f>Dados!J78/Dados!F78</f>
        <v>-1.5750186771160132E-2</v>
      </c>
      <c r="G78" s="38">
        <f>Dados!K78/Dados!M78</f>
        <v>-2.0499713231850731</v>
      </c>
      <c r="H78" s="38">
        <f>Dados!M78/Dados!F78</f>
        <v>-5.446000876350829E-3</v>
      </c>
      <c r="I78" s="37">
        <f>Dados!N78/Dados!G78</f>
        <v>0</v>
      </c>
      <c r="J78" s="38">
        <f>Dados!N78/Dados!L78</f>
        <v>0</v>
      </c>
      <c r="K78" s="37">
        <f>Dados!O77/Dados!P77</f>
        <v>180.40148404036995</v>
      </c>
      <c r="L78" s="38">
        <f>Dados!Q78/Dados!R78</f>
        <v>0.97524518799502613</v>
      </c>
      <c r="M78" s="38">
        <f>Dados!O78/Dados!R78</f>
        <v>0.98472691701077097</v>
      </c>
      <c r="N78" s="38">
        <f>Dados!S77/Dados!O77</f>
        <v>-1.3149149144352652E-2</v>
      </c>
      <c r="O78" s="38">
        <f>Dados!T77/Dados!V77</f>
        <v>148.45556766629625</v>
      </c>
      <c r="P78" s="38">
        <f>Dados!V78/Dados!O78</f>
        <v>0</v>
      </c>
      <c r="Q78" s="37">
        <f>Dados!W77/Dados!P77</f>
        <v>0</v>
      </c>
      <c r="R78" s="38">
        <f>Dados!W77/Dados!U77</f>
        <v>0</v>
      </c>
      <c r="S78" s="37">
        <f>Dados!X77/Dados!Y77</f>
        <v>131.71694259762148</v>
      </c>
      <c r="T78" s="38">
        <f>Dados!Z78/Dados!AA78</f>
        <v>1</v>
      </c>
      <c r="U78" s="38">
        <f>Dados!X78/Dados!AA78</f>
        <v>0.97779354598435708</v>
      </c>
      <c r="V78" s="38">
        <f>Dados!AB77/Dados!X77</f>
        <v>4.9958173090981897E-2</v>
      </c>
      <c r="W78" s="38">
        <f>Dados!AC77/Dados!AE77</f>
        <v>463.42411736214819</v>
      </c>
      <c r="X78" s="38">
        <f>Dados!AE78/Dados!X78</f>
        <v>0</v>
      </c>
      <c r="Y78" s="37">
        <f>Dados!AF77/Dados!Y77</f>
        <v>0</v>
      </c>
      <c r="Z78" s="38">
        <f>Dados!AF77/Dados!AD77</f>
        <v>0</v>
      </c>
      <c r="AA78" s="37">
        <f>Dados!AG77/Dados!AH77</f>
        <v>92.512973196290702</v>
      </c>
      <c r="AB78" s="38">
        <f>Dados!AI78/Dados!AJ78</f>
        <v>0.95464701940285435</v>
      </c>
      <c r="AC78" s="38">
        <f>Dados!AG78/Dados!AJ78</f>
        <v>1.0430855368958858</v>
      </c>
      <c r="AD78" s="38">
        <f>Dados!AK77/Dados!AG77</f>
        <v>1.6018013810447523E-2</v>
      </c>
      <c r="AE78" s="38">
        <f>Dados!AL77/Dados!AN77</f>
        <v>17260.875357142857</v>
      </c>
      <c r="AF78" s="38">
        <f>Dados!AN78/Dados!AG78</f>
        <v>0</v>
      </c>
      <c r="AG78" s="37">
        <f>Dados!AO77/Dados!AH77</f>
        <v>0</v>
      </c>
      <c r="AH78" s="38">
        <f>Dados!AO77/Dados!AM77</f>
        <v>0</v>
      </c>
      <c r="AI78" s="37">
        <f>Dados!AP77/Dados!AQ77</f>
        <v>0</v>
      </c>
      <c r="AJ78" s="38">
        <f>Dados!AR78/Dados!AS78</f>
        <v>0.97817932671693952</v>
      </c>
      <c r="AK78" s="38">
        <f>Dados!AP78/Dados!AS78</f>
        <v>0.91985337581012039</v>
      </c>
      <c r="AL78" s="38" t="e">
        <f>Dados!AT77/Dados!AP77</f>
        <v>#DIV/0!</v>
      </c>
      <c r="AM78" s="38" t="e">
        <f>Dados!AU77/Dados!AW77</f>
        <v>#DIV/0!</v>
      </c>
      <c r="AN78" s="38">
        <f>Dados!AW78/Dados!AP78</f>
        <v>0</v>
      </c>
      <c r="AO78" s="37">
        <f>Dados!AX77/Dados!AQ77</f>
        <v>0</v>
      </c>
      <c r="AP78" s="39" t="e">
        <f>Dados!AX77/Dados!AV77</f>
        <v>#DIV/0!</v>
      </c>
    </row>
    <row r="79" spans="1:42" x14ac:dyDescent="0.25">
      <c r="A79" s="13">
        <v>230</v>
      </c>
      <c r="B79" s="13" t="s">
        <v>86</v>
      </c>
      <c r="C79" s="37">
        <f>Dados!F79/Dados!G79</f>
        <v>150.47479145092626</v>
      </c>
      <c r="D79" s="38">
        <f>Dados!H79/Dados!I79</f>
        <v>0.98924271313521073</v>
      </c>
      <c r="E79" s="38">
        <f>Dados!F79/Dados!I79</f>
        <v>1.0145953896664417</v>
      </c>
      <c r="F79" s="38">
        <f>Dados!J79/Dados!F79</f>
        <v>1.4385428728628333E-2</v>
      </c>
      <c r="G79" s="38">
        <f>Dados!K79/Dados!M79</f>
        <v>1307.7637306231393</v>
      </c>
      <c r="H79" s="38">
        <f>Dados!M79/Dados!F79</f>
        <v>2.7931953544084893E-5</v>
      </c>
      <c r="I79" s="37">
        <f>Dados!N79/Dados!G79</f>
        <v>0</v>
      </c>
      <c r="J79" s="38">
        <f>Dados!N79/Dados!L79</f>
        <v>0</v>
      </c>
      <c r="K79" s="37">
        <f>Dados!O78/Dados!P78</f>
        <v>13.4714805336609</v>
      </c>
      <c r="L79" s="38">
        <f>Dados!Q79/Dados!R79</f>
        <v>0.9986734882056213</v>
      </c>
      <c r="M79" s="38">
        <f>Dados!O79/Dados!R79</f>
        <v>0.98725629255115233</v>
      </c>
      <c r="N79" s="38">
        <f>Dados!S78/Dados!O78</f>
        <v>-1.5509968017927063E-2</v>
      </c>
      <c r="O79" s="38" t="e">
        <f>Dados!T78/Dados!V78</f>
        <v>#DIV/0!</v>
      </c>
      <c r="P79" s="38">
        <f>Dados!V79/Dados!O79</f>
        <v>2.7128921672822747E-5</v>
      </c>
      <c r="Q79" s="37">
        <f>Dados!W78/Dados!P78</f>
        <v>0</v>
      </c>
      <c r="R79" s="38">
        <f>Dados!W78/Dados!U78</f>
        <v>0</v>
      </c>
      <c r="S79" s="37">
        <f>Dados!X78/Dados!Y78</f>
        <v>9.0625075785959996</v>
      </c>
      <c r="T79" s="38">
        <f>Dados!Z79/Dados!AA79</f>
        <v>0.99845964272364363</v>
      </c>
      <c r="U79" s="38">
        <f>Dados!X79/Dados!AA79</f>
        <v>1.0089313870280203</v>
      </c>
      <c r="V79" s="38">
        <f>Dados!AB78/Dados!X78</f>
        <v>-2.2710779905268676E-2</v>
      </c>
      <c r="W79" s="38" t="e">
        <f>Dados!AC78/Dados!AE78</f>
        <v>#DIV/0!</v>
      </c>
      <c r="X79" s="38">
        <f>Dados!AE79/Dados!X79</f>
        <v>0</v>
      </c>
      <c r="Y79" s="37">
        <f>Dados!AF78/Dados!Y78</f>
        <v>0</v>
      </c>
      <c r="Z79" s="38">
        <f>Dados!AF78/Dados!AD78</f>
        <v>0</v>
      </c>
      <c r="AA79" s="37">
        <f>Dados!AG78/Dados!AH78</f>
        <v>8.6363591853388186</v>
      </c>
      <c r="AB79" s="38">
        <f>Dados!AI79/Dados!AJ79</f>
        <v>0.99735576991395181</v>
      </c>
      <c r="AC79" s="38">
        <f>Dados!AG79/Dados!AJ79</f>
        <v>0.9799564568761604</v>
      </c>
      <c r="AD79" s="38">
        <f>Dados!AK78/Dados!AG78</f>
        <v>4.1305852081991168E-2</v>
      </c>
      <c r="AE79" s="38" t="e">
        <f>Dados!AL78/Dados!AN78</f>
        <v>#DIV/0!</v>
      </c>
      <c r="AF79" s="38">
        <f>Dados!AN79/Dados!AG79</f>
        <v>2.2747887828271392E-4</v>
      </c>
      <c r="AG79" s="37">
        <f>Dados!AO78/Dados!AH78</f>
        <v>0</v>
      </c>
      <c r="AH79" s="38">
        <f>Dados!AO78/Dados!AM78</f>
        <v>0</v>
      </c>
      <c r="AI79" s="37">
        <f>Dados!AP78/Dados!AQ78</f>
        <v>7.6109804856452001</v>
      </c>
      <c r="AJ79" s="38">
        <f>Dados!AR79/Dados!AS79</f>
        <v>0.99965689835530314</v>
      </c>
      <c r="AK79" s="38">
        <f>Dados!AP79/Dados!AS79</f>
        <v>0.97819581232122776</v>
      </c>
      <c r="AL79" s="38">
        <f>Dados!AT78/Dados!AP78</f>
        <v>-8.7129782090862043E-2</v>
      </c>
      <c r="AM79" s="38" t="e">
        <f>Dados!AU78/Dados!AW78</f>
        <v>#DIV/0!</v>
      </c>
      <c r="AN79" s="38">
        <f>Dados!AW79/Dados!AP79</f>
        <v>0</v>
      </c>
      <c r="AO79" s="37">
        <f>Dados!AX78/Dados!AQ78</f>
        <v>0</v>
      </c>
      <c r="AP79" s="39">
        <f>Dados!AX78/Dados!AV78</f>
        <v>0</v>
      </c>
    </row>
    <row r="80" spans="1:42" x14ac:dyDescent="0.25">
      <c r="A80" s="13">
        <v>231</v>
      </c>
      <c r="B80" s="13" t="s">
        <v>87</v>
      </c>
      <c r="C80" s="37">
        <f>Dados!F80/Dados!G80</f>
        <v>0</v>
      </c>
      <c r="D80" s="38" t="e">
        <f>Dados!H80/Dados!I80</f>
        <v>#DIV/0!</v>
      </c>
      <c r="E80" s="38" t="e">
        <f>Dados!F80/Dados!I80</f>
        <v>#DIV/0!</v>
      </c>
      <c r="F80" s="38" t="e">
        <f>Dados!J80/Dados!F80</f>
        <v>#DIV/0!</v>
      </c>
      <c r="G80" s="38" t="e">
        <f>Dados!K80/Dados!M80</f>
        <v>#DIV/0!</v>
      </c>
      <c r="H80" s="38" t="e">
        <f>Dados!M80/Dados!F80</f>
        <v>#DIV/0!</v>
      </c>
      <c r="I80" s="37">
        <f>Dados!N80/Dados!G80</f>
        <v>0</v>
      </c>
      <c r="J80" s="38" t="e">
        <f>Dados!N80/Dados!L80</f>
        <v>#DIV/0!</v>
      </c>
      <c r="K80" s="37">
        <f>Dados!O79/Dados!P79</f>
        <v>115.02600890451143</v>
      </c>
      <c r="L80" s="38">
        <f>Dados!Q80/Dados!R80</f>
        <v>0.99978208291514803</v>
      </c>
      <c r="M80" s="38">
        <f>Dados!O80/Dados!R80</f>
        <v>1.0849251837972871</v>
      </c>
      <c r="N80" s="38">
        <f>Dados!S79/Dados!O79</f>
        <v>-1.2908205847862331E-2</v>
      </c>
      <c r="O80" s="38">
        <f>Dados!T79/Dados!V79</f>
        <v>752.16731591903067</v>
      </c>
      <c r="P80" s="38">
        <f>Dados!V80/Dados!O80</f>
        <v>2.3640364713265853E-2</v>
      </c>
      <c r="Q80" s="37">
        <f>Dados!W79/Dados!P79</f>
        <v>0</v>
      </c>
      <c r="R80" s="38">
        <f>Dados!W79/Dados!U79</f>
        <v>0</v>
      </c>
      <c r="S80" s="37">
        <f>Dados!X79/Dados!Y79</f>
        <v>91.780044712005107</v>
      </c>
      <c r="T80" s="38">
        <f>Dados!Z80/Dados!AA80</f>
        <v>0.9991545907510847</v>
      </c>
      <c r="U80" s="38">
        <f>Dados!X80/Dados!AA80</f>
        <v>0.98216920027698773</v>
      </c>
      <c r="V80" s="38">
        <f>Dados!AB79/Dados!X79</f>
        <v>8.8523235007381042E-3</v>
      </c>
      <c r="W80" s="38" t="e">
        <f>Dados!AC79/Dados!AE79</f>
        <v>#DIV/0!</v>
      </c>
      <c r="X80" s="38">
        <f>Dados!AE80/Dados!X80</f>
        <v>2.7277661753463155E-2</v>
      </c>
      <c r="Y80" s="37">
        <f>Dados!AF79/Dados!Y79</f>
        <v>0</v>
      </c>
      <c r="Z80" s="38">
        <f>Dados!AF79/Dados!AD79</f>
        <v>0</v>
      </c>
      <c r="AA80" s="37">
        <f>Dados!AG79/Dados!AH79</f>
        <v>73.818283208221914</v>
      </c>
      <c r="AB80" s="38">
        <f>Dados!AI80/Dados!AJ80</f>
        <v>0.99850143361419508</v>
      </c>
      <c r="AC80" s="38">
        <f>Dados!AG80/Dados!AJ80</f>
        <v>1.0343148936477344</v>
      </c>
      <c r="AD80" s="38">
        <f>Dados!AK79/Dados!AG79</f>
        <v>-2.0453503809478524E-2</v>
      </c>
      <c r="AE80" s="38">
        <f>Dados!AL79/Dados!AN79</f>
        <v>182.91233859672684</v>
      </c>
      <c r="AF80" s="38">
        <f>Dados!AN80/Dados!AG80</f>
        <v>3.7392179811590119E-2</v>
      </c>
      <c r="AG80" s="37">
        <f>Dados!AO79/Dados!AH79</f>
        <v>0</v>
      </c>
      <c r="AH80" s="38">
        <f>Dados!AO79/Dados!AM79</f>
        <v>0</v>
      </c>
      <c r="AI80" s="37">
        <f>Dados!AP79/Dados!AQ79</f>
        <v>59.888468762925889</v>
      </c>
      <c r="AJ80" s="38">
        <f>Dados!AR80/Dados!AS80</f>
        <v>0.99845614252003101</v>
      </c>
      <c r="AK80" s="38">
        <f>Dados!AP80/Dados!AS80</f>
        <v>0.99464357514112633</v>
      </c>
      <c r="AL80" s="38">
        <f>Dados!AT79/Dados!AP79</f>
        <v>-2.2290207547537477E-2</v>
      </c>
      <c r="AM80" s="38" t="e">
        <f>Dados!AU79/Dados!AW79</f>
        <v>#DIV/0!</v>
      </c>
      <c r="AN80" s="38">
        <f>Dados!AW80/Dados!AP80</f>
        <v>3.2659889511654945E-2</v>
      </c>
      <c r="AO80" s="37">
        <f>Dados!AX79/Dados!AQ79</f>
        <v>0</v>
      </c>
      <c r="AP80" s="39">
        <f>Dados!AX79/Dados!AV79</f>
        <v>0</v>
      </c>
    </row>
    <row r="81" spans="1:42" x14ac:dyDescent="0.25">
      <c r="A81" s="13">
        <v>240</v>
      </c>
      <c r="B81" s="13" t="s">
        <v>88</v>
      </c>
      <c r="C81" s="37">
        <f>Dados!F81/Dados!G81</f>
        <v>0</v>
      </c>
      <c r="D81" s="38" t="e">
        <f>Dados!H81/Dados!I81</f>
        <v>#DIV/0!</v>
      </c>
      <c r="E81" s="38" t="e">
        <f>Dados!F81/Dados!I81</f>
        <v>#DIV/0!</v>
      </c>
      <c r="F81" s="38" t="e">
        <f>Dados!J81/Dados!F81</f>
        <v>#DIV/0!</v>
      </c>
      <c r="G81" s="38" t="e">
        <f>Dados!K81/Dados!M81</f>
        <v>#DIV/0!</v>
      </c>
      <c r="H81" s="38" t="e">
        <f>Dados!M81/Dados!F81</f>
        <v>#DIV/0!</v>
      </c>
      <c r="I81" s="37">
        <f>Dados!N81/Dados!G81</f>
        <v>0</v>
      </c>
      <c r="J81" s="38" t="e">
        <f>Dados!N81/Dados!L81</f>
        <v>#DIV/0!</v>
      </c>
      <c r="K81" s="37">
        <f>Dados!O80/Dados!P80</f>
        <v>70.826895089340127</v>
      </c>
      <c r="L81" s="38" t="e">
        <f>Dados!Q81/Dados!R81</f>
        <v>#DIV/0!</v>
      </c>
      <c r="M81" s="38" t="e">
        <f>Dados!O81/Dados!R81</f>
        <v>#DIV/0!</v>
      </c>
      <c r="N81" s="38">
        <f>Dados!S80/Dados!O80</f>
        <v>7.8277456423350225E-2</v>
      </c>
      <c r="O81" s="38">
        <f>Dados!T80/Dados!V80</f>
        <v>0.59122460156847811</v>
      </c>
      <c r="P81" s="38" t="e">
        <f>Dados!V81/Dados!O81</f>
        <v>#DIV/0!</v>
      </c>
      <c r="Q81" s="37">
        <f>Dados!W80/Dados!P80</f>
        <v>0</v>
      </c>
      <c r="R81" s="38">
        <f>Dados!W80/Dados!U80</f>
        <v>0</v>
      </c>
      <c r="S81" s="37">
        <f>Dados!X80/Dados!Y80</f>
        <v>54.222165653267531</v>
      </c>
      <c r="T81" s="38">
        <f>Dados!Z81/Dados!AA81</f>
        <v>0.85787795903293695</v>
      </c>
      <c r="U81" s="38">
        <f>Dados!X81/Dados!AA81</f>
        <v>1.0119502602341865</v>
      </c>
      <c r="V81" s="38">
        <f>Dados!AB80/Dados!X80</f>
        <v>-1.815450913954918E-2</v>
      </c>
      <c r="W81" s="38">
        <f>Dados!AC80/Dados!AE80</f>
        <v>2.2013288386839318</v>
      </c>
      <c r="X81" s="38">
        <f>Dados!AE81/Dados!X81</f>
        <v>9.5913012409503437E-2</v>
      </c>
      <c r="Y81" s="37">
        <f>Dados!AF80/Dados!Y80</f>
        <v>0</v>
      </c>
      <c r="Z81" s="38">
        <f>Dados!AF80/Dados!AD80</f>
        <v>0</v>
      </c>
      <c r="AA81" s="37">
        <f>Dados!AG80/Dados!AH80</f>
        <v>40.219005413446503</v>
      </c>
      <c r="AB81" s="38">
        <f>Dados!AI81/Dados!AJ81</f>
        <v>0.87644363087954069</v>
      </c>
      <c r="AC81" s="38">
        <f>Dados!AG81/Dados!AJ81</f>
        <v>1.1053173733791466</v>
      </c>
      <c r="AD81" s="38">
        <f>Dados!AK80/Dados!AG80</f>
        <v>3.3176447384138302E-2</v>
      </c>
      <c r="AE81" s="38">
        <f>Dados!AL80/Dados!AN80</f>
        <v>2.2013288386839318</v>
      </c>
      <c r="AF81" s="38">
        <f>Dados!AN81/Dados!AG81</f>
        <v>8.1282309026354443E-2</v>
      </c>
      <c r="AG81" s="37">
        <f>Dados!AO80/Dados!AH80</f>
        <v>0</v>
      </c>
      <c r="AH81" s="38">
        <f>Dados!AO80/Dados!AM80</f>
        <v>0</v>
      </c>
      <c r="AI81" s="37">
        <f>Dados!AP80/Dados!AQ80</f>
        <v>36.977765956180754</v>
      </c>
      <c r="AJ81" s="38">
        <f>Dados!AR81/Dados!AS81</f>
        <v>1</v>
      </c>
      <c r="AK81" s="38">
        <f>Dados!AP81/Dados!AS81</f>
        <v>1.2294809091478716</v>
      </c>
      <c r="AL81" s="38">
        <f>Dados!AT80/Dados!AP80</f>
        <v>-5.3852706564899806E-3</v>
      </c>
      <c r="AM81" s="38">
        <f>Dados!AU80/Dados!AW80</f>
        <v>1.8468510125818383</v>
      </c>
      <c r="AN81" s="38">
        <f>Dados!AW81/Dados!AP81</f>
        <v>9.5164193827800524E-4</v>
      </c>
      <c r="AO81" s="37">
        <f>Dados!AX80/Dados!AQ80</f>
        <v>0</v>
      </c>
      <c r="AP81" s="39">
        <f>Dados!AX80/Dados!AV80</f>
        <v>0</v>
      </c>
    </row>
    <row r="82" spans="1:42" ht="25.5" x14ac:dyDescent="0.25">
      <c r="A82" s="13">
        <v>243</v>
      </c>
      <c r="B82" s="13" t="s">
        <v>89</v>
      </c>
      <c r="C82" s="37">
        <f>Dados!F82/Dados!G82</f>
        <v>0</v>
      </c>
      <c r="D82" s="38" t="e">
        <f>Dados!H82/Dados!I82</f>
        <v>#DIV/0!</v>
      </c>
      <c r="E82" s="38" t="e">
        <f>Dados!F82/Dados!I82</f>
        <v>#DIV/0!</v>
      </c>
      <c r="F82" s="38" t="e">
        <f>Dados!J82/Dados!F82</f>
        <v>#DIV/0!</v>
      </c>
      <c r="G82" s="38" t="e">
        <f>Dados!K82/Dados!M82</f>
        <v>#DIV/0!</v>
      </c>
      <c r="H82" s="38" t="e">
        <f>Dados!M82/Dados!F82</f>
        <v>#DIV/0!</v>
      </c>
      <c r="I82" s="37">
        <f>Dados!N82/Dados!G82</f>
        <v>0</v>
      </c>
      <c r="J82" s="38" t="e">
        <f>Dados!N82/Dados!L82</f>
        <v>#DIV/0!</v>
      </c>
      <c r="K82" s="37">
        <f>Dados!O81/Dados!P81</f>
        <v>0</v>
      </c>
      <c r="L82" s="38" t="e">
        <f>Dados!Q82/Dados!R82</f>
        <v>#DIV/0!</v>
      </c>
      <c r="M82" s="38" t="e">
        <f>Dados!O82/Dados!R82</f>
        <v>#DIV/0!</v>
      </c>
      <c r="N82" s="38" t="e">
        <f>Dados!S81/Dados!O81</f>
        <v>#DIV/0!</v>
      </c>
      <c r="O82" s="38" t="e">
        <f>Dados!T81/Dados!V81</f>
        <v>#DIV/0!</v>
      </c>
      <c r="P82" s="38" t="e">
        <f>Dados!V82/Dados!O82</f>
        <v>#DIV/0!</v>
      </c>
      <c r="Q82" s="37">
        <f>Dados!W81/Dados!P81</f>
        <v>0</v>
      </c>
      <c r="R82" s="38" t="e">
        <f>Dados!W81/Dados!U81</f>
        <v>#DIV/0!</v>
      </c>
      <c r="S82" s="37">
        <f>Dados!X81/Dados!Y81</f>
        <v>2203.4026423152541</v>
      </c>
      <c r="T82" s="38" t="e">
        <f>Dados!Z82/Dados!AA82</f>
        <v>#DIV/0!</v>
      </c>
      <c r="U82" s="38" t="e">
        <f>Dados!X82/Dados!AA82</f>
        <v>#DIV/0!</v>
      </c>
      <c r="V82" s="38">
        <f>Dados!AB81/Dados!X81</f>
        <v>1.1809137962394587E-2</v>
      </c>
      <c r="W82" s="38">
        <f>Dados!AC81/Dados!AE81</f>
        <v>3.3472253548951767</v>
      </c>
      <c r="X82" s="38" t="e">
        <f>Dados!AE82/Dados!X82</f>
        <v>#DIV/0!</v>
      </c>
      <c r="Y82" s="37">
        <f>Dados!AF81/Dados!Y81</f>
        <v>1627.225441877504</v>
      </c>
      <c r="Z82" s="38">
        <f>Dados!AF81/Dados!AD81</f>
        <v>0.75305259541809833</v>
      </c>
      <c r="AA82" s="37">
        <f>Dados!AG81/Dados!AH81</f>
        <v>1895.129242250774</v>
      </c>
      <c r="AB82" s="38">
        <f>Dados!AI82/Dados!AJ82</f>
        <v>0.52394144748644689</v>
      </c>
      <c r="AC82" s="38">
        <f>Dados!AG82/Dados!AJ82</f>
        <v>0.82155539673184841</v>
      </c>
      <c r="AD82" s="38">
        <f>Dados!AK81/Dados!AG81</f>
        <v>9.5282473537146278E-2</v>
      </c>
      <c r="AE82" s="38">
        <f>Dados!AL81/Dados!AN81</f>
        <v>4.7831137245009421</v>
      </c>
      <c r="AF82" s="38">
        <f>Dados!AN82/Dados!AG82</f>
        <v>0</v>
      </c>
      <c r="AG82" s="37">
        <f>Dados!AO81/Dados!AH81</f>
        <v>1944.2156443200611</v>
      </c>
      <c r="AH82" s="38">
        <f>Dados!AO81/Dados!AM81</f>
        <v>1.058935857353682</v>
      </c>
      <c r="AI82" s="37">
        <f>Dados!AP81/Dados!AQ81</f>
        <v>283.77713915395071</v>
      </c>
      <c r="AJ82" s="38">
        <f>Dados!AR82/Dados!AS82</f>
        <v>1</v>
      </c>
      <c r="AK82" s="38">
        <f>Dados!AP82/Dados!AS82</f>
        <v>4.5427431023652654</v>
      </c>
      <c r="AL82" s="38">
        <f>Dados!AT81/Dados!AP81</f>
        <v>0.1866486152330093</v>
      </c>
      <c r="AM82" s="38">
        <f>Dados!AU81/Dados!AW81</f>
        <v>0.33224735588098564</v>
      </c>
      <c r="AN82" s="38">
        <f>Dados!AW82/Dados!AP82</f>
        <v>0</v>
      </c>
      <c r="AO82" s="37">
        <f>Dados!AX81/Dados!AQ81</f>
        <v>2169.193139406168</v>
      </c>
      <c r="AP82" s="39">
        <f>Dados!AX81/Dados!AV81</f>
        <v>7.6440024234276622</v>
      </c>
    </row>
    <row r="83" spans="1:42" ht="25.5" x14ac:dyDescent="0.25">
      <c r="A83" s="13">
        <v>247</v>
      </c>
      <c r="B83" s="13" t="s">
        <v>90</v>
      </c>
      <c r="C83" s="37">
        <f>Dados!F83/Dados!G83</f>
        <v>0</v>
      </c>
      <c r="D83" s="38" t="e">
        <f>Dados!H83/Dados!I83</f>
        <v>#DIV/0!</v>
      </c>
      <c r="E83" s="38" t="e">
        <f>Dados!F83/Dados!I83</f>
        <v>#DIV/0!</v>
      </c>
      <c r="F83" s="38" t="e">
        <f>Dados!J83/Dados!F83</f>
        <v>#DIV/0!</v>
      </c>
      <c r="G83" s="38" t="e">
        <f>Dados!K83/Dados!M83</f>
        <v>#DIV/0!</v>
      </c>
      <c r="H83" s="38" t="e">
        <f>Dados!M83/Dados!F83</f>
        <v>#DIV/0!</v>
      </c>
      <c r="I83" s="37">
        <f>Dados!N83/Dados!G83</f>
        <v>0</v>
      </c>
      <c r="J83" s="38" t="e">
        <f>Dados!N83/Dados!L83</f>
        <v>#DIV/0!</v>
      </c>
      <c r="K83" s="37">
        <f>Dados!O82/Dados!P82</f>
        <v>0</v>
      </c>
      <c r="L83" s="38" t="e">
        <f>Dados!Q83/Dados!R83</f>
        <v>#DIV/0!</v>
      </c>
      <c r="M83" s="38" t="e">
        <f>Dados!O83/Dados!R83</f>
        <v>#DIV/0!</v>
      </c>
      <c r="N83" s="38" t="e">
        <f>Dados!S82/Dados!O82</f>
        <v>#DIV/0!</v>
      </c>
      <c r="O83" s="38" t="e">
        <f>Dados!T82/Dados!V82</f>
        <v>#DIV/0!</v>
      </c>
      <c r="P83" s="38" t="e">
        <f>Dados!V83/Dados!O83</f>
        <v>#DIV/0!</v>
      </c>
      <c r="Q83" s="37">
        <f>Dados!W82/Dados!P82</f>
        <v>0</v>
      </c>
      <c r="R83" s="38" t="e">
        <f>Dados!W82/Dados!U82</f>
        <v>#DIV/0!</v>
      </c>
      <c r="S83" s="37">
        <f>Dados!X82/Dados!Y82</f>
        <v>0</v>
      </c>
      <c r="T83" s="38" t="e">
        <f>Dados!Z83/Dados!AA83</f>
        <v>#DIV/0!</v>
      </c>
      <c r="U83" s="38" t="e">
        <f>Dados!X83/Dados!AA83</f>
        <v>#DIV/0!</v>
      </c>
      <c r="V83" s="38" t="e">
        <f>Dados!AB82/Dados!X82</f>
        <v>#DIV/0!</v>
      </c>
      <c r="W83" s="38" t="e">
        <f>Dados!AC82/Dados!AE82</f>
        <v>#DIV/0!</v>
      </c>
      <c r="X83" s="38" t="e">
        <f>Dados!AE83/Dados!X83</f>
        <v>#DIV/0!</v>
      </c>
      <c r="Y83" s="37">
        <f>Dados!AF82/Dados!Y82</f>
        <v>0</v>
      </c>
      <c r="Z83" s="38" t="e">
        <f>Dados!AF82/Dados!AD82</f>
        <v>#DIV/0!</v>
      </c>
      <c r="AA83" s="37">
        <f>Dados!AG82/Dados!AH82</f>
        <v>3.1160520129907883</v>
      </c>
      <c r="AB83" s="38">
        <f>Dados!AI83/Dados!AJ83</f>
        <v>0.99968411279269942</v>
      </c>
      <c r="AC83" s="38">
        <f>Dados!AG83/Dados!AJ83</f>
        <v>1.0149709303723242</v>
      </c>
      <c r="AD83" s="38">
        <f>Dados!AK82/Dados!AG82</f>
        <v>-0.21720337298982531</v>
      </c>
      <c r="AE83" s="38" t="e">
        <f>Dados!AL82/Dados!AN82</f>
        <v>#DIV/0!</v>
      </c>
      <c r="AF83" s="38">
        <f>Dados!AN83/Dados!AG83</f>
        <v>5.5138777211842384E-2</v>
      </c>
      <c r="AG83" s="37">
        <f>Dados!AO82/Dados!AH82</f>
        <v>0</v>
      </c>
      <c r="AH83" s="38">
        <f>Dados!AO82/Dados!AM82</f>
        <v>0</v>
      </c>
      <c r="AI83" s="37">
        <f>Dados!AP82/Dados!AQ82</f>
        <v>9.0165721111278163</v>
      </c>
      <c r="AJ83" s="38">
        <f>Dados!AR83/Dados!AS83</f>
        <v>0.99981020393482922</v>
      </c>
      <c r="AK83" s="38">
        <f>Dados!AP83/Dados!AS83</f>
        <v>1.0600007357398422</v>
      </c>
      <c r="AL83" s="38">
        <f>Dados!AT82/Dados!AP82</f>
        <v>0.77986868782447083</v>
      </c>
      <c r="AM83" s="38" t="e">
        <f>Dados!AU82/Dados!AW82</f>
        <v>#DIV/0!</v>
      </c>
      <c r="AN83" s="38">
        <f>Dados!AW83/Dados!AP83</f>
        <v>8.0671372626836532E-2</v>
      </c>
      <c r="AO83" s="37">
        <f>Dados!AX82/Dados!AQ82</f>
        <v>0</v>
      </c>
      <c r="AP83" s="39">
        <f>Dados!AX82/Dados!AV82</f>
        <v>0</v>
      </c>
    </row>
    <row r="84" spans="1:42" x14ac:dyDescent="0.25">
      <c r="A84" s="13">
        <v>248</v>
      </c>
      <c r="B84" s="13" t="s">
        <v>91</v>
      </c>
      <c r="C84" s="37">
        <f>Dados!F84/Dados!G84</f>
        <v>0</v>
      </c>
      <c r="D84" s="38" t="e">
        <f>Dados!H84/Dados!I84</f>
        <v>#DIV/0!</v>
      </c>
      <c r="E84" s="38" t="e">
        <f>Dados!F84/Dados!I84</f>
        <v>#DIV/0!</v>
      </c>
      <c r="F84" s="38" t="e">
        <f>Dados!J84/Dados!F84</f>
        <v>#DIV/0!</v>
      </c>
      <c r="G84" s="38" t="e">
        <f>Dados!K84/Dados!M84</f>
        <v>#DIV/0!</v>
      </c>
      <c r="H84" s="38" t="e">
        <f>Dados!M84/Dados!F84</f>
        <v>#DIV/0!</v>
      </c>
      <c r="I84" s="37">
        <f>Dados!N84/Dados!G84</f>
        <v>0</v>
      </c>
      <c r="J84" s="38" t="e">
        <f>Dados!N84/Dados!L84</f>
        <v>#DIV/0!</v>
      </c>
      <c r="K84" s="37">
        <f>Dados!O83/Dados!P83</f>
        <v>0</v>
      </c>
      <c r="L84" s="38">
        <f>Dados!Q84/Dados!R84</f>
        <v>0.98613065307384473</v>
      </c>
      <c r="M84" s="38">
        <f>Dados!O84/Dados!R84</f>
        <v>1.1439260563638338</v>
      </c>
      <c r="N84" s="38" t="e">
        <f>Dados!S83/Dados!O83</f>
        <v>#DIV/0!</v>
      </c>
      <c r="O84" s="38" t="e">
        <f>Dados!T83/Dados!V83</f>
        <v>#DIV/0!</v>
      </c>
      <c r="P84" s="38">
        <f>Dados!V84/Dados!O84</f>
        <v>0.12957898063449574</v>
      </c>
      <c r="Q84" s="37">
        <f>Dados!W83/Dados!P83</f>
        <v>0</v>
      </c>
      <c r="R84" s="38" t="e">
        <f>Dados!W83/Dados!U83</f>
        <v>#DIV/0!</v>
      </c>
      <c r="S84" s="37">
        <f>Dados!X83/Dados!Y83</f>
        <v>0</v>
      </c>
      <c r="T84" s="38">
        <f>Dados!Z84/Dados!AA84</f>
        <v>0.97278193667239521</v>
      </c>
      <c r="U84" s="38">
        <f>Dados!X84/Dados!AA84</f>
        <v>1.1394237306898241</v>
      </c>
      <c r="V84" s="38" t="e">
        <f>Dados!AB83/Dados!X83</f>
        <v>#DIV/0!</v>
      </c>
      <c r="W84" s="38" t="e">
        <f>Dados!AC83/Dados!AE83</f>
        <v>#DIV/0!</v>
      </c>
      <c r="X84" s="38">
        <f>Dados!AE84/Dados!X84</f>
        <v>0.10255896289319798</v>
      </c>
      <c r="Y84" s="37">
        <f>Dados!AF83/Dados!Y83</f>
        <v>0</v>
      </c>
      <c r="Z84" s="38" t="e">
        <f>Dados!AF83/Dados!AD83</f>
        <v>#DIV/0!</v>
      </c>
      <c r="AA84" s="37">
        <f>Dados!AG83/Dados!AH83</f>
        <v>187.60823971812647</v>
      </c>
      <c r="AB84" s="38">
        <f>Dados!AI84/Dados!AJ84</f>
        <v>0.99504074796889397</v>
      </c>
      <c r="AC84" s="38">
        <f>Dados!AG84/Dados!AJ84</f>
        <v>1.0245717369770106</v>
      </c>
      <c r="AD84" s="38">
        <f>Dados!AK83/Dados!AG83</f>
        <v>1.4750107539368035E-2</v>
      </c>
      <c r="AE84" s="38">
        <f>Dados!AL83/Dados!AN83</f>
        <v>1.4838956506710217</v>
      </c>
      <c r="AF84" s="38">
        <f>Dados!AN84/Dados!AG84</f>
        <v>8.9738141453631473E-2</v>
      </c>
      <c r="AG84" s="37">
        <f>Dados!AO83/Dados!AH83</f>
        <v>0</v>
      </c>
      <c r="AH84" s="38">
        <f>Dados!AO83/Dados!AM83</f>
        <v>0</v>
      </c>
      <c r="AI84" s="37">
        <f>Dados!AP83/Dados!AQ83</f>
        <v>137.53140407935561</v>
      </c>
      <c r="AJ84" s="38">
        <f>Dados!AR84/Dados!AS84</f>
        <v>0.99813570636649374</v>
      </c>
      <c r="AK84" s="38">
        <f>Dados!AP84/Dados!AS84</f>
        <v>1.0281006157154209</v>
      </c>
      <c r="AL84" s="38">
        <f>Dados!AT83/Dados!AP83</f>
        <v>5.6604428390291492E-2</v>
      </c>
      <c r="AM84" s="38">
        <f>Dados!AU83/Dados!AW83</f>
        <v>1.2005995011943502</v>
      </c>
      <c r="AN84" s="38">
        <f>Dados!AW84/Dados!AP84</f>
        <v>3.7321193895110176E-2</v>
      </c>
      <c r="AO84" s="37">
        <f>Dados!AX83/Dados!AQ83</f>
        <v>0</v>
      </c>
      <c r="AP84" s="39">
        <f>Dados!AX83/Dados!AV83</f>
        <v>0</v>
      </c>
    </row>
    <row r="85" spans="1:42" x14ac:dyDescent="0.25">
      <c r="A85" s="13">
        <v>250</v>
      </c>
      <c r="B85" s="13" t="s">
        <v>92</v>
      </c>
      <c r="C85" s="37">
        <f>Dados!F85/Dados!G85</f>
        <v>0</v>
      </c>
      <c r="D85" s="38" t="e">
        <f>Dados!H85/Dados!I85</f>
        <v>#DIV/0!</v>
      </c>
      <c r="E85" s="38" t="e">
        <f>Dados!F85/Dados!I85</f>
        <v>#DIV/0!</v>
      </c>
      <c r="F85" s="38" t="e">
        <f>Dados!J85/Dados!F85</f>
        <v>#DIV/0!</v>
      </c>
      <c r="G85" s="38" t="e">
        <f>Dados!K85/Dados!M85</f>
        <v>#DIV/0!</v>
      </c>
      <c r="H85" s="38" t="e">
        <f>Dados!M85/Dados!F85</f>
        <v>#DIV/0!</v>
      </c>
      <c r="I85" s="37">
        <f>Dados!N85/Dados!G85</f>
        <v>0</v>
      </c>
      <c r="J85" s="38" t="e">
        <f>Dados!N85/Dados!L85</f>
        <v>#DIV/0!</v>
      </c>
      <c r="K85" s="37">
        <f>Dados!O84/Dados!P84</f>
        <v>3.9510419047961913</v>
      </c>
      <c r="L85" s="38" t="e">
        <f>Dados!Q85/Dados!R85</f>
        <v>#DIV/0!</v>
      </c>
      <c r="M85" s="38" t="e">
        <f>Dados!O85/Dados!R85</f>
        <v>#DIV/0!</v>
      </c>
      <c r="N85" s="38">
        <f>Dados!S84/Dados!O84</f>
        <v>0.12581762218209053</v>
      </c>
      <c r="O85" s="38">
        <f>Dados!T84/Dados!V84</f>
        <v>5.9675523222898539</v>
      </c>
      <c r="P85" s="38" t="e">
        <f>Dados!V85/Dados!O85</f>
        <v>#DIV/0!</v>
      </c>
      <c r="Q85" s="37">
        <f>Dados!W84/Dados!P84</f>
        <v>1.0087365672447774</v>
      </c>
      <c r="R85" s="38">
        <f>Dados!W84/Dados!U84</f>
        <v>0.25530900242294741</v>
      </c>
      <c r="S85" s="37">
        <f>Dados!X84/Dados!Y84</f>
        <v>2.9647953912424785</v>
      </c>
      <c r="T85" s="38" t="e">
        <f>Dados!Z85/Dados!AA85</f>
        <v>#DIV/0!</v>
      </c>
      <c r="U85" s="38" t="e">
        <f>Dados!X85/Dados!AA85</f>
        <v>#DIV/0!</v>
      </c>
      <c r="V85" s="38">
        <f>Dados!AB84/Dados!X84</f>
        <v>0.1223633727598553</v>
      </c>
      <c r="W85" s="38">
        <f>Dados!AC84/Dados!AE84</f>
        <v>6.4587661426699787</v>
      </c>
      <c r="X85" s="38" t="e">
        <f>Dados!AE85/Dados!X85</f>
        <v>#DIV/0!</v>
      </c>
      <c r="Y85" s="37">
        <f>Dados!AF84/Dados!Y84</f>
        <v>1.0436058287876366</v>
      </c>
      <c r="Z85" s="38">
        <f>Dados!AF84/Dados!AD84</f>
        <v>0.3519992751844791</v>
      </c>
      <c r="AA85" s="37">
        <f>Dados!AG84/Dados!AH84</f>
        <v>6.728422188751761</v>
      </c>
      <c r="AB85" s="38">
        <f>Dados!AI85/Dados!AJ85</f>
        <v>0.9999291727321129</v>
      </c>
      <c r="AC85" s="38">
        <f>Dados!AG85/Dados!AJ85</f>
        <v>1.1095230450815521</v>
      </c>
      <c r="AD85" s="38">
        <f>Dados!AK84/Dados!AG84</f>
        <v>2.3982446606920147E-2</v>
      </c>
      <c r="AE85" s="38">
        <f>Dados!AL84/Dados!AN84</f>
        <v>2.7447627951435698</v>
      </c>
      <c r="AF85" s="38">
        <f>Dados!AN85/Dados!AG85</f>
        <v>1.0322844138330836E-2</v>
      </c>
      <c r="AG85" s="37">
        <f>Dados!AO84/Dados!AH84</f>
        <v>0.91669768815773245</v>
      </c>
      <c r="AH85" s="38">
        <f>Dados!AO84/Dados!AM84</f>
        <v>0.13624259335126468</v>
      </c>
      <c r="AI85" s="37">
        <f>Dados!AP84/Dados!AQ84</f>
        <v>20.516063956156252</v>
      </c>
      <c r="AJ85" s="38">
        <f>Dados!AR85/Dados!AS85</f>
        <v>1</v>
      </c>
      <c r="AK85" s="38">
        <f>Dados!AP85/Dados!AS85</f>
        <v>0.93187378896397333</v>
      </c>
      <c r="AL85" s="38">
        <f>Dados!AT84/Dados!AP84</f>
        <v>2.7330967829461643E-2</v>
      </c>
      <c r="AM85" s="38">
        <f>Dados!AU84/Dados!AW84</f>
        <v>1.7345644878257278</v>
      </c>
      <c r="AN85" s="38">
        <f>Dados!AW85/Dados!AP85</f>
        <v>6.5001011266274562E-3</v>
      </c>
      <c r="AO85" s="37">
        <f>Dados!AX84/Dados!AQ84</f>
        <v>0.91906347124543974</v>
      </c>
      <c r="AP85" s="39">
        <f>Dados!AX84/Dados!AV84</f>
        <v>4.4797260976058552E-2</v>
      </c>
    </row>
    <row r="86" spans="1:42" x14ac:dyDescent="0.25">
      <c r="A86" s="13">
        <v>254</v>
      </c>
      <c r="B86" s="13" t="s">
        <v>93</v>
      </c>
      <c r="C86" s="37">
        <f>Dados!F86/Dados!G86</f>
        <v>27.280845687709327</v>
      </c>
      <c r="D86" s="38">
        <f>Dados!H86/Dados!I86</f>
        <v>0.99446665735955631</v>
      </c>
      <c r="E86" s="38">
        <f>Dados!F86/Dados!I86</f>
        <v>2.4125034321002552</v>
      </c>
      <c r="F86" s="38">
        <f>Dados!J86/Dados!F86</f>
        <v>0.58549281767055184</v>
      </c>
      <c r="G86" s="38">
        <f>Dados!K86/Dados!M86</f>
        <v>25.980942870553335</v>
      </c>
      <c r="H86" s="38">
        <f>Dados!M86/Dados!F86</f>
        <v>3.9496788389329268E-2</v>
      </c>
      <c r="I86" s="37">
        <f>Dados!N86/Dados!G86</f>
        <v>0</v>
      </c>
      <c r="J86" s="38">
        <f>Dados!N86/Dados!L86</f>
        <v>0</v>
      </c>
      <c r="K86" s="37">
        <f>Dados!O85/Dados!P85</f>
        <v>0</v>
      </c>
      <c r="L86" s="38">
        <f>Dados!Q86/Dados!R86</f>
        <v>0.97134631835723162</v>
      </c>
      <c r="M86" s="38">
        <f>Dados!O86/Dados!R86</f>
        <v>0.98035444959140294</v>
      </c>
      <c r="N86" s="38" t="e">
        <f>Dados!S85/Dados!O85</f>
        <v>#DIV/0!</v>
      </c>
      <c r="O86" s="38" t="e">
        <f>Dados!T85/Dados!V85</f>
        <v>#DIV/0!</v>
      </c>
      <c r="P86" s="38">
        <f>Dados!V86/Dados!O86</f>
        <v>5.4183793743809595E-3</v>
      </c>
      <c r="Q86" s="37">
        <f>Dados!W85/Dados!P85</f>
        <v>0</v>
      </c>
      <c r="R86" s="38" t="e">
        <f>Dados!W85/Dados!U85</f>
        <v>#DIV/0!</v>
      </c>
      <c r="S86" s="37">
        <f>Dados!X85/Dados!Y85</f>
        <v>0</v>
      </c>
      <c r="T86" s="38">
        <f>Dados!Z86/Dados!AA86</f>
        <v>0.99782768851520764</v>
      </c>
      <c r="U86" s="38">
        <f>Dados!X86/Dados!AA86</f>
        <v>1.0299055382213089</v>
      </c>
      <c r="V86" s="38" t="e">
        <f>Dados!AB85/Dados!X85</f>
        <v>#DIV/0!</v>
      </c>
      <c r="W86" s="38" t="e">
        <f>Dados!AC85/Dados!AE85</f>
        <v>#DIV/0!</v>
      </c>
      <c r="X86" s="38">
        <f>Dados!AE86/Dados!X86</f>
        <v>6.3875112195268188E-3</v>
      </c>
      <c r="Y86" s="37">
        <f>Dados!AF85/Dados!Y85</f>
        <v>0</v>
      </c>
      <c r="Z86" s="38" t="e">
        <f>Dados!AF85/Dados!AD85</f>
        <v>#DIV/0!</v>
      </c>
      <c r="AA86" s="37">
        <f>Dados!AG85/Dados!AH85</f>
        <v>20.135143628348406</v>
      </c>
      <c r="AB86" s="38" t="e">
        <f>Dados!AI86/Dados!AJ86</f>
        <v>#DIV/0!</v>
      </c>
      <c r="AC86" s="38" t="e">
        <f>Dados!AG86/Dados!AJ86</f>
        <v>#DIV/0!</v>
      </c>
      <c r="AD86" s="38">
        <f>Dados!AK85/Dados!AG85</f>
        <v>9.8711825380338999E-2</v>
      </c>
      <c r="AE86" s="38">
        <f>Dados!AL85/Dados!AN85</f>
        <v>29.243874270943518</v>
      </c>
      <c r="AF86" s="38" t="e">
        <f>Dados!AN86/Dados!AG86</f>
        <v>#DIV/0!</v>
      </c>
      <c r="AG86" s="37">
        <f>Dados!AO85/Dados!AH85</f>
        <v>2.8093489566144773E-2</v>
      </c>
      <c r="AH86" s="38">
        <f>Dados!AO85/Dados!AM85</f>
        <v>1.395246544285473E-3</v>
      </c>
      <c r="AI86" s="37">
        <f>Dados!AP85/Dados!AQ85</f>
        <v>13.494413927282761</v>
      </c>
      <c r="AJ86" s="38">
        <f>Dados!AR86/Dados!AS86</f>
        <v>0.99567572893235479</v>
      </c>
      <c r="AK86" s="38">
        <f>Dados!AP86/Dados!AS86</f>
        <v>1.1378489067248678</v>
      </c>
      <c r="AL86" s="38">
        <f>Dados!AT85/Dados!AP85</f>
        <v>-7.310669303379283E-2</v>
      </c>
      <c r="AM86" s="38">
        <f>Dados!AU85/Dados!AW85</f>
        <v>27.918487731605371</v>
      </c>
      <c r="AN86" s="38">
        <f>Dados!AW86/Dados!AP86</f>
        <v>2.7838014709569013E-3</v>
      </c>
      <c r="AO86" s="37">
        <f>Dados!AX85/Dados!AQ85</f>
        <v>2.8247946990258028E-2</v>
      </c>
      <c r="AP86" s="39">
        <f>Dados!AX85/Dados!AV85</f>
        <v>2.0933066928639889E-3</v>
      </c>
    </row>
    <row r="87" spans="1:42" x14ac:dyDescent="0.25">
      <c r="A87" s="13">
        <v>302</v>
      </c>
      <c r="B87" s="13" t="s">
        <v>94</v>
      </c>
      <c r="C87" s="37">
        <f>Dados!F87/Dados!G87</f>
        <v>77.890108265558297</v>
      </c>
      <c r="D87" s="38">
        <f>Dados!H87/Dados!I87</f>
        <v>0.99130411654119954</v>
      </c>
      <c r="E87" s="38">
        <f>Dados!F87/Dados!I87</f>
        <v>1.001905460857607</v>
      </c>
      <c r="F87" s="38">
        <f>Dados!J87/Dados!F87</f>
        <v>1.9018369816808916E-3</v>
      </c>
      <c r="G87" s="38">
        <f>Dados!K87/Dados!M87</f>
        <v>13.230204779801035</v>
      </c>
      <c r="H87" s="38">
        <f>Dados!M87/Dados!F87</f>
        <v>1.8704320577970727E-2</v>
      </c>
      <c r="I87" s="37">
        <f>Dados!N87/Dados!G87</f>
        <v>16.077963854850466</v>
      </c>
      <c r="J87" s="38">
        <f>Dados!N87/Dados!L87</f>
        <v>0.21197751506723442</v>
      </c>
      <c r="K87" s="37">
        <f>Dados!O86/Dados!P86</f>
        <v>178.79437409199485</v>
      </c>
      <c r="L87" s="38">
        <f>Dados!Q87/Dados!R87</f>
        <v>0.94890846118691696</v>
      </c>
      <c r="M87" s="38">
        <f>Dados!O87/Dados!R87</f>
        <v>1.0119877252138023</v>
      </c>
      <c r="N87" s="38">
        <f>Dados!S86/Dados!O86</f>
        <v>-2.0039232154028634E-2</v>
      </c>
      <c r="O87" s="38">
        <f>Dados!T86/Dados!V86</f>
        <v>21.854613247379397</v>
      </c>
      <c r="P87" s="38">
        <f>Dados!V87/Dados!O87</f>
        <v>1.8681690992472421E-2</v>
      </c>
      <c r="Q87" s="37">
        <f>Dados!W86/Dados!P86</f>
        <v>0</v>
      </c>
      <c r="R87" s="38">
        <f>Dados!W86/Dados!U86</f>
        <v>0</v>
      </c>
      <c r="S87" s="37">
        <f>Dados!X86/Dados!Y86</f>
        <v>152.59923371061737</v>
      </c>
      <c r="T87" s="38">
        <f>Dados!Z87/Dados!AA87</f>
        <v>0.97282355142461008</v>
      </c>
      <c r="U87" s="38">
        <f>Dados!X87/Dados!AA87</f>
        <v>1.0280505045650508</v>
      </c>
      <c r="V87" s="38">
        <f>Dados!AB86/Dados!X86</f>
        <v>2.9037166139486113E-2</v>
      </c>
      <c r="W87" s="38">
        <f>Dados!AC86/Dados!AE86</f>
        <v>25.233918387765605</v>
      </c>
      <c r="X87" s="38">
        <f>Dados!AE87/Dados!X87</f>
        <v>1.0889025223392553E-2</v>
      </c>
      <c r="Y87" s="37">
        <f>Dados!AF86/Dados!Y86</f>
        <v>0</v>
      </c>
      <c r="Z87" s="38">
        <f>Dados!AF86/Dados!AD86</f>
        <v>0</v>
      </c>
      <c r="AA87" s="37">
        <f>Dados!AG86/Dados!AH86</f>
        <v>0</v>
      </c>
      <c r="AB87" s="38">
        <f>Dados!AI87/Dados!AJ87</f>
        <v>0.98398655890917397</v>
      </c>
      <c r="AC87" s="38">
        <f>Dados!AG87/Dados!AJ87</f>
        <v>1.0799244293394252</v>
      </c>
      <c r="AD87" s="38" t="e">
        <f>Dados!AK86/Dados!AG86</f>
        <v>#DIV/0!</v>
      </c>
      <c r="AE87" s="38" t="e">
        <f>Dados!AL86/Dados!AN86</f>
        <v>#DIV/0!</v>
      </c>
      <c r="AF87" s="38">
        <f>Dados!AN87/Dados!AG87</f>
        <v>1.1868837357984009E-2</v>
      </c>
      <c r="AG87" s="37">
        <f>Dados!AO86/Dados!AH86</f>
        <v>0</v>
      </c>
      <c r="AH87" s="38" t="e">
        <f>Dados!AO86/Dados!AM86</f>
        <v>#DIV/0!</v>
      </c>
      <c r="AI87" s="37">
        <f>Dados!AP86/Dados!AQ86</f>
        <v>90.23695736865956</v>
      </c>
      <c r="AJ87" s="38">
        <f>Dados!AR87/Dados!AS87</f>
        <v>0.98941387009931414</v>
      </c>
      <c r="AK87" s="38">
        <f>Dados!AP87/Dados!AS87</f>
        <v>1.0485178837979101</v>
      </c>
      <c r="AL87" s="38">
        <f>Dados!AT86/Dados!AP86</f>
        <v>0.12114869198375897</v>
      </c>
      <c r="AM87" s="38">
        <f>Dados!AU86/Dados!AW86</f>
        <v>82.293982352678512</v>
      </c>
      <c r="AN87" s="38">
        <f>Dados!AW87/Dados!AP87</f>
        <v>3.1631399855265672E-4</v>
      </c>
      <c r="AO87" s="37">
        <f>Dados!AX86/Dados!AQ86</f>
        <v>0</v>
      </c>
      <c r="AP87" s="39">
        <f>Dados!AX86/Dados!AV86</f>
        <v>0</v>
      </c>
    </row>
    <row r="88" spans="1:42" x14ac:dyDescent="0.25">
      <c r="A88" s="13">
        <v>303</v>
      </c>
      <c r="B88" s="13" t="s">
        <v>95</v>
      </c>
      <c r="C88" s="37">
        <f>Dados!F88/Dados!G88</f>
        <v>216.75151846900724</v>
      </c>
      <c r="D88" s="38">
        <f>Dados!H88/Dados!I88</f>
        <v>0.99839356291735415</v>
      </c>
      <c r="E88" s="38">
        <f>Dados!F88/Dados!I88</f>
        <v>1.0240938609490799</v>
      </c>
      <c r="F88" s="38">
        <f>Dados!J88/Dados!F88</f>
        <v>2.3527004572364976E-2</v>
      </c>
      <c r="G88" s="38" t="e">
        <f>Dados!K88/Dados!M88</f>
        <v>#DIV/0!</v>
      </c>
      <c r="H88" s="38">
        <f>Dados!M88/Dados!F88</f>
        <v>0</v>
      </c>
      <c r="I88" s="37">
        <f>Dados!N88/Dados!G88</f>
        <v>0</v>
      </c>
      <c r="J88" s="38">
        <f>Dados!N88/Dados!L88</f>
        <v>0</v>
      </c>
      <c r="K88" s="37">
        <f>Dados!O87/Dados!P87</f>
        <v>68.827761104317702</v>
      </c>
      <c r="L88" s="38">
        <f>Dados!Q88/Dados!R88</f>
        <v>0.99980545222696648</v>
      </c>
      <c r="M88" s="38">
        <f>Dados!O88/Dados!R88</f>
        <v>0.98169761041322301</v>
      </c>
      <c r="N88" s="38">
        <f>Dados!S87/Dados!O87</f>
        <v>1.1845721954057793E-2</v>
      </c>
      <c r="O88" s="38">
        <f>Dados!T87/Dados!V87</f>
        <v>15.225302956832968</v>
      </c>
      <c r="P88" s="38">
        <f>Dados!V88/Dados!O88</f>
        <v>3.4347585564218353E-2</v>
      </c>
      <c r="Q88" s="37">
        <f>Dados!W87/Dados!P87</f>
        <v>16.693722144263031</v>
      </c>
      <c r="R88" s="38">
        <f>Dados!W87/Dados!U87</f>
        <v>0.25070373834312765</v>
      </c>
      <c r="S88" s="37">
        <f>Dados!X87/Dados!Y87</f>
        <v>66.098906078348804</v>
      </c>
      <c r="T88" s="38">
        <f>Dados!Z88/Dados!AA88</f>
        <v>1</v>
      </c>
      <c r="U88" s="38">
        <f>Dados!X88/Dados!AA88</f>
        <v>1.0744684674142342</v>
      </c>
      <c r="V88" s="38">
        <f>Dados!AB87/Dados!X87</f>
        <v>2.7285142549410349E-2</v>
      </c>
      <c r="W88" s="38">
        <f>Dados!AC87/Dados!AE87</f>
        <v>20.955232237688328</v>
      </c>
      <c r="X88" s="38">
        <f>Dados!AE88/Dados!X88</f>
        <v>8.1267330031661554E-3</v>
      </c>
      <c r="Y88" s="37">
        <f>Dados!AF87/Dados!Y87</f>
        <v>17.688145709308532</v>
      </c>
      <c r="Z88" s="38">
        <f>Dados!AF87/Dados!AD87</f>
        <v>0.27207952511214056</v>
      </c>
      <c r="AA88" s="37">
        <f>Dados!AG87/Dados!AH87</f>
        <v>66.762536188181471</v>
      </c>
      <c r="AB88" s="38">
        <f>Dados!AI88/Dados!AJ88</f>
        <v>0.99700044002371369</v>
      </c>
      <c r="AC88" s="38">
        <f>Dados!AG88/Dados!AJ88</f>
        <v>1.0153504404337026</v>
      </c>
      <c r="AD88" s="38">
        <f>Dados!AK87/Dados!AG87</f>
        <v>7.4009279879254208E-2</v>
      </c>
      <c r="AE88" s="38">
        <f>Dados!AL87/Dados!AN87</f>
        <v>13.675544423971749</v>
      </c>
      <c r="AF88" s="38">
        <f>Dados!AN88/Dados!AG88</f>
        <v>0</v>
      </c>
      <c r="AG88" s="37">
        <f>Dados!AO87/Dados!AH87</f>
        <v>2.7600965441740666</v>
      </c>
      <c r="AH88" s="38">
        <f>Dados!AO87/Dados!AM87</f>
        <v>4.1381457228413583E-2</v>
      </c>
      <c r="AI88" s="37">
        <f>Dados!AP87/Dados!AQ87</f>
        <v>61.79485273801852</v>
      </c>
      <c r="AJ88" s="38">
        <f>Dados!AR88/Dados!AS88</f>
        <v>0.94635707835608363</v>
      </c>
      <c r="AK88" s="38">
        <f>Dados!AP88/Dados!AS88</f>
        <v>0.95514760413557986</v>
      </c>
      <c r="AL88" s="38">
        <f>Dados!AT87/Dados!AP87</f>
        <v>4.6272813762057996E-2</v>
      </c>
      <c r="AM88" s="38">
        <f>Dados!AU87/Dados!AW87</f>
        <v>388.9696526692544</v>
      </c>
      <c r="AN88" s="38">
        <f>Dados!AW88/Dados!AP88</f>
        <v>2.2068452116061968E-3</v>
      </c>
      <c r="AO88" s="37">
        <f>Dados!AX87/Dados!AQ87</f>
        <v>2.8907541744756409</v>
      </c>
      <c r="AP88" s="39">
        <f>Dados!AX87/Dados!AV87</f>
        <v>4.722051469479769E-2</v>
      </c>
    </row>
    <row r="89" spans="1:42" ht="25.5" x14ac:dyDescent="0.25">
      <c r="A89" s="13">
        <v>304</v>
      </c>
      <c r="B89" s="13" t="s">
        <v>96</v>
      </c>
      <c r="C89" s="37">
        <f>Dados!F89/Dados!G89</f>
        <v>0.88066646090118539</v>
      </c>
      <c r="D89" s="38">
        <f>Dados!H89/Dados!I89</f>
        <v>0.79975543342012301</v>
      </c>
      <c r="E89" s="38">
        <f>Dados!F89/Dados!I89</f>
        <v>1.240783758421828</v>
      </c>
      <c r="F89" s="38">
        <f>Dados!J89/Dados!F89</f>
        <v>0.19405779354178887</v>
      </c>
      <c r="G89" s="38">
        <f>Dados!K89/Dados!M89</f>
        <v>62.934365063844091</v>
      </c>
      <c r="H89" s="38">
        <f>Dados!M89/Dados!F89</f>
        <v>1.7431364478756744E-2</v>
      </c>
      <c r="I89" s="37">
        <f>Dados!N89/Dados!G89</f>
        <v>0</v>
      </c>
      <c r="J89" s="38">
        <f>Dados!N89/Dados!L89</f>
        <v>0</v>
      </c>
      <c r="K89" s="37">
        <f>Dados!O88/Dados!P88</f>
        <v>179.09774785476034</v>
      </c>
      <c r="L89" s="38" t="e">
        <f>Dados!Q89/Dados!R89</f>
        <v>#DIV/0!</v>
      </c>
      <c r="M89" s="38" t="e">
        <f>Dados!O89/Dados!R89</f>
        <v>#DIV/0!</v>
      </c>
      <c r="N89" s="38">
        <f>Dados!S88/Dados!O88</f>
        <v>-1.8643612241322334E-2</v>
      </c>
      <c r="O89" s="38">
        <f>Dados!T88/Dados!V88</f>
        <v>2.7625735458515588</v>
      </c>
      <c r="P89" s="38" t="e">
        <f>Dados!V89/Dados!O89</f>
        <v>#DIV/0!</v>
      </c>
      <c r="Q89" s="37">
        <f>Dados!W88/Dados!P88</f>
        <v>0</v>
      </c>
      <c r="R89" s="38">
        <f>Dados!W88/Dados!U88</f>
        <v>0</v>
      </c>
      <c r="S89" s="37">
        <f>Dados!X88/Dados!Y88</f>
        <v>154.84404564425211</v>
      </c>
      <c r="T89" s="38" t="e">
        <f>Dados!Z89/Dados!AA89</f>
        <v>#DIV/0!</v>
      </c>
      <c r="U89" s="38" t="e">
        <f>Dados!X89/Dados!AA89</f>
        <v>#DIV/0!</v>
      </c>
      <c r="V89" s="38">
        <f>Dados!AB88/Dados!X88</f>
        <v>6.9307261844031992E-2</v>
      </c>
      <c r="W89" s="38">
        <f>Dados!AC88/Dados!AE88</f>
        <v>12.417836604615026</v>
      </c>
      <c r="X89" s="38" t="e">
        <f>Dados!AE89/Dados!X89</f>
        <v>#DIV/0!</v>
      </c>
      <c r="Y89" s="37">
        <f>Dados!AF88/Dados!Y88</f>
        <v>0</v>
      </c>
      <c r="Z89" s="38">
        <f>Dados!AF88/Dados!AD88</f>
        <v>0</v>
      </c>
      <c r="AA89" s="37">
        <f>Dados!AG88/Dados!AH88</f>
        <v>115.40794295832359</v>
      </c>
      <c r="AB89" s="38" t="e">
        <f>Dados!AI89/Dados!AJ89</f>
        <v>#DIV/0!</v>
      </c>
      <c r="AC89" s="38" t="e">
        <f>Dados!AG89/Dados!AJ89</f>
        <v>#DIV/0!</v>
      </c>
      <c r="AD89" s="38">
        <f>Dados!AK88/Dados!AG88</f>
        <v>1.5118366844008614E-2</v>
      </c>
      <c r="AE89" s="38" t="e">
        <f>Dados!AL88/Dados!AN88</f>
        <v>#DIV/0!</v>
      </c>
      <c r="AF89" s="38" t="e">
        <f>Dados!AN89/Dados!AG89</f>
        <v>#DIV/0!</v>
      </c>
      <c r="AG89" s="37">
        <f>Dados!AO88/Dados!AH88</f>
        <v>0</v>
      </c>
      <c r="AH89" s="38">
        <f>Dados!AO88/Dados!AM88</f>
        <v>0</v>
      </c>
      <c r="AI89" s="37">
        <f>Dados!AP88/Dados!AQ88</f>
        <v>96.027568775841161</v>
      </c>
      <c r="AJ89" s="38" t="e">
        <f>Dados!AR89/Dados!AS89</f>
        <v>#DIV/0!</v>
      </c>
      <c r="AK89" s="38" t="e">
        <f>Dados!AP89/Dados!AS89</f>
        <v>#DIV/0!</v>
      </c>
      <c r="AL89" s="38">
        <f>Dados!AT88/Dados!AP88</f>
        <v>-4.6958601655093975E-2</v>
      </c>
      <c r="AM89" s="38">
        <f>Dados!AU88/Dados!AW88</f>
        <v>10.138416355570262</v>
      </c>
      <c r="AN89" s="38" t="e">
        <f>Dados!AW89/Dados!AP89</f>
        <v>#DIV/0!</v>
      </c>
      <c r="AO89" s="37">
        <f>Dados!AX88/Dados!AQ88</f>
        <v>0</v>
      </c>
      <c r="AP89" s="39">
        <f>Dados!AX88/Dados!AV88</f>
        <v>0</v>
      </c>
    </row>
    <row r="90" spans="1:42" ht="25.5" x14ac:dyDescent="0.25">
      <c r="A90" s="13">
        <v>307</v>
      </c>
      <c r="B90" s="13" t="s">
        <v>97</v>
      </c>
      <c r="C90" s="37">
        <f>Dados!F90/Dados!G90</f>
        <v>54.240580399769399</v>
      </c>
      <c r="D90" s="38">
        <f>Dados!H90/Dados!I90</f>
        <v>0.98962334906821658</v>
      </c>
      <c r="E90" s="38">
        <f>Dados!F90/Dados!I90</f>
        <v>1.2952568231986428</v>
      </c>
      <c r="F90" s="38">
        <f>Dados!J90/Dados!F90</f>
        <v>0.22795233957502312</v>
      </c>
      <c r="G90" s="38">
        <f>Dados!K90/Dados!M90</f>
        <v>12.377099416095795</v>
      </c>
      <c r="H90" s="38">
        <f>Dados!M90/Dados!F90</f>
        <v>2.4263680870307804E-2</v>
      </c>
      <c r="I90" s="37">
        <f>Dados!N90/Dados!G90</f>
        <v>0</v>
      </c>
      <c r="J90" s="38">
        <f>Dados!N90/Dados!L90</f>
        <v>0</v>
      </c>
      <c r="K90" s="37">
        <f>Dados!O89/Dados!P89</f>
        <v>0</v>
      </c>
      <c r="L90" s="38">
        <f>Dados!Q90/Dados!R90</f>
        <v>0.99727848742099301</v>
      </c>
      <c r="M90" s="38">
        <f>Dados!O90/Dados!R90</f>
        <v>1.0197789513222986</v>
      </c>
      <c r="N90" s="38" t="e">
        <f>Dados!S89/Dados!O89</f>
        <v>#DIV/0!</v>
      </c>
      <c r="O90" s="38" t="e">
        <f>Dados!T89/Dados!V89</f>
        <v>#DIV/0!</v>
      </c>
      <c r="P90" s="38">
        <f>Dados!V90/Dados!O90</f>
        <v>7.3096216680210546E-2</v>
      </c>
      <c r="Q90" s="37">
        <f>Dados!W89/Dados!P89</f>
        <v>0</v>
      </c>
      <c r="R90" s="38" t="e">
        <f>Dados!W89/Dados!U89</f>
        <v>#DIV/0!</v>
      </c>
      <c r="S90" s="37">
        <f>Dados!X89/Dados!Y89</f>
        <v>0</v>
      </c>
      <c r="T90" s="38">
        <f>Dados!Z90/Dados!AA90</f>
        <v>0.99176289356267455</v>
      </c>
      <c r="U90" s="38">
        <f>Dados!X90/Dados!AA90</f>
        <v>0.97467475959912098</v>
      </c>
      <c r="V90" s="38" t="e">
        <f>Dados!AB89/Dados!X89</f>
        <v>#DIV/0!</v>
      </c>
      <c r="W90" s="38" t="e">
        <f>Dados!AC89/Dados!AE89</f>
        <v>#DIV/0!</v>
      </c>
      <c r="X90" s="38">
        <f>Dados!AE90/Dados!X90</f>
        <v>6.0778265394152833E-2</v>
      </c>
      <c r="Y90" s="37">
        <f>Dados!AF89/Dados!Y89</f>
        <v>0</v>
      </c>
      <c r="Z90" s="38" t="e">
        <f>Dados!AF89/Dados!AD89</f>
        <v>#DIV/0!</v>
      </c>
      <c r="AA90" s="37">
        <f>Dados!AG89/Dados!AH89</f>
        <v>0</v>
      </c>
      <c r="AB90" s="38">
        <f>Dados!AI90/Dados!AJ90</f>
        <v>0.99455424770270162</v>
      </c>
      <c r="AC90" s="38">
        <f>Dados!AG90/Dados!AJ90</f>
        <v>0.95470493541047396</v>
      </c>
      <c r="AD90" s="38" t="e">
        <f>Dados!AK89/Dados!AG89</f>
        <v>#DIV/0!</v>
      </c>
      <c r="AE90" s="38" t="e">
        <f>Dados!AL89/Dados!AN89</f>
        <v>#DIV/0!</v>
      </c>
      <c r="AF90" s="38">
        <f>Dados!AN90/Dados!AG90</f>
        <v>3.4743183556055373E-3</v>
      </c>
      <c r="AG90" s="37">
        <f>Dados!AO89/Dados!AH89</f>
        <v>0</v>
      </c>
      <c r="AH90" s="38" t="e">
        <f>Dados!AO89/Dados!AM89</f>
        <v>#DIV/0!</v>
      </c>
      <c r="AI90" s="37">
        <f>Dados!AP89/Dados!AQ89</f>
        <v>0</v>
      </c>
      <c r="AJ90" s="38">
        <f>Dados!AR90/Dados!AS90</f>
        <v>0.99453826354164776</v>
      </c>
      <c r="AK90" s="38">
        <f>Dados!AP90/Dados!AS90</f>
        <v>1.0417491602440594</v>
      </c>
      <c r="AL90" s="38" t="e">
        <f>Dados!AT89/Dados!AP89</f>
        <v>#DIV/0!</v>
      </c>
      <c r="AM90" s="38" t="e">
        <f>Dados!AU89/Dados!AW89</f>
        <v>#DIV/0!</v>
      </c>
      <c r="AN90" s="38">
        <f>Dados!AW90/Dados!AP90</f>
        <v>5.6835325762041346E-3</v>
      </c>
      <c r="AO90" s="37">
        <f>Dados!AX89/Dados!AQ89</f>
        <v>0</v>
      </c>
      <c r="AP90" s="39" t="e">
        <f>Dados!AX89/Dados!AV89</f>
        <v>#DIV/0!</v>
      </c>
    </row>
    <row r="91" spans="1:42" ht="25.5" x14ac:dyDescent="0.25">
      <c r="A91" s="13">
        <v>320</v>
      </c>
      <c r="B91" s="13" t="s">
        <v>98</v>
      </c>
      <c r="C91" s="37">
        <f>Dados!F91/Dados!G91</f>
        <v>0</v>
      </c>
      <c r="D91" s="38" t="e">
        <f>Dados!H91/Dados!I91</f>
        <v>#DIV/0!</v>
      </c>
      <c r="E91" s="38" t="e">
        <f>Dados!F91/Dados!I91</f>
        <v>#DIV/0!</v>
      </c>
      <c r="F91" s="38" t="e">
        <f>Dados!J91/Dados!F91</f>
        <v>#DIV/0!</v>
      </c>
      <c r="G91" s="38" t="e">
        <f>Dados!K91/Dados!M91</f>
        <v>#DIV/0!</v>
      </c>
      <c r="H91" s="38" t="e">
        <f>Dados!M91/Dados!F91</f>
        <v>#DIV/0!</v>
      </c>
      <c r="I91" s="37">
        <f>Dados!N91/Dados!G91</f>
        <v>0</v>
      </c>
      <c r="J91" s="38" t="e">
        <f>Dados!N91/Dados!L91</f>
        <v>#DIV/0!</v>
      </c>
      <c r="K91" s="37">
        <f>Dados!O90/Dados!P90</f>
        <v>38.358651332262113</v>
      </c>
      <c r="L91" s="38">
        <f>Dados!Q91/Dados!R91</f>
        <v>0.98960797260434674</v>
      </c>
      <c r="M91" s="38">
        <f>Dados!O91/Dados!R91</f>
        <v>0.98960797260434674</v>
      </c>
      <c r="N91" s="38">
        <f>Dados!S90/Dados!O90</f>
        <v>1.9395331994891823E-2</v>
      </c>
      <c r="O91" s="38">
        <f>Dados!T90/Dados!V90</f>
        <v>1.9452828156153101</v>
      </c>
      <c r="P91" s="38">
        <f>Dados!V91/Dados!O91</f>
        <v>5.3574131095303422E-2</v>
      </c>
      <c r="Q91" s="37">
        <f>Dados!W90/Dados!P90</f>
        <v>0</v>
      </c>
      <c r="R91" s="38">
        <f>Dados!W90/Dados!U90</f>
        <v>0</v>
      </c>
      <c r="S91" s="37">
        <f>Dados!X90/Dados!Y90</f>
        <v>33.438916681672502</v>
      </c>
      <c r="T91" s="38" t="e">
        <f>Dados!Z91/Dados!AA91</f>
        <v>#DIV/0!</v>
      </c>
      <c r="U91" s="38" t="e">
        <f>Dados!X91/Dados!AA91</f>
        <v>#DIV/0!</v>
      </c>
      <c r="V91" s="38">
        <f>Dados!AB90/Dados!X90</f>
        <v>-2.5983273036941222E-2</v>
      </c>
      <c r="W91" s="38">
        <f>Dados!AC90/Dados!AE90</f>
        <v>2.0398597776654395</v>
      </c>
      <c r="X91" s="38" t="e">
        <f>Dados!AE91/Dados!X91</f>
        <v>#DIV/0!</v>
      </c>
      <c r="Y91" s="37">
        <f>Dados!AF90/Dados!Y90</f>
        <v>0</v>
      </c>
      <c r="Z91" s="38">
        <f>Dados!AF90/Dados!AD90</f>
        <v>0</v>
      </c>
      <c r="AA91" s="37">
        <f>Dados!AG90/Dados!AH90</f>
        <v>29.083409893190854</v>
      </c>
      <c r="AB91" s="38" t="e">
        <f>Dados!AI91/Dados!AJ91</f>
        <v>#DIV/0!</v>
      </c>
      <c r="AC91" s="38" t="e">
        <f>Dados!AG91/Dados!AJ91</f>
        <v>#DIV/0!</v>
      </c>
      <c r="AD91" s="38">
        <f>Dados!AK90/Dados!AG90</f>
        <v>-4.7444045704080742E-2</v>
      </c>
      <c r="AE91" s="38">
        <f>Dados!AL90/Dados!AN90</f>
        <v>28.06498627026626</v>
      </c>
      <c r="AF91" s="38" t="e">
        <f>Dados!AN91/Dados!AG91</f>
        <v>#DIV/0!</v>
      </c>
      <c r="AG91" s="37">
        <f>Dados!AO90/Dados!AH90</f>
        <v>0</v>
      </c>
      <c r="AH91" s="38">
        <f>Dados!AO90/Dados!AM90</f>
        <v>0</v>
      </c>
      <c r="AI91" s="37">
        <f>Dados!AP90/Dados!AQ90</f>
        <v>30.052061580029591</v>
      </c>
      <c r="AJ91" s="38" t="e">
        <f>Dados!AR91/Dados!AS91</f>
        <v>#DIV/0!</v>
      </c>
      <c r="AK91" s="38" t="e">
        <f>Dados!AP91/Dados!AS91</f>
        <v>#DIV/0!</v>
      </c>
      <c r="AL91" s="38">
        <f>Dados!AT90/Dados!AP90</f>
        <v>4.0076020060604907E-2</v>
      </c>
      <c r="AM91" s="38">
        <f>Dados!AU90/Dados!AW90</f>
        <v>24.701388318907092</v>
      </c>
      <c r="AN91" s="38" t="e">
        <f>Dados!AW91/Dados!AP91</f>
        <v>#DIV/0!</v>
      </c>
      <c r="AO91" s="37">
        <f>Dados!AX90/Dados!AQ90</f>
        <v>0</v>
      </c>
      <c r="AP91" s="39">
        <f>Dados!AX90/Dados!AV90</f>
        <v>0</v>
      </c>
    </row>
    <row r="92" spans="1:42" x14ac:dyDescent="0.25">
      <c r="A92" s="13">
        <v>322</v>
      </c>
      <c r="B92" s="13" t="s">
        <v>99</v>
      </c>
      <c r="C92" s="37">
        <f>Dados!F92/Dados!G92</f>
        <v>17.786643487242308</v>
      </c>
      <c r="D92" s="38">
        <f>Dados!H92/Dados!I92</f>
        <v>0.98343599622824018</v>
      </c>
      <c r="E92" s="38">
        <f>Dados!F92/Dados!I92</f>
        <v>0.99807993146156282</v>
      </c>
      <c r="F92" s="38">
        <f>Dados!J92/Dados!F92</f>
        <v>1.9237622938930656E-3</v>
      </c>
      <c r="G92" s="38">
        <f>Dados!K92/Dados!M92</f>
        <v>0.2290024517558332</v>
      </c>
      <c r="H92" s="38">
        <f>Dados!M92/Dados!F92</f>
        <v>4.4712238469899416E-3</v>
      </c>
      <c r="I92" s="37">
        <f>Dados!N92/Dados!G92</f>
        <v>0.30726933169996457</v>
      </c>
      <c r="J92" s="38">
        <f>Dados!N92/Dados!L92</f>
        <v>1.72752847899806E-2</v>
      </c>
      <c r="K92" s="37">
        <f>Dados!O91/Dados!P91</f>
        <v>26.898928443383635</v>
      </c>
      <c r="L92" s="38">
        <f>Dados!Q92/Dados!R92</f>
        <v>0.98424705168047144</v>
      </c>
      <c r="M92" s="38">
        <f>Dados!O92/Dados!R92</f>
        <v>1.0000233189325543</v>
      </c>
      <c r="N92" s="38">
        <f>Dados!S91/Dados!O91</f>
        <v>0.15750547455106459</v>
      </c>
      <c r="O92" s="38">
        <f>Dados!T91/Dados!V91</f>
        <v>3.9607045643914067</v>
      </c>
      <c r="P92" s="38">
        <f>Dados!V92/Dados!O92</f>
        <v>-3.2897925777012186E-3</v>
      </c>
      <c r="Q92" s="37">
        <f>Dados!W91/Dados!P91</f>
        <v>0</v>
      </c>
      <c r="R92" s="38">
        <f>Dados!W91/Dados!U91</f>
        <v>0</v>
      </c>
      <c r="S92" s="37">
        <f>Dados!X91/Dados!Y91</f>
        <v>0</v>
      </c>
      <c r="T92" s="38" t="e">
        <f>Dados!Z92/Dados!AA92</f>
        <v>#DIV/0!</v>
      </c>
      <c r="U92" s="38" t="e">
        <f>Dados!X92/Dados!AA92</f>
        <v>#DIV/0!</v>
      </c>
      <c r="V92" s="38" t="e">
        <f>Dados!AB91/Dados!X91</f>
        <v>#DIV/0!</v>
      </c>
      <c r="W92" s="38" t="e">
        <f>Dados!AC91/Dados!AE91</f>
        <v>#DIV/0!</v>
      </c>
      <c r="X92" s="38" t="e">
        <f>Dados!AE92/Dados!X92</f>
        <v>#DIV/0!</v>
      </c>
      <c r="Y92" s="37">
        <f>Dados!AF91/Dados!Y91</f>
        <v>0</v>
      </c>
      <c r="Z92" s="38" t="e">
        <f>Dados!AF91/Dados!AD91</f>
        <v>#DIV/0!</v>
      </c>
      <c r="AA92" s="37">
        <f>Dados!AG91/Dados!AH91</f>
        <v>0</v>
      </c>
      <c r="AB92" s="38">
        <f>Dados!AI92/Dados!AJ92</f>
        <v>0.99365558948100607</v>
      </c>
      <c r="AC92" s="38">
        <f>Dados!AG92/Dados!AJ92</f>
        <v>1.003570129635772</v>
      </c>
      <c r="AD92" s="38" t="e">
        <f>Dados!AK91/Dados!AG91</f>
        <v>#DIV/0!</v>
      </c>
      <c r="AE92" s="38" t="e">
        <f>Dados!AL91/Dados!AN91</f>
        <v>#DIV/0!</v>
      </c>
      <c r="AF92" s="38">
        <f>Dados!AN92/Dados!AG92</f>
        <v>4.6564597114255729E-3</v>
      </c>
      <c r="AG92" s="37">
        <f>Dados!AO91/Dados!AH91</f>
        <v>0</v>
      </c>
      <c r="AH92" s="38" t="e">
        <f>Dados!AO91/Dados!AM91</f>
        <v>#DIV/0!</v>
      </c>
      <c r="AI92" s="37">
        <f>Dados!AP91/Dados!AQ91</f>
        <v>0</v>
      </c>
      <c r="AJ92" s="38">
        <f>Dados!AR92/Dados!AS92</f>
        <v>0.99275365451382336</v>
      </c>
      <c r="AK92" s="38">
        <f>Dados!AP92/Dados!AS92</f>
        <v>1.0107594308725489</v>
      </c>
      <c r="AL92" s="38" t="e">
        <f>Dados!AT91/Dados!AP91</f>
        <v>#DIV/0!</v>
      </c>
      <c r="AM92" s="38" t="e">
        <f>Dados!AU91/Dados!AW91</f>
        <v>#DIV/0!</v>
      </c>
      <c r="AN92" s="38">
        <f>Dados!AW92/Dados!AP92</f>
        <v>8.2684460390977967E-3</v>
      </c>
      <c r="AO92" s="37">
        <f>Dados!AX91/Dados!AQ91</f>
        <v>0</v>
      </c>
      <c r="AP92" s="39" t="e">
        <f>Dados!AX91/Dados!AV91</f>
        <v>#DIV/0!</v>
      </c>
    </row>
    <row r="93" spans="1:42" x14ac:dyDescent="0.25">
      <c r="A93" s="13">
        <v>1</v>
      </c>
      <c r="B93" s="13" t="s">
        <v>100</v>
      </c>
      <c r="C93" s="37">
        <f>Dados!F93/Dados!G93</f>
        <v>7.1266315211796636</v>
      </c>
      <c r="D93" s="38">
        <f>Dados!H93/Dados!I93</f>
        <v>0.51740030927225755</v>
      </c>
      <c r="E93" s="38">
        <f>Dados!F93/Dados!I93</f>
        <v>0.89694931478570994</v>
      </c>
      <c r="F93" s="38">
        <f>Dados!J93/Dados!F93</f>
        <v>-0.11489019893940151</v>
      </c>
      <c r="G93" s="38">
        <f>Dados!K93/Dados!M93</f>
        <v>59.393285784700907</v>
      </c>
      <c r="H93" s="38">
        <f>Dados!M93/Dados!F93</f>
        <v>3.38471473858298E-3</v>
      </c>
      <c r="I93" s="37">
        <f>Dados!N93/Dados!G93</f>
        <v>0</v>
      </c>
      <c r="J93" s="38">
        <f>Dados!N93/Dados!L93</f>
        <v>0</v>
      </c>
      <c r="K93" s="37">
        <f>Dados!O92/Dados!P92</f>
        <v>16.820875473252642</v>
      </c>
      <c r="L93" s="38">
        <f>Dados!Q93/Dados!R93</f>
        <v>0.36005454526044312</v>
      </c>
      <c r="M93" s="38">
        <f>Dados!O93/Dados!R93</f>
        <v>1.9473909242178591</v>
      </c>
      <c r="N93" s="38">
        <f>Dados!S92/Dados!O92</f>
        <v>2.3318388794287217E-5</v>
      </c>
      <c r="O93" s="38">
        <f>Dados!T92/Dados!V92</f>
        <v>-0.74410299603959551</v>
      </c>
      <c r="P93" s="38">
        <f>Dados!V93/Dados!O93</f>
        <v>1.136515490822156E-3</v>
      </c>
      <c r="Q93" s="37">
        <f>Dados!W92/Dados!P92</f>
        <v>0.57864542833042354</v>
      </c>
      <c r="R93" s="38">
        <f>Dados!W92/Dados!U92</f>
        <v>3.4400434700949084E-2</v>
      </c>
      <c r="S93" s="37">
        <f>Dados!X92/Dados!Y92</f>
        <v>0</v>
      </c>
      <c r="T93" s="38">
        <f>Dados!Z93/Dados!AA93</f>
        <v>0.19883368024850159</v>
      </c>
      <c r="U93" s="38">
        <f>Dados!X93/Dados!AA93</f>
        <v>0.21072769131759059</v>
      </c>
      <c r="V93" s="38" t="e">
        <f>Dados!AB92/Dados!X92</f>
        <v>#DIV/0!</v>
      </c>
      <c r="W93" s="38" t="e">
        <f>Dados!AC92/Dados!AE92</f>
        <v>#DIV/0!</v>
      </c>
      <c r="X93" s="38">
        <f>Dados!AE93/Dados!X93</f>
        <v>5.3052075691811884E-3</v>
      </c>
      <c r="Y93" s="37">
        <f>Dados!AF92/Dados!Y92</f>
        <v>0</v>
      </c>
      <c r="Z93" s="38" t="e">
        <f>Dados!AF92/Dados!AD92</f>
        <v>#DIV/0!</v>
      </c>
      <c r="AA93" s="37">
        <f>Dados!AG92/Dados!AH92</f>
        <v>10.520847970755336</v>
      </c>
      <c r="AB93" s="38" t="e">
        <f>Dados!AI93/Dados!AJ93</f>
        <v>#DIV/0!</v>
      </c>
      <c r="AC93" s="38" t="e">
        <f>Dados!AG93/Dados!AJ93</f>
        <v>#DIV/0!</v>
      </c>
      <c r="AD93" s="38">
        <f>Dados!AK92/Dados!AG92</f>
        <v>3.5574291525272907E-3</v>
      </c>
      <c r="AE93" s="38">
        <f>Dados!AL92/Dados!AN92</f>
        <v>1.4509292735610411</v>
      </c>
      <c r="AF93" s="38" t="e">
        <f>Dados!AN93/Dados!AG93</f>
        <v>#DIV/0!</v>
      </c>
      <c r="AG93" s="37">
        <f>Dados!AO92/Dados!AH92</f>
        <v>0.74538242151248335</v>
      </c>
      <c r="AH93" s="38">
        <f>Dados!AO92/Dados!AM92</f>
        <v>7.0848131593994432E-2</v>
      </c>
      <c r="AI93" s="37">
        <f>Dados!AP92/Dados!AQ92</f>
        <v>15.630727471866434</v>
      </c>
      <c r="AJ93" s="38" t="e">
        <f>Dados!AR93/Dados!AS93</f>
        <v>#DIV/0!</v>
      </c>
      <c r="AK93" s="38" t="e">
        <f>Dados!AP93/Dados!AS93</f>
        <v>#DIV/0!</v>
      </c>
      <c r="AL93" s="38">
        <f>Dados!AT92/Dados!AP92</f>
        <v>1.0644897830199727E-2</v>
      </c>
      <c r="AM93" s="38">
        <f>Dados!AU92/Dados!AW92</f>
        <v>0.31297935504777574</v>
      </c>
      <c r="AN93" s="38" t="e">
        <f>Dados!AW93/Dados!AP93</f>
        <v>#DIV/0!</v>
      </c>
      <c r="AO93" s="37">
        <f>Dados!AX92/Dados!AQ92</f>
        <v>0.88969900064126939</v>
      </c>
      <c r="AP93" s="39">
        <f>Dados!AX92/Dados!AV92</f>
        <v>5.6919871595396208E-2</v>
      </c>
    </row>
    <row r="94" spans="1:42" x14ac:dyDescent="0.25">
      <c r="A94" s="13">
        <v>2</v>
      </c>
      <c r="B94" s="13" t="s">
        <v>101</v>
      </c>
      <c r="C94" s="37">
        <f>Dados!F94/Dados!G94</f>
        <v>55.926111618756586</v>
      </c>
      <c r="D94" s="38">
        <f>Dados!H94/Dados!I94</f>
        <v>0.99880804901288545</v>
      </c>
      <c r="E94" s="38">
        <f>Dados!F94/Dados!I94</f>
        <v>1.0819597998817558</v>
      </c>
      <c r="F94" s="38">
        <f>Dados!J94/Dados!F94</f>
        <v>7.5751243152206729E-2</v>
      </c>
      <c r="G94" s="38">
        <f>Dados!K94/Dados!M94</f>
        <v>4.5033474431960778</v>
      </c>
      <c r="H94" s="38">
        <f>Dados!M94/Dados!F94</f>
        <v>3.9737409583745935E-2</v>
      </c>
      <c r="I94" s="37">
        <f>Dados!N94/Dados!G94</f>
        <v>0</v>
      </c>
      <c r="J94" s="38">
        <f>Dados!N94/Dados!L94</f>
        <v>0</v>
      </c>
      <c r="K94" s="37">
        <f>Dados!O93/Dados!P93</f>
        <v>15.115725400160958</v>
      </c>
      <c r="L94" s="38">
        <f>Dados!Q94/Dados!R94</f>
        <v>0.98438727873422061</v>
      </c>
      <c r="M94" s="38">
        <f>Dados!O94/Dados!R94</f>
        <v>0.17948240025054704</v>
      </c>
      <c r="N94" s="38">
        <f>Dados!S93/Dados!O93</f>
        <v>0.48649242041546675</v>
      </c>
      <c r="O94" s="38">
        <f>Dados!T93/Dados!V93</f>
        <v>51.151982306096734</v>
      </c>
      <c r="P94" s="38">
        <f>Dados!V94/Dados!O94</f>
        <v>0.42683170602987358</v>
      </c>
      <c r="Q94" s="37">
        <f>Dados!W93/Dados!P93</f>
        <v>0</v>
      </c>
      <c r="R94" s="38">
        <f>Dados!W93/Dados!U93</f>
        <v>0</v>
      </c>
      <c r="S94" s="37">
        <f>Dados!X93/Dados!Y93</f>
        <v>2.5981582565376513</v>
      </c>
      <c r="T94" s="38">
        <f>Dados!Z94/Dados!AA94</f>
        <v>0.96779973790713691</v>
      </c>
      <c r="U94" s="38">
        <f>Dados!X94/Dados!AA94</f>
        <v>0.95931418154472892</v>
      </c>
      <c r="V94" s="38">
        <f>Dados!AB93/Dados!X93</f>
        <v>-3.7454608065386443</v>
      </c>
      <c r="W94" s="38">
        <f>Dados!AC93/Dados!AE93</f>
        <v>22.941116008817254</v>
      </c>
      <c r="X94" s="38">
        <f>Dados!AE94/Dados!X94</f>
        <v>6.0808459822169772E-2</v>
      </c>
      <c r="Y94" s="37">
        <f>Dados!AF93/Dados!Y93</f>
        <v>0</v>
      </c>
      <c r="Z94" s="38">
        <f>Dados!AF93/Dados!AD93</f>
        <v>0</v>
      </c>
      <c r="AA94" s="37">
        <f>Dados!AG93/Dados!AH93</f>
        <v>0</v>
      </c>
      <c r="AB94" s="38">
        <f>Dados!AI94/Dados!AJ94</f>
        <v>0.97585114125071282</v>
      </c>
      <c r="AC94" s="38">
        <f>Dados!AG94/Dados!AJ94</f>
        <v>1.0235712895874782</v>
      </c>
      <c r="AD94" s="38" t="e">
        <f>Dados!AK93/Dados!AG93</f>
        <v>#DIV/0!</v>
      </c>
      <c r="AE94" s="38" t="e">
        <f>Dados!AL93/Dados!AN93</f>
        <v>#DIV/0!</v>
      </c>
      <c r="AF94" s="38">
        <f>Dados!AN94/Dados!AG94</f>
        <v>7.6639296166751872E-2</v>
      </c>
      <c r="AG94" s="37">
        <f>Dados!AO93/Dados!AH93</f>
        <v>0</v>
      </c>
      <c r="AH94" s="38" t="e">
        <f>Dados!AO93/Dados!AM93</f>
        <v>#DIV/0!</v>
      </c>
      <c r="AI94" s="37">
        <f>Dados!AP93/Dados!AQ93</f>
        <v>0</v>
      </c>
      <c r="AJ94" s="38">
        <f>Dados!AR94/Dados!AS94</f>
        <v>0.97644017100509151</v>
      </c>
      <c r="AK94" s="38">
        <f>Dados!AP94/Dados!AS94</f>
        <v>1.0385771016154159</v>
      </c>
      <c r="AL94" s="38" t="e">
        <f>Dados!AT93/Dados!AP93</f>
        <v>#DIV/0!</v>
      </c>
      <c r="AM94" s="38" t="e">
        <f>Dados!AU93/Dados!AW93</f>
        <v>#DIV/0!</v>
      </c>
      <c r="AN94" s="38">
        <f>Dados!AW94/Dados!AP94</f>
        <v>0.10173469176961109</v>
      </c>
      <c r="AO94" s="37">
        <f>Dados!AX93/Dados!AQ93</f>
        <v>0</v>
      </c>
      <c r="AP94" s="39" t="e">
        <f>Dados!AX93/Dados!AV93</f>
        <v>#DIV/0!</v>
      </c>
    </row>
    <row r="95" spans="1:42" x14ac:dyDescent="0.25">
      <c r="A95" s="13">
        <v>5</v>
      </c>
      <c r="B95" s="13" t="s">
        <v>102</v>
      </c>
      <c r="C95" s="37">
        <f>Dados!F95/Dados!G95</f>
        <v>61.325531365970654</v>
      </c>
      <c r="D95" s="38">
        <f>Dados!H95/Dados!I95</f>
        <v>0.98715890573024356</v>
      </c>
      <c r="E95" s="38">
        <f>Dados!F95/Dados!I95</f>
        <v>1.2141612668056236</v>
      </c>
      <c r="F95" s="38">
        <f>Dados!J95/Dados!F95</f>
        <v>0.17638617921741773</v>
      </c>
      <c r="G95" s="38">
        <f>Dados!K95/Dados!M95</f>
        <v>3.2561910623434662</v>
      </c>
      <c r="H95" s="38">
        <f>Dados!M95/Dados!F95</f>
        <v>7.7784558364377934E-2</v>
      </c>
      <c r="I95" s="37">
        <f>Dados!N95/Dados!G95</f>
        <v>0</v>
      </c>
      <c r="J95" s="38">
        <f>Dados!N95/Dados!L95</f>
        <v>0</v>
      </c>
      <c r="K95" s="37">
        <f>Dados!O94/Dados!P94</f>
        <v>8.1541393292475721</v>
      </c>
      <c r="L95" s="38">
        <f>Dados!Q95/Dados!R95</f>
        <v>0.92949666925602137</v>
      </c>
      <c r="M95" s="38">
        <f>Dados!O95/Dados!R95</f>
        <v>1.1291551761065934</v>
      </c>
      <c r="N95" s="38">
        <f>Dados!S94/Dados!O94</f>
        <v>-4.5715769267853439</v>
      </c>
      <c r="O95" s="38">
        <f>Dados!T94/Dados!V94</f>
        <v>0.10025948795710103</v>
      </c>
      <c r="P95" s="38">
        <f>Dados!V95/Dados!O95</f>
        <v>0.25912861710047985</v>
      </c>
      <c r="Q95" s="37">
        <f>Dados!W94/Dados!P94</f>
        <v>0</v>
      </c>
      <c r="R95" s="38">
        <f>Dados!W94/Dados!U94</f>
        <v>0</v>
      </c>
      <c r="S95" s="37">
        <f>Dados!X94/Dados!Y94</f>
        <v>46.544297246112869</v>
      </c>
      <c r="T95" s="38">
        <f>Dados!Z95/Dados!AA95</f>
        <v>0.996067004046018</v>
      </c>
      <c r="U95" s="38">
        <f>Dados!X95/Dados!AA95</f>
        <v>0.91995157885807055</v>
      </c>
      <c r="V95" s="38">
        <f>Dados!AB94/Dados!X94</f>
        <v>-4.2411359321048531E-2</v>
      </c>
      <c r="W95" s="38">
        <f>Dados!AC94/Dados!AE94</f>
        <v>2.3275090747466085</v>
      </c>
      <c r="X95" s="38">
        <f>Dados!AE95/Dados!X95</f>
        <v>0.21082822093735912</v>
      </c>
      <c r="Y95" s="37">
        <f>Dados!AF94/Dados!Y94</f>
        <v>0</v>
      </c>
      <c r="Z95" s="38">
        <f>Dados!AF94/Dados!AD94</f>
        <v>0</v>
      </c>
      <c r="AA95" s="37">
        <f>Dados!AG94/Dados!AH94</f>
        <v>46.325167521004879</v>
      </c>
      <c r="AB95" s="38">
        <f>Dados!AI95/Dados!AJ95</f>
        <v>0.99703565075634459</v>
      </c>
      <c r="AC95" s="38">
        <f>Dados!AG95/Dados!AJ95</f>
        <v>0.95203794022545751</v>
      </c>
      <c r="AD95" s="38">
        <f>Dados!AK94/Dados!AG94</f>
        <v>2.3028478648495502E-2</v>
      </c>
      <c r="AE95" s="38">
        <f>Dados!AL94/Dados!AN94</f>
        <v>1.7964223263630488</v>
      </c>
      <c r="AF95" s="38">
        <f>Dados!AN95/Dados!AG95</f>
        <v>0.1281334296084454</v>
      </c>
      <c r="AG95" s="37">
        <f>Dados!AO94/Dados!AH94</f>
        <v>0</v>
      </c>
      <c r="AH95" s="38">
        <f>Dados!AO94/Dados!AM94</f>
        <v>0</v>
      </c>
      <c r="AI95" s="37">
        <f>Dados!AP94/Dados!AQ94</f>
        <v>50.158709107378868</v>
      </c>
      <c r="AJ95" s="38" t="e">
        <f>Dados!AR95/Dados!AS95</f>
        <v>#DIV/0!</v>
      </c>
      <c r="AK95" s="38" t="e">
        <f>Dados!AP95/Dados!AS95</f>
        <v>#DIV/0!</v>
      </c>
      <c r="AL95" s="38">
        <f>Dados!AT94/Dados!AP94</f>
        <v>3.7144186556214751E-2</v>
      </c>
      <c r="AM95" s="38">
        <f>Dados!AU94/Dados!AW94</f>
        <v>1.147143995025935</v>
      </c>
      <c r="AN95" s="38" t="e">
        <f>Dados!AW95/Dados!AP95</f>
        <v>#DIV/0!</v>
      </c>
      <c r="AO95" s="37">
        <f>Dados!AX94/Dados!AQ94</f>
        <v>0</v>
      </c>
      <c r="AP95" s="39">
        <f>Dados!AX94/Dados!AV94</f>
        <v>0</v>
      </c>
    </row>
    <row r="96" spans="1:42" x14ac:dyDescent="0.25">
      <c r="A96" s="13">
        <v>6</v>
      </c>
      <c r="B96" s="13" t="s">
        <v>103</v>
      </c>
      <c r="C96" s="37">
        <f>Dados!F96/Dados!G96</f>
        <v>118.06720109157985</v>
      </c>
      <c r="D96" s="38">
        <f>Dados!H96/Dados!I96</f>
        <v>0.98890606375916246</v>
      </c>
      <c r="E96" s="38">
        <f>Dados!F96/Dados!I96</f>
        <v>1.0352229440120775</v>
      </c>
      <c r="F96" s="38">
        <f>Dados!J96/Dados!F96</f>
        <v>3.4024500921094943E-2</v>
      </c>
      <c r="G96" s="38">
        <f>Dados!K96/Dados!M96</f>
        <v>1.4102462925717094</v>
      </c>
      <c r="H96" s="38">
        <f>Dados!M96/Dados!F96</f>
        <v>2.800407936997781E-2</v>
      </c>
      <c r="I96" s="37">
        <f>Dados!N96/Dados!G96</f>
        <v>0</v>
      </c>
      <c r="J96" s="38">
        <f>Dados!N96/Dados!L96</f>
        <v>0</v>
      </c>
      <c r="K96" s="37">
        <f>Dados!O95/Dados!P95</f>
        <v>44.13000652954991</v>
      </c>
      <c r="L96" s="38">
        <f>Dados!Q96/Dados!R96</f>
        <v>0.98234095784276432</v>
      </c>
      <c r="M96" s="38">
        <f>Dados!O96/Dados!R96</f>
        <v>0.99011576934616641</v>
      </c>
      <c r="N96" s="38">
        <f>Dados!S95/Dados!O95</f>
        <v>0.11438213173846447</v>
      </c>
      <c r="O96" s="38">
        <f>Dados!T95/Dados!V95</f>
        <v>0.95080247419546171</v>
      </c>
      <c r="P96" s="38">
        <f>Dados!V96/Dados!O96</f>
        <v>2.7962618287061463E-2</v>
      </c>
      <c r="Q96" s="37">
        <f>Dados!W95/Dados!P95</f>
        <v>0</v>
      </c>
      <c r="R96" s="38">
        <f>Dados!W95/Dados!U95</f>
        <v>0</v>
      </c>
      <c r="S96" s="37">
        <f>Dados!X95/Dados!Y95</f>
        <v>33.020435466495492</v>
      </c>
      <c r="T96" s="38">
        <f>Dados!Z96/Dados!AA96</f>
        <v>0.99488631480992773</v>
      </c>
      <c r="U96" s="38">
        <f>Dados!X96/Dados!AA96</f>
        <v>0.91728629788536664</v>
      </c>
      <c r="V96" s="38">
        <f>Dados!AB95/Dados!X95</f>
        <v>-8.7013733093749143E-2</v>
      </c>
      <c r="W96" s="38">
        <f>Dados!AC95/Dados!AE95</f>
        <v>0.21043888562398161</v>
      </c>
      <c r="X96" s="38">
        <f>Dados!AE96/Dados!X96</f>
        <v>4.2019395001599659E-2</v>
      </c>
      <c r="Y96" s="37">
        <f>Dados!AF95/Dados!Y95</f>
        <v>0</v>
      </c>
      <c r="Z96" s="38">
        <f>Dados!AF95/Dados!AD95</f>
        <v>0</v>
      </c>
      <c r="AA96" s="37">
        <f>Dados!AG95/Dados!AH95</f>
        <v>31.276945714501409</v>
      </c>
      <c r="AB96" s="38">
        <f>Dados!AI96/Dados!AJ96</f>
        <v>0.99905870355034776</v>
      </c>
      <c r="AC96" s="38">
        <f>Dados!AG96/Dados!AJ96</f>
        <v>0.9985128920928168</v>
      </c>
      <c r="AD96" s="38">
        <f>Dados!AK95/Dados!AG95</f>
        <v>-5.0378307153583088E-2</v>
      </c>
      <c r="AE96" s="38">
        <f>Dados!AL95/Dados!AN95</f>
        <v>0.61530289672169125</v>
      </c>
      <c r="AF96" s="38">
        <f>Dados!AN96/Dados!AG96</f>
        <v>2.2112034990612737E-2</v>
      </c>
      <c r="AG96" s="37">
        <f>Dados!AO95/Dados!AH95</f>
        <v>0</v>
      </c>
      <c r="AH96" s="38">
        <f>Dados!AO95/Dados!AM95</f>
        <v>0</v>
      </c>
      <c r="AI96" s="37">
        <f>Dados!AP95/Dados!AQ95</f>
        <v>0</v>
      </c>
      <c r="AJ96" s="38" t="e">
        <f>Dados!AR96/Dados!AS96</f>
        <v>#DIV/0!</v>
      </c>
      <c r="AK96" s="38" t="e">
        <f>Dados!AP96/Dados!AS96</f>
        <v>#DIV/0!</v>
      </c>
      <c r="AL96" s="38" t="e">
        <f>Dados!AT95/Dados!AP95</f>
        <v>#DIV/0!</v>
      </c>
      <c r="AM96" s="38" t="e">
        <f>Dados!AU95/Dados!AW95</f>
        <v>#DIV/0!</v>
      </c>
      <c r="AN96" s="38" t="e">
        <f>Dados!AW96/Dados!AP96</f>
        <v>#DIV/0!</v>
      </c>
      <c r="AO96" s="37">
        <f>Dados!AX95/Dados!AQ95</f>
        <v>0</v>
      </c>
      <c r="AP96" s="39" t="e">
        <f>Dados!AX95/Dados!AV95</f>
        <v>#DIV/0!</v>
      </c>
    </row>
    <row r="97" spans="1:42" ht="25.5" x14ac:dyDescent="0.25">
      <c r="A97" s="13">
        <v>51</v>
      </c>
      <c r="B97" s="13" t="s">
        <v>104</v>
      </c>
      <c r="C97" s="37">
        <f>Dados!F97/Dados!G97</f>
        <v>0</v>
      </c>
      <c r="D97" s="38" t="e">
        <f>Dados!H97/Dados!I97</f>
        <v>#DIV/0!</v>
      </c>
      <c r="E97" s="38" t="e">
        <f>Dados!F97/Dados!I97</f>
        <v>#DIV/0!</v>
      </c>
      <c r="F97" s="38" t="e">
        <f>Dados!J97/Dados!F97</f>
        <v>#DIV/0!</v>
      </c>
      <c r="G97" s="38" t="e">
        <f>Dados!K97/Dados!M97</f>
        <v>#DIV/0!</v>
      </c>
      <c r="H97" s="38" t="e">
        <f>Dados!M97/Dados!F97</f>
        <v>#DIV/0!</v>
      </c>
      <c r="I97" s="37">
        <f>Dados!N97/Dados!G97</f>
        <v>0</v>
      </c>
      <c r="J97" s="38" t="e">
        <f>Dados!N97/Dados!L97</f>
        <v>#DIV/0!</v>
      </c>
      <c r="K97" s="37">
        <f>Dados!O96/Dados!P96</f>
        <v>86.527046759621001</v>
      </c>
      <c r="L97" s="38">
        <f>Dados!Q97/Dados!R97</f>
        <v>0.21874055139995296</v>
      </c>
      <c r="M97" s="38">
        <f>Dados!O97/Dados!R97</f>
        <v>1</v>
      </c>
      <c r="N97" s="38">
        <f>Dados!S96/Dados!O96</f>
        <v>-9.9829039793606304E-3</v>
      </c>
      <c r="O97" s="38">
        <f>Dados!T96/Dados!V96</f>
        <v>0.32361863427346893</v>
      </c>
      <c r="P97" s="38">
        <f>Dados!V97/Dados!O97</f>
        <v>1.2827801679809141E-2</v>
      </c>
      <c r="Q97" s="37">
        <f>Dados!W96/Dados!P96</f>
        <v>0</v>
      </c>
      <c r="R97" s="38">
        <f>Dados!W96/Dados!U96</f>
        <v>0</v>
      </c>
      <c r="S97" s="37">
        <f>Dados!X96/Dados!Y96</f>
        <v>61.527332590736592</v>
      </c>
      <c r="T97" s="38">
        <f>Dados!Z97/Dados!AA97</f>
        <v>0.19487608196631906</v>
      </c>
      <c r="U97" s="38">
        <f>Dados!X97/Dados!AA97</f>
        <v>1.6330151682803138</v>
      </c>
      <c r="V97" s="38">
        <f>Dados!AB96/Dados!X96</f>
        <v>-9.0172176675171536E-2</v>
      </c>
      <c r="W97" s="38">
        <f>Dados!AC96/Dados!AE96</f>
        <v>8.2498136786264956E-2</v>
      </c>
      <c r="X97" s="38">
        <f>Dados!AE97/Dados!X97</f>
        <v>4.9826939521206192E-3</v>
      </c>
      <c r="Y97" s="37">
        <f>Dados!AF96/Dados!Y96</f>
        <v>0</v>
      </c>
      <c r="Z97" s="38">
        <f>Dados!AF96/Dados!AD96</f>
        <v>0</v>
      </c>
      <c r="AA97" s="37">
        <f>Dados!AG96/Dados!AH96</f>
        <v>50.063311612258182</v>
      </c>
      <c r="AB97" s="38">
        <f>Dados!AI97/Dados!AJ97</f>
        <v>0.77773992338936071</v>
      </c>
      <c r="AC97" s="38">
        <f>Dados!AG97/Dados!AJ97</f>
        <v>4.1613050491248744</v>
      </c>
      <c r="AD97" s="38">
        <f>Dados!AK96/Dados!AG96</f>
        <v>-1.4893226907329905E-3</v>
      </c>
      <c r="AE97" s="38">
        <f>Dados!AL96/Dados!AN96</f>
        <v>0.92469436994536336</v>
      </c>
      <c r="AF97" s="38">
        <f>Dados!AN97/Dados!AG97</f>
        <v>2.2804872975893856E-2</v>
      </c>
      <c r="AG97" s="37">
        <f>Dados!AO96/Dados!AH96</f>
        <v>0</v>
      </c>
      <c r="AH97" s="38">
        <f>Dados!AO96/Dados!AM96</f>
        <v>0</v>
      </c>
      <c r="AI97" s="37">
        <f>Dados!AP96/Dados!AQ96</f>
        <v>0</v>
      </c>
      <c r="AJ97" s="38" t="e">
        <f>Dados!AR97/Dados!AS97</f>
        <v>#DIV/0!</v>
      </c>
      <c r="AK97" s="38" t="e">
        <f>Dados!AP97/Dados!AS97</f>
        <v>#DIV/0!</v>
      </c>
      <c r="AL97" s="38" t="e">
        <f>Dados!AT96/Dados!AP96</f>
        <v>#DIV/0!</v>
      </c>
      <c r="AM97" s="38" t="e">
        <f>Dados!AU96/Dados!AW96</f>
        <v>#DIV/0!</v>
      </c>
      <c r="AN97" s="38" t="e">
        <f>Dados!AW97/Dados!AP97</f>
        <v>#DIV/0!</v>
      </c>
      <c r="AO97" s="37">
        <f>Dados!AX96/Dados!AQ96</f>
        <v>0</v>
      </c>
      <c r="AP97" s="39" t="e">
        <f>Dados!AX96/Dados!AV96</f>
        <v>#DIV/0!</v>
      </c>
    </row>
    <row r="98" spans="1:42" ht="25.5" x14ac:dyDescent="0.25">
      <c r="A98" s="13">
        <v>90</v>
      </c>
      <c r="B98" s="13" t="s">
        <v>105</v>
      </c>
      <c r="C98" s="37">
        <f>Dados!F98/Dados!G98</f>
        <v>0</v>
      </c>
      <c r="D98" s="38" t="e">
        <f>Dados!H98/Dados!I98</f>
        <v>#DIV/0!</v>
      </c>
      <c r="E98" s="38" t="e">
        <f>Dados!F98/Dados!I98</f>
        <v>#DIV/0!</v>
      </c>
      <c r="F98" s="38" t="e">
        <f>Dados!J98/Dados!F98</f>
        <v>#DIV/0!</v>
      </c>
      <c r="G98" s="38" t="e">
        <f>Dados!K98/Dados!M98</f>
        <v>#DIV/0!</v>
      </c>
      <c r="H98" s="38" t="e">
        <f>Dados!M98/Dados!F98</f>
        <v>#DIV/0!</v>
      </c>
      <c r="I98" s="37">
        <f>Dados!N98/Dados!G98</f>
        <v>0</v>
      </c>
      <c r="J98" s="38" t="e">
        <f>Dados!N98/Dados!L98</f>
        <v>#DIV/0!</v>
      </c>
      <c r="K98" s="37">
        <f>Dados!O97/Dados!P97</f>
        <v>34.706434273230741</v>
      </c>
      <c r="L98" s="38">
        <f>Dados!Q98/Dados!R98</f>
        <v>0.6843128601825309</v>
      </c>
      <c r="M98" s="38">
        <f>Dados!O98/Dados!R98</f>
        <v>0.76988701912530555</v>
      </c>
      <c r="N98" s="38">
        <f>Dados!S97/Dados!O97</f>
        <v>0</v>
      </c>
      <c r="O98" s="38">
        <f>Dados!T97/Dados!V97</f>
        <v>102.23022728863957</v>
      </c>
      <c r="P98" s="38">
        <f>Dados!V98/Dados!O98</f>
        <v>0</v>
      </c>
      <c r="Q98" s="37">
        <f>Dados!W97/Dados!P97</f>
        <v>0</v>
      </c>
      <c r="R98" s="38">
        <f>Dados!W97/Dados!U97</f>
        <v>0</v>
      </c>
      <c r="S98" s="37">
        <f>Dados!X97/Dados!Y97</f>
        <v>77.71693768572284</v>
      </c>
      <c r="T98" s="38">
        <f>Dados!Z98/Dados!AA98</f>
        <v>0.99452911217366302</v>
      </c>
      <c r="U98" s="38">
        <f>Dados!X98/Dados!AA98</f>
        <v>1.4119343586894557</v>
      </c>
      <c r="V98" s="38">
        <f>Dados!AB97/Dados!X97</f>
        <v>0.38763581660231955</v>
      </c>
      <c r="W98" s="38">
        <f>Dados!AC97/Dados!AE97</f>
        <v>165.2523205055638</v>
      </c>
      <c r="X98" s="38">
        <f>Dados!AE98/Dados!X98</f>
        <v>2.3039011784193931E-3</v>
      </c>
      <c r="Y98" s="37">
        <f>Dados!AF97/Dados!Y97</f>
        <v>0</v>
      </c>
      <c r="Z98" s="38">
        <f>Dados!AF97/Dados!AD97</f>
        <v>0</v>
      </c>
      <c r="AA98" s="37">
        <f>Dados!AG97/Dados!AH97</f>
        <v>16.542648814611937</v>
      </c>
      <c r="AB98" s="38" t="e">
        <f>Dados!AI98/Dados!AJ98</f>
        <v>#DIV/0!</v>
      </c>
      <c r="AC98" s="38" t="e">
        <f>Dados!AG98/Dados!AJ98</f>
        <v>#DIV/0!</v>
      </c>
      <c r="AD98" s="38">
        <f>Dados!AK97/Dados!AG97</f>
        <v>0.75969077291983178</v>
      </c>
      <c r="AE98" s="38">
        <f>Dados!AL97/Dados!AN97</f>
        <v>91.847952169299688</v>
      </c>
      <c r="AF98" s="38" t="e">
        <f>Dados!AN98/Dados!AG98</f>
        <v>#DIV/0!</v>
      </c>
      <c r="AG98" s="37">
        <f>Dados!AO97/Dados!AH97</f>
        <v>0</v>
      </c>
      <c r="AH98" s="38">
        <f>Dados!AO97/Dados!AM97</f>
        <v>0</v>
      </c>
      <c r="AI98" s="37">
        <f>Dados!AP97/Dados!AQ97</f>
        <v>0</v>
      </c>
      <c r="AJ98" s="38">
        <f>Dados!AR98/Dados!AS98</f>
        <v>0.85163520107373025</v>
      </c>
      <c r="AK98" s="38">
        <f>Dados!AP98/Dados!AS98</f>
        <v>0.90575181032292151</v>
      </c>
      <c r="AL98" s="38" t="e">
        <f>Dados!AT97/Dados!AP97</f>
        <v>#DIV/0!</v>
      </c>
      <c r="AM98" s="38" t="e">
        <f>Dados!AU97/Dados!AW97</f>
        <v>#DIV/0!</v>
      </c>
      <c r="AN98" s="38">
        <f>Dados!AW98/Dados!AP98</f>
        <v>7.3769965691903765E-3</v>
      </c>
      <c r="AO98" s="37">
        <f>Dados!AX97/Dados!AQ97</f>
        <v>0</v>
      </c>
      <c r="AP98" s="39" t="e">
        <f>Dados!AX97/Dados!AV97</f>
        <v>#DIV/0!</v>
      </c>
    </row>
    <row r="99" spans="1:42" ht="25.5" x14ac:dyDescent="0.25">
      <c r="A99" s="13">
        <v>94</v>
      </c>
      <c r="B99" s="13" t="s">
        <v>106</v>
      </c>
      <c r="C99" s="37">
        <f>Dados!F99/Dados!G99</f>
        <v>24.665898309459287</v>
      </c>
      <c r="D99" s="38">
        <f>Dados!H99/Dados!I99</f>
        <v>0.99041799156233468</v>
      </c>
      <c r="E99" s="38">
        <f>Dados!F99/Dados!I99</f>
        <v>0.90901565622841551</v>
      </c>
      <c r="F99" s="38">
        <f>Dados!J99/Dados!F99</f>
        <v>-0.1000910635016854</v>
      </c>
      <c r="G99" s="38">
        <f>Dados!K99/Dados!M99</f>
        <v>6.9952978068565272</v>
      </c>
      <c r="H99" s="38">
        <f>Dados!M99/Dados!F99</f>
        <v>5.2454312476218852E-2</v>
      </c>
      <c r="I99" s="37">
        <f>Dados!N99/Dados!G99</f>
        <v>0</v>
      </c>
      <c r="J99" s="38">
        <f>Dados!N99/Dados!L99</f>
        <v>0</v>
      </c>
      <c r="K99" s="37">
        <f>Dados!O98/Dados!P98</f>
        <v>5.9795928327832453</v>
      </c>
      <c r="L99" s="38">
        <f>Dados!Q99/Dados!R99</f>
        <v>0.99075577969094242</v>
      </c>
      <c r="M99" s="38">
        <f>Dados!O99/Dados!R99</f>
        <v>1.0412119638767208</v>
      </c>
      <c r="N99" s="38">
        <f>Dados!S98/Dados!O98</f>
        <v>-0.2988918830403629</v>
      </c>
      <c r="O99" s="38" t="e">
        <f>Dados!T98/Dados!V98</f>
        <v>#DIV/0!</v>
      </c>
      <c r="P99" s="38" t="e">
        <f>Dados!V99/Dados!O99</f>
        <v>#VALUE!</v>
      </c>
      <c r="Q99" s="37">
        <f>Dados!W98/Dados!P98</f>
        <v>0</v>
      </c>
      <c r="R99" s="38">
        <f>Dados!W98/Dados!U98</f>
        <v>0</v>
      </c>
      <c r="S99" s="37">
        <f>Dados!X98/Dados!Y98</f>
        <v>7.9629980377141765</v>
      </c>
      <c r="T99" s="38">
        <f>Dados!Z99/Dados!AA99</f>
        <v>1</v>
      </c>
      <c r="U99" s="38">
        <f>Dados!X99/Dados!AA99</f>
        <v>1.3635987922367654</v>
      </c>
      <c r="V99" s="38">
        <f>Dados!AB98/Dados!X98</f>
        <v>0.29175177737852437</v>
      </c>
      <c r="W99" s="38">
        <f>Dados!AC98/Dados!AE98</f>
        <v>133.84331062387741</v>
      </c>
      <c r="X99" s="38">
        <f>Dados!AE99/Dados!X99</f>
        <v>4.5242073664860001E-2</v>
      </c>
      <c r="Y99" s="37">
        <f>Dados!AF98/Dados!Y98</f>
        <v>0</v>
      </c>
      <c r="Z99" s="38">
        <f>Dados!AF98/Dados!AD98</f>
        <v>0</v>
      </c>
      <c r="AA99" s="37">
        <f>Dados!AG98/Dados!AH98</f>
        <v>0</v>
      </c>
      <c r="AB99" s="38">
        <f>Dados!AI99/Dados!AJ99</f>
        <v>0.99695138900610392</v>
      </c>
      <c r="AC99" s="38">
        <f>Dados!AG99/Dados!AJ99</f>
        <v>1.0223542972600193</v>
      </c>
      <c r="AD99" s="38" t="e">
        <f>Dados!AK98/Dados!AG98</f>
        <v>#DIV/0!</v>
      </c>
      <c r="AE99" s="38" t="e">
        <f>Dados!AL98/Dados!AN98</f>
        <v>#DIV/0!</v>
      </c>
      <c r="AF99" s="38">
        <f>Dados!AN99/Dados!AG99</f>
        <v>8.4862216246721162E-2</v>
      </c>
      <c r="AG99" s="37">
        <f>Dados!AO98/Dados!AH98</f>
        <v>0</v>
      </c>
      <c r="AH99" s="38" t="e">
        <f>Dados!AO98/Dados!AM98</f>
        <v>#DIV/0!</v>
      </c>
      <c r="AI99" s="37">
        <f>Dados!AP98/Dados!AQ98</f>
        <v>4.5203499933106599</v>
      </c>
      <c r="AJ99" s="38">
        <f>Dados!AR99/Dados!AS99</f>
        <v>0.99282428955841517</v>
      </c>
      <c r="AK99" s="38">
        <f>Dados!AP99/Dados!AS99</f>
        <v>0.96074279439383858</v>
      </c>
      <c r="AL99" s="38">
        <f>Dados!AT98/Dados!AP98</f>
        <v>-0.10405520430975107</v>
      </c>
      <c r="AM99" s="38">
        <f>Dados!AU98/Dados!AW98</f>
        <v>9.2027646947654933</v>
      </c>
      <c r="AN99" s="38">
        <f>Dados!AW99/Dados!AP99</f>
        <v>1.10185217710486E-2</v>
      </c>
      <c r="AO99" s="37">
        <f>Dados!AX98/Dados!AQ98</f>
        <v>0</v>
      </c>
      <c r="AP99" s="39">
        <f>Dados!AX98/Dados!AV98</f>
        <v>0</v>
      </c>
    </row>
    <row r="100" spans="1:42" x14ac:dyDescent="0.25">
      <c r="A100" s="13">
        <v>106</v>
      </c>
      <c r="B100" s="13" t="s">
        <v>107</v>
      </c>
      <c r="C100" s="37">
        <f>Dados!F100/Dados!G100</f>
        <v>41.38530290328189</v>
      </c>
      <c r="D100" s="38">
        <f>Dados!H100/Dados!I100</f>
        <v>0.94421368801998362</v>
      </c>
      <c r="E100" s="38">
        <f>Dados!F100/Dados!I100</f>
        <v>1.0174295446876926</v>
      </c>
      <c r="F100" s="38">
        <f>Dados!J100/Dados!F100</f>
        <v>-1.7130959857316396E-2</v>
      </c>
      <c r="G100" s="38">
        <f>Dados!K100/Dados!M100</f>
        <v>0.77963089430194243</v>
      </c>
      <c r="H100" s="38">
        <f>Dados!M100/Dados!F100</f>
        <v>8.9113454075946383E-2</v>
      </c>
      <c r="I100" s="37">
        <f>Dados!N100/Dados!G100</f>
        <v>0</v>
      </c>
      <c r="J100" s="38">
        <f>Dados!N100/Dados!L100</f>
        <v>0</v>
      </c>
      <c r="K100" s="37">
        <f>Dados!O99/Dados!P99</f>
        <v>21.397107076375541</v>
      </c>
      <c r="L100" s="38">
        <f>Dados!Q100/Dados!R100</f>
        <v>0.95514892381659655</v>
      </c>
      <c r="M100" s="38">
        <f>Dados!O100/Dados!R100</f>
        <v>0.9699577069431129</v>
      </c>
      <c r="N100" s="38">
        <f>Dados!S99/Dados!O99</f>
        <v>3.9580762905640464E-2</v>
      </c>
      <c r="O100" s="38" t="e">
        <f>Dados!T99/Dados!V99</f>
        <v>#VALUE!</v>
      </c>
      <c r="P100" s="38">
        <f>Dados!V100/Dados!O100</f>
        <v>9.2777245346217785E-2</v>
      </c>
      <c r="Q100" s="37">
        <f>Dados!W99/Dados!P99</f>
        <v>0</v>
      </c>
      <c r="R100" s="38">
        <f>Dados!W99/Dados!U99</f>
        <v>0</v>
      </c>
      <c r="S100" s="37">
        <f>Dados!X99/Dados!Y99</f>
        <v>19.091722872375154</v>
      </c>
      <c r="T100" s="38">
        <f>Dados!Z100/Dados!AA100</f>
        <v>0.96086568654563631</v>
      </c>
      <c r="U100" s="38">
        <f>Dados!X100/Dados!AA100</f>
        <v>0.95772968709944351</v>
      </c>
      <c r="V100" s="38">
        <f>Dados!AB99/Dados!X99</f>
        <v>0.26664646104617024</v>
      </c>
      <c r="W100" s="38">
        <f>Dados!AC99/Dados!AE99</f>
        <v>11.612312744322493</v>
      </c>
      <c r="X100" s="38">
        <f>Dados!AE100/Dados!X100</f>
        <v>4.7171863108666764E-2</v>
      </c>
      <c r="Y100" s="37">
        <f>Dados!AF99/Dados!Y99</f>
        <v>0</v>
      </c>
      <c r="Z100" s="38">
        <f>Dados!AF99/Dados!AD99</f>
        <v>0</v>
      </c>
      <c r="AA100" s="37">
        <f>Dados!AG99/Dados!AH99</f>
        <v>16.812051579925651</v>
      </c>
      <c r="AB100" s="38" t="e">
        <f>Dados!AI100/Dados!AJ100</f>
        <v>#DIV/0!</v>
      </c>
      <c r="AC100" s="38" t="e">
        <f>Dados!AG100/Dados!AJ100</f>
        <v>#DIV/0!</v>
      </c>
      <c r="AD100" s="38">
        <f>Dados!AK99/Dados!AG99</f>
        <v>2.1865509168328613E-2</v>
      </c>
      <c r="AE100" s="38">
        <f>Dados!AL99/Dados!AN99</f>
        <v>3.8546511191630399</v>
      </c>
      <c r="AF100" s="38" t="e">
        <f>Dados!AN100/Dados!AG100</f>
        <v>#DIV/0!</v>
      </c>
      <c r="AG100" s="37">
        <f>Dados!AO99/Dados!AH99</f>
        <v>0</v>
      </c>
      <c r="AH100" s="38">
        <f>Dados!AO99/Dados!AM99</f>
        <v>0</v>
      </c>
      <c r="AI100" s="37">
        <f>Dados!AP99/Dados!AQ99</f>
        <v>17.038921232327766</v>
      </c>
      <c r="AJ100" s="38" t="e">
        <f>Dados!AR100/Dados!AS100</f>
        <v>#DIV/0!</v>
      </c>
      <c r="AK100" s="38" t="e">
        <f>Dados!AP100/Dados!AS100</f>
        <v>#DIV/0!</v>
      </c>
      <c r="AL100" s="38">
        <f>Dados!AT99/Dados!AP99</f>
        <v>-4.0861306309281205E-2</v>
      </c>
      <c r="AM100" s="38">
        <f>Dados!AU99/Dados!AW99</f>
        <v>20.851186786628848</v>
      </c>
      <c r="AN100" s="38" t="e">
        <f>Dados!AW100/Dados!AP100</f>
        <v>#DIV/0!</v>
      </c>
      <c r="AO100" s="37">
        <f>Dados!AX99/Dados!AQ99</f>
        <v>0</v>
      </c>
      <c r="AP100" s="39">
        <f>Dados!AX99/Dados!AV99</f>
        <v>0</v>
      </c>
    </row>
    <row r="101" spans="1:42" x14ac:dyDescent="0.25">
      <c r="A101" s="13">
        <v>107</v>
      </c>
      <c r="B101" s="13" t="s">
        <v>108</v>
      </c>
      <c r="C101" s="37">
        <f>Dados!F101/Dados!G101</f>
        <v>61.992655413665922</v>
      </c>
      <c r="D101" s="38">
        <f>Dados!H101/Dados!I101</f>
        <v>0.91656248245457028</v>
      </c>
      <c r="E101" s="38">
        <f>Dados!F101/Dados!I101</f>
        <v>0.91285179181622234</v>
      </c>
      <c r="F101" s="38">
        <f>Dados!J101/Dados!F101</f>
        <v>-9.5468080322640744E-2</v>
      </c>
      <c r="G101" s="38">
        <f>Dados!K101/Dados!M101</f>
        <v>1.3768574431877838</v>
      </c>
      <c r="H101" s="38">
        <f>Dados!M101/Dados!F101</f>
        <v>4.2134704785278913E-2</v>
      </c>
      <c r="I101" s="37">
        <f>Dados!N101/Dados!G101</f>
        <v>8.4732988483310567</v>
      </c>
      <c r="J101" s="38">
        <f>Dados!N101/Dados!L101</f>
        <v>0.13668230198868311</v>
      </c>
      <c r="K101" s="37">
        <f>Dados!O100/Dados!P100</f>
        <v>38.807362449788528</v>
      </c>
      <c r="L101" s="38">
        <f>Dados!Q101/Dados!R101</f>
        <v>0.76550667342716217</v>
      </c>
      <c r="M101" s="38">
        <f>Dados!O101/Dados!R101</f>
        <v>0.7871175871505014</v>
      </c>
      <c r="N101" s="38">
        <f>Dados!S100/Dados!O100</f>
        <v>-3.0972786588363062E-2</v>
      </c>
      <c r="O101" s="38">
        <f>Dados!T100/Dados!V100</f>
        <v>0.46280706743229361</v>
      </c>
      <c r="P101" s="38">
        <f>Dados!V101/Dados!O101</f>
        <v>0.27217254479508535</v>
      </c>
      <c r="Q101" s="37">
        <f>Dados!W100/Dados!P100</f>
        <v>1.0759601283713417E-3</v>
      </c>
      <c r="R101" s="38">
        <f>Dados!W100/Dados!U100</f>
        <v>2.7725670090655828E-5</v>
      </c>
      <c r="S101" s="37">
        <f>Dados!X100/Dados!Y100</f>
        <v>40.904716601494727</v>
      </c>
      <c r="T101" s="38">
        <f>Dados!Z101/Dados!AA101</f>
        <v>0.57524932609675172</v>
      </c>
      <c r="U101" s="38">
        <f>Dados!X101/Dados!AA101</f>
        <v>0.85390853414511336</v>
      </c>
      <c r="V101" s="38">
        <f>Dados!AB100/Dados!X100</f>
        <v>-4.4135953463628572E-2</v>
      </c>
      <c r="W101" s="38">
        <f>Dados!AC100/Dados!AE100</f>
        <v>0.51354074782364478</v>
      </c>
      <c r="X101" s="38">
        <f>Dados!AE101/Dados!X101</f>
        <v>0.32746756022841889</v>
      </c>
      <c r="Y101" s="37">
        <f>Dados!AF100/Dados!Y100</f>
        <v>0</v>
      </c>
      <c r="Z101" s="38">
        <f>Dados!AF100/Dados!AD100</f>
        <v>0</v>
      </c>
      <c r="AA101" s="37">
        <f>Dados!AG100/Dados!AH100</f>
        <v>0</v>
      </c>
      <c r="AB101" s="38">
        <f>Dados!AI101/Dados!AJ101</f>
        <v>0.97438960770425509</v>
      </c>
      <c r="AC101" s="38">
        <f>Dados!AG101/Dados!AJ101</f>
        <v>1.5797549130177655</v>
      </c>
      <c r="AD101" s="38" t="e">
        <f>Dados!AK100/Dados!AG100</f>
        <v>#DIV/0!</v>
      </c>
      <c r="AE101" s="38" t="e">
        <f>Dados!AL100/Dados!AN100</f>
        <v>#DIV/0!</v>
      </c>
      <c r="AF101" s="38">
        <f>Dados!AN101/Dados!AG101</f>
        <v>0.89134352237115766</v>
      </c>
      <c r="AG101" s="37">
        <f>Dados!AO100/Dados!AH100</f>
        <v>0</v>
      </c>
      <c r="AH101" s="38" t="e">
        <f>Dados!AO100/Dados!AM100</f>
        <v>#DIV/0!</v>
      </c>
      <c r="AI101" s="37">
        <f>Dados!AP100/Dados!AQ100</f>
        <v>0</v>
      </c>
      <c r="AJ101" s="38">
        <f>Dados!AR101/Dados!AS101</f>
        <v>0.99910310552847881</v>
      </c>
      <c r="AK101" s="38">
        <f>Dados!AP101/Dados!AS101</f>
        <v>1.0972162137107597</v>
      </c>
      <c r="AL101" s="38" t="e">
        <f>Dados!AT100/Dados!AP100</f>
        <v>#DIV/0!</v>
      </c>
      <c r="AM101" s="38" t="e">
        <f>Dados!AU100/Dados!AW100</f>
        <v>#DIV/0!</v>
      </c>
      <c r="AN101" s="38">
        <f>Dados!AW101/Dados!AP101</f>
        <v>0.62051956558028498</v>
      </c>
      <c r="AO101" s="37">
        <f>Dados!AX100/Dados!AQ100</f>
        <v>0</v>
      </c>
      <c r="AP101" s="39" t="e">
        <f>Dados!AX100/Dados!AV100</f>
        <v>#DIV/0!</v>
      </c>
    </row>
    <row r="102" spans="1:42" x14ac:dyDescent="0.25">
      <c r="A102" s="13">
        <v>109</v>
      </c>
      <c r="B102" s="13" t="s">
        <v>109</v>
      </c>
      <c r="C102" s="37">
        <f>Dados!F102/Dados!G102</f>
        <v>0</v>
      </c>
      <c r="D102" s="38" t="e">
        <f>Dados!H102/Dados!I102</f>
        <v>#DIV/0!</v>
      </c>
      <c r="E102" s="38" t="e">
        <f>Dados!F102/Dados!I102</f>
        <v>#DIV/0!</v>
      </c>
      <c r="F102" s="38" t="e">
        <f>Dados!J102/Dados!F102</f>
        <v>#DIV/0!</v>
      </c>
      <c r="G102" s="38" t="e">
        <f>Dados!K102/Dados!M102</f>
        <v>#DIV/0!</v>
      </c>
      <c r="H102" s="38" t="e">
        <f>Dados!M102/Dados!F102</f>
        <v>#DIV/0!</v>
      </c>
      <c r="I102" s="37">
        <f>Dados!N102/Dados!G102</f>
        <v>0</v>
      </c>
      <c r="J102" s="38" t="e">
        <f>Dados!N102/Dados!L102</f>
        <v>#DIV/0!</v>
      </c>
      <c r="K102" s="37">
        <f>Dados!O101/Dados!P101</f>
        <v>55.122797571336967</v>
      </c>
      <c r="L102" s="38" t="e">
        <f>Dados!Q102/Dados!R102</f>
        <v>#DIV/0!</v>
      </c>
      <c r="M102" s="38" t="e">
        <f>Dados!O102/Dados!R102</f>
        <v>#DIV/0!</v>
      </c>
      <c r="N102" s="38">
        <f>Dados!S101/Dados!O101</f>
        <v>0.27045820894457318</v>
      </c>
      <c r="O102" s="38">
        <f>Dados!T101/Dados!V101</f>
        <v>0.86424241740233387</v>
      </c>
      <c r="P102" s="38" t="e">
        <f>Dados!V102/Dados!O102</f>
        <v>#DIV/0!</v>
      </c>
      <c r="Q102" s="37">
        <f>Dados!W101/Dados!P101</f>
        <v>0</v>
      </c>
      <c r="R102" s="38">
        <f>Dados!W101/Dados!U101</f>
        <v>0</v>
      </c>
      <c r="S102" s="37">
        <f>Dados!X101/Dados!Y101</f>
        <v>53.030025078461847</v>
      </c>
      <c r="T102" s="38">
        <f>Dados!Z102/Dados!AA102</f>
        <v>0.98633536045566095</v>
      </c>
      <c r="U102" s="38">
        <f>Dados!X102/Dados!AA102</f>
        <v>1.0107555814244635</v>
      </c>
      <c r="V102" s="38">
        <f>Dados!AB101/Dados!X101</f>
        <v>-0.17108561398926103</v>
      </c>
      <c r="W102" s="38">
        <f>Dados!AC101/Dados!AE101</f>
        <v>1.5297234430087276</v>
      </c>
      <c r="X102" s="38">
        <f>Dados!AE102/Dados!X102</f>
        <v>9.9646548988302455E-2</v>
      </c>
      <c r="Y102" s="37">
        <f>Dados!AF101/Dados!Y101</f>
        <v>0</v>
      </c>
      <c r="Z102" s="38">
        <f>Dados!AF101/Dados!AD101</f>
        <v>0</v>
      </c>
      <c r="AA102" s="37">
        <f>Dados!AG101/Dados!AH101</f>
        <v>21.249236658711219</v>
      </c>
      <c r="AB102" s="38" t="e">
        <f>Dados!AI102/Dados!AJ102</f>
        <v>#DIV/0!</v>
      </c>
      <c r="AC102" s="38" t="e">
        <f>Dados!AG102/Dados!AJ102</f>
        <v>#DIV/0!</v>
      </c>
      <c r="AD102" s="38">
        <f>Dados!AK101/Dados!AG101</f>
        <v>0.36699041619707612</v>
      </c>
      <c r="AE102" s="38">
        <f>Dados!AL101/Dados!AN101</f>
        <v>9.8212266438817641E-4</v>
      </c>
      <c r="AF102" s="38" t="e">
        <f>Dados!AN102/Dados!AG102</f>
        <v>#DIV/0!</v>
      </c>
      <c r="AG102" s="37">
        <f>Dados!AO101/Dados!AH101</f>
        <v>0</v>
      </c>
      <c r="AH102" s="38">
        <f>Dados!AO101/Dados!AM101</f>
        <v>0</v>
      </c>
      <c r="AI102" s="37">
        <f>Dados!AP101/Dados!AQ101</f>
        <v>13.080824722495265</v>
      </c>
      <c r="AJ102" s="38" t="e">
        <f>Dados!AR102/Dados!AS102</f>
        <v>#DIV/0!</v>
      </c>
      <c r="AK102" s="38" t="e">
        <f>Dados!AP102/Dados!AS102</f>
        <v>#DIV/0!</v>
      </c>
      <c r="AL102" s="38">
        <f>Dados!AT101/Dados!AP101</f>
        <v>8.8602604022753953E-2</v>
      </c>
      <c r="AM102" s="38">
        <f>Dados!AU101/Dados!AW101</f>
        <v>4.0678779586518526E-2</v>
      </c>
      <c r="AN102" s="38" t="e">
        <f>Dados!AW102/Dados!AP102</f>
        <v>#DIV/0!</v>
      </c>
      <c r="AO102" s="37">
        <f>Dados!AX101/Dados!AQ101</f>
        <v>0</v>
      </c>
      <c r="AP102" s="39">
        <f>Dados!AX101/Dados!AV101</f>
        <v>0</v>
      </c>
    </row>
    <row r="103" spans="1:42" x14ac:dyDescent="0.25">
      <c r="A103" s="13">
        <v>110</v>
      </c>
      <c r="B103" s="13" t="s">
        <v>110</v>
      </c>
      <c r="C103" s="37">
        <f>Dados!F103/Dados!G103</f>
        <v>34.318499162763359</v>
      </c>
      <c r="D103" s="38">
        <f>Dados!H103/Dados!I103</f>
        <v>0.94454683410842954</v>
      </c>
      <c r="E103" s="38">
        <f>Dados!F103/Dados!I103</f>
        <v>1.1379429445367131</v>
      </c>
      <c r="F103" s="38">
        <f>Dados!J103/Dados!F103</f>
        <v>0.12122131887102065</v>
      </c>
      <c r="G103" s="38">
        <f>Dados!K103/Dados!M103</f>
        <v>1.3634756904851859</v>
      </c>
      <c r="H103" s="38">
        <f>Dados!M103/Dados!F103</f>
        <v>0.13175340434229718</v>
      </c>
      <c r="I103" s="37">
        <f>Dados!N103/Dados!G103</f>
        <v>1.4934086604834653</v>
      </c>
      <c r="J103" s="38">
        <f>Dados!N103/Dados!L103</f>
        <v>4.3516141349906709E-2</v>
      </c>
      <c r="K103" s="37">
        <f>Dados!O102/Dados!P102</f>
        <v>0</v>
      </c>
      <c r="L103" s="38">
        <f>Dados!Q103/Dados!R103</f>
        <v>0.93594397750391878</v>
      </c>
      <c r="M103" s="38">
        <f>Dados!O103/Dados!R103</f>
        <v>1.013908479316652</v>
      </c>
      <c r="N103" s="38" t="e">
        <f>Dados!S102/Dados!O102</f>
        <v>#DIV/0!</v>
      </c>
      <c r="O103" s="38" t="e">
        <f>Dados!T102/Dados!V102</f>
        <v>#DIV/0!</v>
      </c>
      <c r="P103" s="38">
        <f>Dados!V103/Dados!O103</f>
        <v>0.15876223790891486</v>
      </c>
      <c r="Q103" s="37">
        <f>Dados!W102/Dados!P102</f>
        <v>0</v>
      </c>
      <c r="R103" s="38" t="e">
        <f>Dados!W102/Dados!U102</f>
        <v>#DIV/0!</v>
      </c>
      <c r="S103" s="37">
        <f>Dados!X102/Dados!Y102</f>
        <v>70.195991539494585</v>
      </c>
      <c r="T103" s="38">
        <f>Dados!Z103/Dados!AA103</f>
        <v>0.95599592466565009</v>
      </c>
      <c r="U103" s="38">
        <f>Dados!X103/Dados!AA103</f>
        <v>0.9845260383193718</v>
      </c>
      <c r="V103" s="38">
        <f>Dados!AB102/Dados!X102</f>
        <v>1.0641129885531323E-2</v>
      </c>
      <c r="W103" s="38">
        <f>Dados!AC102/Dados!AE102</f>
        <v>1.1487917710254061</v>
      </c>
      <c r="X103" s="38">
        <f>Dados!AE103/Dados!X103</f>
        <v>0.20766739612914459</v>
      </c>
      <c r="Y103" s="37">
        <f>Dados!AF102/Dados!Y102</f>
        <v>0</v>
      </c>
      <c r="Z103" s="38">
        <f>Dados!AF102/Dados!AD102</f>
        <v>0</v>
      </c>
      <c r="AA103" s="37">
        <f>Dados!AG102/Dados!AH102</f>
        <v>0</v>
      </c>
      <c r="AB103" s="38">
        <f>Dados!AI103/Dados!AJ103</f>
        <v>0.95773328403510505</v>
      </c>
      <c r="AC103" s="38">
        <f>Dados!AG103/Dados!AJ103</f>
        <v>1.0271895128325765</v>
      </c>
      <c r="AD103" s="38" t="e">
        <f>Dados!AK102/Dados!AG102</f>
        <v>#DIV/0!</v>
      </c>
      <c r="AE103" s="38" t="e">
        <f>Dados!AL102/Dados!AN102</f>
        <v>#DIV/0!</v>
      </c>
      <c r="AF103" s="38">
        <f>Dados!AN103/Dados!AG103</f>
        <v>0.16251506782389599</v>
      </c>
      <c r="AG103" s="37">
        <f>Dados!AO102/Dados!AH102</f>
        <v>0</v>
      </c>
      <c r="AH103" s="38" t="e">
        <f>Dados!AO102/Dados!AM102</f>
        <v>#DIV/0!</v>
      </c>
      <c r="AI103" s="37">
        <f>Dados!AP102/Dados!AQ102</f>
        <v>0</v>
      </c>
      <c r="AJ103" s="38">
        <f>Dados!AR103/Dados!AS103</f>
        <v>0.95301244955997932</v>
      </c>
      <c r="AK103" s="38">
        <f>Dados!AP103/Dados!AS103</f>
        <v>1.0520569014301269</v>
      </c>
      <c r="AL103" s="38" t="e">
        <f>Dados!AT102/Dados!AP102</f>
        <v>#DIV/0!</v>
      </c>
      <c r="AM103" s="38" t="e">
        <f>Dados!AU102/Dados!AW102</f>
        <v>#DIV/0!</v>
      </c>
      <c r="AN103" s="38">
        <f>Dados!AW103/Dados!AP103</f>
        <v>0.30744261019205976</v>
      </c>
      <c r="AO103" s="37">
        <f>Dados!AX102/Dados!AQ102</f>
        <v>0</v>
      </c>
      <c r="AP103" s="39" t="e">
        <f>Dados!AX102/Dados!AV102</f>
        <v>#DIV/0!</v>
      </c>
    </row>
    <row r="104" spans="1:42" x14ac:dyDescent="0.25">
      <c r="A104" s="13">
        <v>112</v>
      </c>
      <c r="B104" s="13" t="s">
        <v>111</v>
      </c>
      <c r="C104" s="37">
        <f>Dados!F104/Dados!G104</f>
        <v>45.246534206669764</v>
      </c>
      <c r="D104" s="38">
        <f>Dados!H104/Dados!I104</f>
        <v>0.87150288989440317</v>
      </c>
      <c r="E104" s="38">
        <f>Dados!F104/Dados!I104</f>
        <v>1.1388810429852052</v>
      </c>
      <c r="F104" s="38">
        <f>Dados!J104/Dados!F104</f>
        <v>0.12194517051682054</v>
      </c>
      <c r="G104" s="38">
        <f>Dados!K104/Dados!M104</f>
        <v>6.5445115016073956</v>
      </c>
      <c r="H104" s="38">
        <f>Dados!M104/Dados!F104</f>
        <v>6.2027722084790106E-2</v>
      </c>
      <c r="I104" s="37">
        <f>Dados!N104/Dados!G104</f>
        <v>0</v>
      </c>
      <c r="J104" s="38">
        <f>Dados!N104/Dados!L104</f>
        <v>0</v>
      </c>
      <c r="K104" s="37">
        <f>Dados!O103/Dados!P103</f>
        <v>31.478151783515202</v>
      </c>
      <c r="L104" s="38" t="e">
        <f>Dados!Q104/Dados!R104</f>
        <v>#DIV/0!</v>
      </c>
      <c r="M104" s="38" t="e">
        <f>Dados!O104/Dados!R104</f>
        <v>#DIV/0!</v>
      </c>
      <c r="N104" s="38">
        <f>Dados!S103/Dados!O103</f>
        <v>1.3717687148672228E-2</v>
      </c>
      <c r="O104" s="38">
        <f>Dados!T103/Dados!V103</f>
        <v>0.38319084678209203</v>
      </c>
      <c r="P104" s="38" t="e">
        <f>Dados!V104/Dados!O104</f>
        <v>#DIV/0!</v>
      </c>
      <c r="Q104" s="37">
        <f>Dados!W103/Dados!P103</f>
        <v>1.545294068513541</v>
      </c>
      <c r="R104" s="38">
        <f>Dados!W103/Dados!U103</f>
        <v>4.9091003790216053E-2</v>
      </c>
      <c r="S104" s="37">
        <f>Dados!X103/Dados!Y103</f>
        <v>29.058495894100862</v>
      </c>
      <c r="T104" s="38" t="e">
        <f>Dados!Z104/Dados!AA104</f>
        <v>#DIV/0!</v>
      </c>
      <c r="U104" s="38" t="e">
        <f>Dados!X104/Dados!AA104</f>
        <v>#DIV/0!</v>
      </c>
      <c r="V104" s="38">
        <f>Dados!AB103/Dados!X103</f>
        <v>-1.5717168544412286E-2</v>
      </c>
      <c r="W104" s="38">
        <f>Dados!AC103/Dados!AE103</f>
        <v>0.32044095735590195</v>
      </c>
      <c r="X104" s="38" t="e">
        <f>Dados!AE104/Dados!X104</f>
        <v>#DIV/0!</v>
      </c>
      <c r="Y104" s="37">
        <f>Dados!AF103/Dados!Y103</f>
        <v>1.7897722840159487</v>
      </c>
      <c r="Z104" s="38">
        <f>Dados!AF103/Dados!AD103</f>
        <v>6.1592048347529536E-2</v>
      </c>
      <c r="AA104" s="37">
        <f>Dados!AG103/Dados!AH103</f>
        <v>28.625191969084241</v>
      </c>
      <c r="AB104" s="38" t="e">
        <f>Dados!AI104/Dados!AJ104</f>
        <v>#DIV/0!</v>
      </c>
      <c r="AC104" s="38" t="e">
        <f>Dados!AG104/Dados!AJ104</f>
        <v>#DIV/0!</v>
      </c>
      <c r="AD104" s="38">
        <f>Dados!AK103/Dados!AG103</f>
        <v>2.6469811551715371E-2</v>
      </c>
      <c r="AE104" s="38">
        <f>Dados!AL103/Dados!AN103</f>
        <v>0.66490742817095894</v>
      </c>
      <c r="AF104" s="38" t="e">
        <f>Dados!AN104/Dados!AG104</f>
        <v>#DIV/0!</v>
      </c>
      <c r="AG104" s="37">
        <f>Dados!AO103/Dados!AH103</f>
        <v>2.5701090291411859</v>
      </c>
      <c r="AH104" s="38">
        <f>Dados!AO103/Dados!AM103</f>
        <v>8.9784866138782685E-2</v>
      </c>
      <c r="AI104" s="37">
        <f>Dados!AP103/Dados!AQ103</f>
        <v>27.123973918519098</v>
      </c>
      <c r="AJ104" s="38" t="e">
        <f>Dados!AR104/Dados!AS104</f>
        <v>#DIV/0!</v>
      </c>
      <c r="AK104" s="38" t="e">
        <f>Dados!AP104/Dados!AS104</f>
        <v>#DIV/0!</v>
      </c>
      <c r="AL104" s="38">
        <f>Dados!AT103/Dados!AP103</f>
        <v>4.9481070234283504E-2</v>
      </c>
      <c r="AM104" s="38">
        <f>Dados!AU103/Dados!AW103</f>
        <v>0.19720463435167129</v>
      </c>
      <c r="AN104" s="38" t="e">
        <f>Dados!AW104/Dados!AP104</f>
        <v>#DIV/0!</v>
      </c>
      <c r="AO104" s="37">
        <f>Dados!AX103/Dados!AQ103</f>
        <v>0</v>
      </c>
      <c r="AP104" s="39">
        <f>Dados!AX103/Dados!AV103</f>
        <v>0</v>
      </c>
    </row>
    <row r="105" spans="1:42" x14ac:dyDescent="0.25">
      <c r="A105" s="13">
        <v>113</v>
      </c>
      <c r="B105" s="13" t="s">
        <v>112</v>
      </c>
      <c r="C105" s="37">
        <f>Dados!F105/Dados!G105</f>
        <v>24.450458408392151</v>
      </c>
      <c r="D105" s="38">
        <f>Dados!H105/Dados!I105</f>
        <v>0.9926732735849314</v>
      </c>
      <c r="E105" s="38">
        <f>Dados!F105/Dados!I105</f>
        <v>0.98400897013402722</v>
      </c>
      <c r="F105" s="38">
        <f>Dados!J105/Dados!F105</f>
        <v>-1.6250898468735311E-2</v>
      </c>
      <c r="G105" s="38">
        <f>Dados!K105/Dados!M105</f>
        <v>154.12493894673418</v>
      </c>
      <c r="H105" s="38">
        <f>Dados!M105/Dados!F105</f>
        <v>1.4699700937435849E-3</v>
      </c>
      <c r="I105" s="37">
        <f>Dados!N105/Dados!G105</f>
        <v>0</v>
      </c>
      <c r="J105" s="38">
        <f>Dados!N105/Dados!L105</f>
        <v>0</v>
      </c>
      <c r="K105" s="37">
        <f>Dados!O104/Dados!P104</f>
        <v>0</v>
      </c>
      <c r="L105" s="38">
        <f>Dados!Q105/Dados!R105</f>
        <v>0.9100133365731421</v>
      </c>
      <c r="M105" s="38">
        <f>Dados!O105/Dados!R105</f>
        <v>1.0216206027875456</v>
      </c>
      <c r="N105" s="38" t="e">
        <f>Dados!S104/Dados!O104</f>
        <v>#DIV/0!</v>
      </c>
      <c r="O105" s="38" t="e">
        <f>Dados!T104/Dados!V104</f>
        <v>#DIV/0!</v>
      </c>
      <c r="P105" s="38">
        <f>Dados!V105/Dados!O105</f>
        <v>1.5824638246016903E-2</v>
      </c>
      <c r="Q105" s="37">
        <f>Dados!W104/Dados!P104</f>
        <v>0</v>
      </c>
      <c r="R105" s="38" t="e">
        <f>Dados!W104/Dados!U104</f>
        <v>#DIV/0!</v>
      </c>
      <c r="S105" s="37">
        <f>Dados!X104/Dados!Y104</f>
        <v>0</v>
      </c>
      <c r="T105" s="38">
        <f>Dados!Z105/Dados!AA105</f>
        <v>0.91723569769394209</v>
      </c>
      <c r="U105" s="38">
        <f>Dados!X105/Dados!AA105</f>
        <v>1.1890111934631966</v>
      </c>
      <c r="V105" s="38" t="e">
        <f>Dados!AB104/Dados!X104</f>
        <v>#DIV/0!</v>
      </c>
      <c r="W105" s="38" t="e">
        <f>Dados!AC104/Dados!AE104</f>
        <v>#DIV/0!</v>
      </c>
      <c r="X105" s="38">
        <f>Dados!AE105/Dados!X105</f>
        <v>7.8992757607017614E-2</v>
      </c>
      <c r="Y105" s="37">
        <f>Dados!AF104/Dados!Y104</f>
        <v>0</v>
      </c>
      <c r="Z105" s="38" t="e">
        <f>Dados!AF104/Dados!AD104</f>
        <v>#DIV/0!</v>
      </c>
      <c r="AA105" s="37">
        <f>Dados!AG104/Dados!AH104</f>
        <v>0</v>
      </c>
      <c r="AB105" s="38">
        <f>Dados!AI105/Dados!AJ105</f>
        <v>0.93918429356664379</v>
      </c>
      <c r="AC105" s="38">
        <f>Dados!AG105/Dados!AJ105</f>
        <v>1.585520534601889</v>
      </c>
      <c r="AD105" s="38" t="e">
        <f>Dados!AK104/Dados!AG104</f>
        <v>#DIV/0!</v>
      </c>
      <c r="AE105" s="38" t="e">
        <f>Dados!AL104/Dados!AN104</f>
        <v>#DIV/0!</v>
      </c>
      <c r="AF105" s="38">
        <f>Dados!AN105/Dados!AG105</f>
        <v>0.11071640471158588</v>
      </c>
      <c r="AG105" s="37">
        <f>Dados!AO104/Dados!AH104</f>
        <v>0</v>
      </c>
      <c r="AH105" s="38" t="e">
        <f>Dados!AO104/Dados!AM104</f>
        <v>#DIV/0!</v>
      </c>
      <c r="AI105" s="37">
        <f>Dados!AP104/Dados!AQ104</f>
        <v>0</v>
      </c>
      <c r="AJ105" s="38" t="e">
        <f>Dados!AR105/Dados!AS105</f>
        <v>#DIV/0!</v>
      </c>
      <c r="AK105" s="38" t="e">
        <f>Dados!AP105/Dados!AS105</f>
        <v>#DIV/0!</v>
      </c>
      <c r="AL105" s="38" t="e">
        <f>Dados!AT104/Dados!AP104</f>
        <v>#DIV/0!</v>
      </c>
      <c r="AM105" s="38" t="e">
        <f>Dados!AU104/Dados!AW104</f>
        <v>#DIV/0!</v>
      </c>
      <c r="AN105" s="38" t="e">
        <f>Dados!AW105/Dados!AP105</f>
        <v>#DIV/0!</v>
      </c>
      <c r="AO105" s="37">
        <f>Dados!AX104/Dados!AQ104</f>
        <v>0</v>
      </c>
      <c r="AP105" s="39" t="e">
        <f>Dados!AX104/Dados!AV104</f>
        <v>#DIV/0!</v>
      </c>
    </row>
    <row r="106" spans="1:42" x14ac:dyDescent="0.25">
      <c r="A106" s="13">
        <v>117</v>
      </c>
      <c r="B106" s="13" t="s">
        <v>113</v>
      </c>
      <c r="C106" s="37">
        <f>Dados!F106/Dados!G106</f>
        <v>0</v>
      </c>
      <c r="D106" s="38" t="e">
        <f>Dados!H106/Dados!I106</f>
        <v>#DIV/0!</v>
      </c>
      <c r="E106" s="38" t="e">
        <f>Dados!F106/Dados!I106</f>
        <v>#DIV/0!</v>
      </c>
      <c r="F106" s="38" t="e">
        <f>Dados!J106/Dados!F106</f>
        <v>#DIV/0!</v>
      </c>
      <c r="G106" s="38" t="e">
        <f>Dados!K106/Dados!M106</f>
        <v>#DIV/0!</v>
      </c>
      <c r="H106" s="38" t="e">
        <f>Dados!M106/Dados!F106</f>
        <v>#DIV/0!</v>
      </c>
      <c r="I106" s="37">
        <f>Dados!N106/Dados!G106</f>
        <v>0</v>
      </c>
      <c r="J106" s="38" t="e">
        <f>Dados!N106/Dados!L106</f>
        <v>#DIV/0!</v>
      </c>
      <c r="K106" s="37">
        <f>Dados!O105/Dados!P105</f>
        <v>21.807993913504944</v>
      </c>
      <c r="L106" s="38" t="e">
        <f>Dados!Q106/Dados!R106</f>
        <v>#DIV/0!</v>
      </c>
      <c r="M106" s="38" t="e">
        <f>Dados!O106/Dados!R106</f>
        <v>#DIV/0!</v>
      </c>
      <c r="N106" s="38">
        <f>Dados!S105/Dados!O105</f>
        <v>2.116304499787177E-2</v>
      </c>
      <c r="O106" s="38">
        <f>Dados!T105/Dados!V105</f>
        <v>17.693822450079928</v>
      </c>
      <c r="P106" s="38" t="e">
        <f>Dados!V106/Dados!O106</f>
        <v>#DIV/0!</v>
      </c>
      <c r="Q106" s="37">
        <f>Dados!W105/Dados!P105</f>
        <v>0</v>
      </c>
      <c r="R106" s="38">
        <f>Dados!W105/Dados!U105</f>
        <v>0</v>
      </c>
      <c r="S106" s="37">
        <f>Dados!X105/Dados!Y105</f>
        <v>17.253771891382765</v>
      </c>
      <c r="T106" s="38">
        <f>Dados!Z106/Dados!AA106</f>
        <v>0.90503167677013607</v>
      </c>
      <c r="U106" s="38">
        <f>Dados!X106/Dados!AA106</f>
        <v>1.0324698654431728</v>
      </c>
      <c r="V106" s="38">
        <f>Dados!AB105/Dados!X105</f>
        <v>0.15899345669867243</v>
      </c>
      <c r="W106" s="38">
        <f>Dados!AC105/Dados!AE105</f>
        <v>4.5429384682024203</v>
      </c>
      <c r="X106" s="38">
        <f>Dados!AE106/Dados!X106</f>
        <v>3.5491367736837191E-2</v>
      </c>
      <c r="Y106" s="37">
        <f>Dados!AF105/Dados!Y105</f>
        <v>0.15480027536947585</v>
      </c>
      <c r="Z106" s="38">
        <f>Dados!AF105/Dados!AD105</f>
        <v>8.9719671932598916E-3</v>
      </c>
      <c r="AA106" s="37">
        <f>Dados!AG105/Dados!AH105</f>
        <v>6.7608615105329841</v>
      </c>
      <c r="AB106" s="38">
        <f>Dados!AI106/Dados!AJ106</f>
        <v>0.89751155435484042</v>
      </c>
      <c r="AC106" s="38">
        <f>Dados!AG106/Dados!AJ106</f>
        <v>0.98374110019086425</v>
      </c>
      <c r="AD106" s="38">
        <f>Dados!AK105/Dados!AG105</f>
        <v>0.369292306106214</v>
      </c>
      <c r="AE106" s="38">
        <f>Dados!AL105/Dados!AN105</f>
        <v>3.6183084124260865</v>
      </c>
      <c r="AF106" s="38">
        <f>Dados!AN106/Dados!AG106</f>
        <v>2.6170191551972283E-2</v>
      </c>
      <c r="AG106" s="37">
        <f>Dados!AO105/Dados!AH105</f>
        <v>0</v>
      </c>
      <c r="AH106" s="38">
        <f>Dados!AO105/Dados!AM105</f>
        <v>0</v>
      </c>
      <c r="AI106" s="37">
        <f>Dados!AP105/Dados!AQ105</f>
        <v>0</v>
      </c>
      <c r="AJ106" s="38" t="e">
        <f>Dados!AR106/Dados!AS106</f>
        <v>#DIV/0!</v>
      </c>
      <c r="AK106" s="38" t="e">
        <f>Dados!AP106/Dados!AS106</f>
        <v>#DIV/0!</v>
      </c>
      <c r="AL106" s="38" t="e">
        <f>Dados!AT105/Dados!AP105</f>
        <v>#DIV/0!</v>
      </c>
      <c r="AM106" s="38" t="e">
        <f>Dados!AU105/Dados!AW105</f>
        <v>#DIV/0!</v>
      </c>
      <c r="AN106" s="38" t="e">
        <f>Dados!AW106/Dados!AP106</f>
        <v>#DIV/0!</v>
      </c>
      <c r="AO106" s="37">
        <f>Dados!AX105/Dados!AQ105</f>
        <v>0</v>
      </c>
      <c r="AP106" s="39" t="e">
        <f>Dados!AX105/Dados!AV105</f>
        <v>#DIV/0!</v>
      </c>
    </row>
    <row r="107" spans="1:42" x14ac:dyDescent="0.25">
      <c r="A107" s="13">
        <v>130</v>
      </c>
      <c r="B107" s="13" t="s">
        <v>114</v>
      </c>
      <c r="C107" s="37">
        <f>Dados!F107/Dados!G107</f>
        <v>0</v>
      </c>
      <c r="D107" s="38" t="e">
        <f>Dados!H107/Dados!I107</f>
        <v>#DIV/0!</v>
      </c>
      <c r="E107" s="38" t="e">
        <f>Dados!F107/Dados!I107</f>
        <v>#DIV/0!</v>
      </c>
      <c r="F107" s="38" t="e">
        <f>Dados!J107/Dados!F107</f>
        <v>#DIV/0!</v>
      </c>
      <c r="G107" s="38" t="e">
        <f>Dados!K107/Dados!M107</f>
        <v>#DIV/0!</v>
      </c>
      <c r="H107" s="38" t="e">
        <f>Dados!M107/Dados!F107</f>
        <v>#DIV/0!</v>
      </c>
      <c r="I107" s="37">
        <f>Dados!N107/Dados!G107</f>
        <v>0</v>
      </c>
      <c r="J107" s="38" t="e">
        <f>Dados!N107/Dados!L107</f>
        <v>#DIV/0!</v>
      </c>
      <c r="K107" s="37">
        <f>Dados!O106/Dados!P106</f>
        <v>0</v>
      </c>
      <c r="L107" s="38" t="e">
        <f>Dados!Q107/Dados!R107</f>
        <v>#DIV/0!</v>
      </c>
      <c r="M107" s="38" t="e">
        <f>Dados!O107/Dados!R107</f>
        <v>#DIV/0!</v>
      </c>
      <c r="N107" s="38" t="e">
        <f>Dados!S106/Dados!O106</f>
        <v>#DIV/0!</v>
      </c>
      <c r="O107" s="38" t="e">
        <f>Dados!T106/Dados!V106</f>
        <v>#DIV/0!</v>
      </c>
      <c r="P107" s="38" t="e">
        <f>Dados!V107/Dados!O107</f>
        <v>#DIV/0!</v>
      </c>
      <c r="Q107" s="37">
        <f>Dados!W106/Dados!P106</f>
        <v>0</v>
      </c>
      <c r="R107" s="38" t="e">
        <f>Dados!W106/Dados!U106</f>
        <v>#DIV/0!</v>
      </c>
      <c r="S107" s="37">
        <f>Dados!X106/Dados!Y106</f>
        <v>1.242550584679845</v>
      </c>
      <c r="T107" s="38" t="e">
        <f>Dados!Z107/Dados!AA107</f>
        <v>#DIV/0!</v>
      </c>
      <c r="U107" s="38" t="e">
        <f>Dados!X107/Dados!AA107</f>
        <v>#DIV/0!</v>
      </c>
      <c r="V107" s="38">
        <f>Dados!AB106/Dados!X106</f>
        <v>3.1448729430215025E-2</v>
      </c>
      <c r="W107" s="38">
        <f>Dados!AC106/Dados!AE106</f>
        <v>1.6478396320871314</v>
      </c>
      <c r="X107" s="38" t="e">
        <f>Dados!AE107/Dados!X107</f>
        <v>#DIV/0!</v>
      </c>
      <c r="Y107" s="37">
        <f>Dados!AF106/Dados!Y106</f>
        <v>0.28859207475527598</v>
      </c>
      <c r="Z107" s="38">
        <f>Dados!AF106/Dados!AD106</f>
        <v>0.23225780770095122</v>
      </c>
      <c r="AA107" s="37">
        <f>Dados!AG106/Dados!AH106</f>
        <v>0.91673548845506247</v>
      </c>
      <c r="AB107" s="38" t="e">
        <f>Dados!AI107/Dados!AJ107</f>
        <v>#DIV/0!</v>
      </c>
      <c r="AC107" s="38" t="e">
        <f>Dados!AG107/Dados!AJ107</f>
        <v>#DIV/0!</v>
      </c>
      <c r="AD107" s="38">
        <f>Dados!AK106/Dados!AG106</f>
        <v>-1.6527620738811546E-2</v>
      </c>
      <c r="AE107" s="38">
        <f>Dados!AL106/Dados!AN106</f>
        <v>0.51692981588939935</v>
      </c>
      <c r="AF107" s="38" t="e">
        <f>Dados!AN107/Dados!AG107</f>
        <v>#DIV/0!</v>
      </c>
      <c r="AG107" s="37">
        <f>Dados!AO106/Dados!AH106</f>
        <v>0.37922648292840361</v>
      </c>
      <c r="AH107" s="38">
        <f>Dados!AO106/Dados!AM106</f>
        <v>0.41367056005162273</v>
      </c>
      <c r="AI107" s="37">
        <f>Dados!AP106/Dados!AQ106</f>
        <v>0</v>
      </c>
      <c r="AJ107" s="38">
        <f>Dados!AR107/Dados!AS107</f>
        <v>1</v>
      </c>
      <c r="AK107" s="38">
        <f>Dados!AP107/Dados!AS107</f>
        <v>0.9980519490226345</v>
      </c>
      <c r="AL107" s="38" t="e">
        <f>Dados!AT106/Dados!AP106</f>
        <v>#DIV/0!</v>
      </c>
      <c r="AM107" s="38" t="e">
        <f>Dados!AU106/Dados!AW106</f>
        <v>#DIV/0!</v>
      </c>
      <c r="AN107" s="38">
        <f>Dados!AW107/Dados!AP107</f>
        <v>7.2181921251039743E-7</v>
      </c>
      <c r="AO107" s="37">
        <f>Dados!AX106/Dados!AQ106</f>
        <v>0</v>
      </c>
      <c r="AP107" s="39" t="e">
        <f>Dados!AX106/Dados!AV106</f>
        <v>#DIV/0!</v>
      </c>
    </row>
    <row r="108" spans="1:42" x14ac:dyDescent="0.25">
      <c r="A108" s="13">
        <v>200</v>
      </c>
      <c r="B108" s="13" t="s">
        <v>115</v>
      </c>
      <c r="C108" s="37">
        <f>Dados!F108/Dados!G108</f>
        <v>18.141739301351162</v>
      </c>
      <c r="D108" s="38">
        <f>Dados!H108/Dados!I108</f>
        <v>0.9976840341658787</v>
      </c>
      <c r="E108" s="38">
        <f>Dados!F108/Dados!I108</f>
        <v>0.95396918230840977</v>
      </c>
      <c r="F108" s="38">
        <f>Dados!J108/Dados!F108</f>
        <v>-4.8251891722754792E-2</v>
      </c>
      <c r="G108" s="38">
        <f>Dados!K108/Dados!M108</f>
        <v>0.22501451611767823</v>
      </c>
      <c r="H108" s="38">
        <f>Dados!M108/Dados!F108</f>
        <v>0.25712771701443293</v>
      </c>
      <c r="I108" s="37">
        <f>Dados!N108/Dados!G108</f>
        <v>0.30160959935972881</v>
      </c>
      <c r="J108" s="38">
        <f>Dados!N108/Dados!L108</f>
        <v>1.6625175477924848E-2</v>
      </c>
      <c r="K108" s="37">
        <f>Dados!O107/Dados!P107</f>
        <v>0</v>
      </c>
      <c r="L108" s="38">
        <f>Dados!Q108/Dados!R108</f>
        <v>0.99464393746044955</v>
      </c>
      <c r="M108" s="38">
        <f>Dados!O108/Dados!R108</f>
        <v>0.99161873610725682</v>
      </c>
      <c r="N108" s="38" t="e">
        <f>Dados!S107/Dados!O107</f>
        <v>#DIV/0!</v>
      </c>
      <c r="O108" s="38" t="e">
        <f>Dados!T107/Dados!V107</f>
        <v>#DIV/0!</v>
      </c>
      <c r="P108" s="38">
        <f>Dados!V108/Dados!O108</f>
        <v>0.23070910730667524</v>
      </c>
      <c r="Q108" s="37">
        <f>Dados!W107/Dados!P107</f>
        <v>0</v>
      </c>
      <c r="R108" s="38" t="e">
        <f>Dados!W107/Dados!U107</f>
        <v>#DIV/0!</v>
      </c>
      <c r="S108" s="37">
        <f>Dados!X107/Dados!Y107</f>
        <v>0</v>
      </c>
      <c r="T108" s="38">
        <f>Dados!Z108/Dados!AA108</f>
        <v>0.9987827006568718</v>
      </c>
      <c r="U108" s="38">
        <f>Dados!X108/Dados!AA108</f>
        <v>1.1502134034500058</v>
      </c>
      <c r="V108" s="38" t="e">
        <f>Dados!AB107/Dados!X107</f>
        <v>#DIV/0!</v>
      </c>
      <c r="W108" s="38" t="e">
        <f>Dados!AC107/Dados!AE107</f>
        <v>#DIV/0!</v>
      </c>
      <c r="X108" s="38">
        <f>Dados!AE108/Dados!X108</f>
        <v>0.13170524072320183</v>
      </c>
      <c r="Y108" s="37">
        <f>Dados!AF107/Dados!Y107</f>
        <v>0</v>
      </c>
      <c r="Z108" s="38" t="e">
        <f>Dados!AF107/Dados!AD107</f>
        <v>#DIV/0!</v>
      </c>
      <c r="AA108" s="37">
        <f>Dados!AG107/Dados!AH107</f>
        <v>0</v>
      </c>
      <c r="AB108" s="38">
        <f>Dados!AI108/Dados!AJ108</f>
        <v>0.99922846182065761</v>
      </c>
      <c r="AC108" s="38">
        <f>Dados!AG108/Dados!AJ108</f>
        <v>0.58475396089655352</v>
      </c>
      <c r="AD108" s="38" t="e">
        <f>Dados!AK107/Dados!AG107</f>
        <v>#DIV/0!</v>
      </c>
      <c r="AE108" s="38" t="e">
        <f>Dados!AL107/Dados!AN107</f>
        <v>#DIV/0!</v>
      </c>
      <c r="AF108" s="38">
        <f>Dados!AN108/Dados!AG108</f>
        <v>0.75496015780686299</v>
      </c>
      <c r="AG108" s="37">
        <f>Dados!AO107/Dados!AH107</f>
        <v>0</v>
      </c>
      <c r="AH108" s="38" t="e">
        <f>Dados!AO107/Dados!AM107</f>
        <v>#DIV/0!</v>
      </c>
      <c r="AI108" s="37">
        <f>Dados!AP107/Dados!AQ107</f>
        <v>9.6403350555816498</v>
      </c>
      <c r="AJ108" s="38">
        <f>Dados!AR108/Dados!AS108</f>
        <v>1</v>
      </c>
      <c r="AK108" s="38">
        <f>Dados!AP108/Dados!AS108</f>
        <v>1.5471451478313347</v>
      </c>
      <c r="AL108" s="38">
        <f>Dados!AT107/Dados!AP107</f>
        <v>-1.9518532870690529E-3</v>
      </c>
      <c r="AM108" s="38">
        <f>Dados!AU107/Dados!AW107</f>
        <v>108770.28749999999</v>
      </c>
      <c r="AN108" s="38">
        <f>Dados!AW108/Dados!AP108</f>
        <v>3.2599250689554271</v>
      </c>
      <c r="AO108" s="37">
        <f>Dados!AX107/Dados!AQ107</f>
        <v>0</v>
      </c>
      <c r="AP108" s="39">
        <f>Dados!AX107/Dados!AV107</f>
        <v>0</v>
      </c>
    </row>
    <row r="109" spans="1:42" x14ac:dyDescent="0.25">
      <c r="A109" s="13">
        <v>205</v>
      </c>
      <c r="B109" s="13" t="s">
        <v>116</v>
      </c>
      <c r="C109" s="37">
        <f>Dados!F109/Dados!G109</f>
        <v>2.0125336354937464</v>
      </c>
      <c r="D109" s="38">
        <f>Dados!H109/Dados!I109</f>
        <v>0.88814076304585643</v>
      </c>
      <c r="E109" s="38">
        <f>Dados!F109/Dados!I109</f>
        <v>0.95755167814507325</v>
      </c>
      <c r="F109" s="38">
        <f>Dados!J109/Dados!F109</f>
        <v>-4.4330058443587943E-2</v>
      </c>
      <c r="G109" s="38">
        <f>Dados!K109/Dados!M109</f>
        <v>0.46356426141789098</v>
      </c>
      <c r="H109" s="38">
        <f>Dados!M109/Dados!F109</f>
        <v>0.15166345036058096</v>
      </c>
      <c r="I109" s="37">
        <f>Dados!N109/Dados!G109</f>
        <v>0.18749905503927974</v>
      </c>
      <c r="J109" s="38">
        <f>Dados!N109/Dados!L109</f>
        <v>9.3165675212816768E-2</v>
      </c>
      <c r="K109" s="37">
        <f>Dados!O108/Dados!P108</f>
        <v>20.028346734347117</v>
      </c>
      <c r="L109" s="38">
        <f>Dados!Q109/Dados!R109</f>
        <v>0.931118520861695</v>
      </c>
      <c r="M109" s="38">
        <f>Dados!O109/Dados!R109</f>
        <v>1.0994313224302594</v>
      </c>
      <c r="N109" s="38">
        <f>Dados!S108/Dados!O108</f>
        <v>-8.4521032001119434E-3</v>
      </c>
      <c r="O109" s="38">
        <f>Dados!T108/Dados!V108</f>
        <v>0.40658076357272799</v>
      </c>
      <c r="P109" s="38">
        <f>Dados!V109/Dados!O109</f>
        <v>0.12643458343307495</v>
      </c>
      <c r="Q109" s="37">
        <f>Dados!W108/Dados!P108</f>
        <v>0.34797641137202212</v>
      </c>
      <c r="R109" s="38">
        <f>Dados!W108/Dados!U108</f>
        <v>1.7374195483407951E-2</v>
      </c>
      <c r="S109" s="37">
        <f>Dados!X108/Dados!Y108</f>
        <v>28.845431806578137</v>
      </c>
      <c r="T109" s="38">
        <f>Dados!Z109/Dados!AA109</f>
        <v>0.95767036260161142</v>
      </c>
      <c r="U109" s="38">
        <f>Dados!X109/Dados!AA109</f>
        <v>0.93131975211599416</v>
      </c>
      <c r="V109" s="38">
        <f>Dados!AB108/Dados!X108</f>
        <v>0.13059611633758439</v>
      </c>
      <c r="W109" s="38">
        <f>Dados!AC108/Dados!AE108</f>
        <v>0.31245094435276588</v>
      </c>
      <c r="X109" s="38">
        <f>Dados!AE109/Dados!X109</f>
        <v>0.20030906534083309</v>
      </c>
      <c r="Y109" s="37">
        <f>Dados!AF108/Dados!Y108</f>
        <v>0.45924367642778408</v>
      </c>
      <c r="Z109" s="38">
        <f>Dados!AF108/Dados!AD108</f>
        <v>1.5920845959499715E-2</v>
      </c>
      <c r="AA109" s="37">
        <f>Dados!AG108/Dados!AH108</f>
        <v>9.608804037385692</v>
      </c>
      <c r="AB109" s="38">
        <f>Dados!AI109/Dados!AJ109</f>
        <v>0.94330384124592626</v>
      </c>
      <c r="AC109" s="38">
        <f>Dados!AG109/Dados!AJ109</f>
        <v>0.98029872834611642</v>
      </c>
      <c r="AD109" s="38">
        <f>Dados!AK108/Dados!AG108</f>
        <v>-0.71012095149690835</v>
      </c>
      <c r="AE109" s="38">
        <f>Dados!AL108/Dados!AN108</f>
        <v>0.11463977661465498</v>
      </c>
      <c r="AF109" s="38">
        <f>Dados!AN109/Dados!AG109</f>
        <v>0.15468988462580016</v>
      </c>
      <c r="AG109" s="37">
        <f>Dados!AO108/Dados!AH108</f>
        <v>0</v>
      </c>
      <c r="AH109" s="38">
        <f>Dados!AO108/Dados!AM108</f>
        <v>0</v>
      </c>
      <c r="AI109" s="37">
        <f>Dados!AP108/Dados!AQ108</f>
        <v>2.2343936258477806</v>
      </c>
      <c r="AJ109" s="38">
        <f>Dados!AR109/Dados!AS109</f>
        <v>0.90606580854454233</v>
      </c>
      <c r="AK109" s="38">
        <f>Dados!AP109/Dados!AS109</f>
        <v>0.93460974795937002</v>
      </c>
      <c r="AL109" s="38">
        <f>Dados!AT108/Dados!AP108</f>
        <v>0.35364823306868093</v>
      </c>
      <c r="AM109" s="38">
        <f>Dados!AU108/Dados!AW108</f>
        <v>0.11463977661465498</v>
      </c>
      <c r="AN109" s="38">
        <f>Dados!AW109/Dados!AP109</f>
        <v>0.22855005123249506</v>
      </c>
      <c r="AO109" s="37">
        <f>Dados!AX108/Dados!AQ108</f>
        <v>0</v>
      </c>
      <c r="AP109" s="39">
        <f>Dados!AX108/Dados!AV108</f>
        <v>0</v>
      </c>
    </row>
    <row r="110" spans="1:42" ht="25.5" x14ac:dyDescent="0.25">
      <c r="A110" s="13">
        <v>206</v>
      </c>
      <c r="B110" s="13" t="s">
        <v>117</v>
      </c>
      <c r="C110" s="37">
        <f>Dados!F110/Dados!G110</f>
        <v>97.432574882118686</v>
      </c>
      <c r="D110" s="38">
        <f>Dados!H110/Dados!I110</f>
        <v>0.99991482174559942</v>
      </c>
      <c r="E110" s="38">
        <f>Dados!F110/Dados!I110</f>
        <v>0.97383166742219684</v>
      </c>
      <c r="F110" s="38">
        <f>Dados!J110/Dados!F110</f>
        <v>-2.6871515327769872E-2</v>
      </c>
      <c r="G110" s="38">
        <f>Dados!K110/Dados!M110</f>
        <v>2.2084590047477667E-3</v>
      </c>
      <c r="H110" s="38">
        <f>Dados!M110/Dados!F110</f>
        <v>0.13665583598197761</v>
      </c>
      <c r="I110" s="37">
        <f>Dados!N110/Dados!G110</f>
        <v>0</v>
      </c>
      <c r="J110" s="38">
        <f>Dados!N110/Dados!L110</f>
        <v>0</v>
      </c>
      <c r="K110" s="37">
        <f>Dados!O109/Dados!P109</f>
        <v>1.5356862827316549</v>
      </c>
      <c r="L110" s="38">
        <f>Dados!Q110/Dados!R110</f>
        <v>0.99950477325230891</v>
      </c>
      <c r="M110" s="38">
        <f>Dados!O110/Dados!R110</f>
        <v>0.99290899148625977</v>
      </c>
      <c r="N110" s="38">
        <f>Dados!S109/Dados!O109</f>
        <v>9.0438866349986852E-2</v>
      </c>
      <c r="O110" s="38">
        <f>Dados!T109/Dados!V109</f>
        <v>0.47684043264704506</v>
      </c>
      <c r="P110" s="38">
        <f>Dados!V110/Dados!O110</f>
        <v>0.12628097347597408</v>
      </c>
      <c r="Q110" s="37">
        <f>Dados!W109/Dados!P109</f>
        <v>0.25593615966574318</v>
      </c>
      <c r="R110" s="38">
        <f>Dados!W109/Dados!U109</f>
        <v>0.16665914291458531</v>
      </c>
      <c r="S110" s="37">
        <f>Dados!X109/Dados!Y109</f>
        <v>1.3186990725020586</v>
      </c>
      <c r="T110" s="38">
        <f>Dados!Z110/Dados!AA110</f>
        <v>0.99643786514461863</v>
      </c>
      <c r="U110" s="38">
        <f>Dados!X110/Dados!AA110</f>
        <v>0.86615445201828112</v>
      </c>
      <c r="V110" s="38">
        <f>Dados!AB109/Dados!X109</f>
        <v>-7.374507813021447E-2</v>
      </c>
      <c r="W110" s="38">
        <f>Dados!AC109/Dados!AE109</f>
        <v>2.5416656376246127E-2</v>
      </c>
      <c r="X110" s="38">
        <f>Dados!AE110/Dados!X110</f>
        <v>9.8520531105904724E-2</v>
      </c>
      <c r="Y110" s="37">
        <f>Dados!AF109/Dados!Y109</f>
        <v>0.32371046853995833</v>
      </c>
      <c r="Z110" s="38">
        <f>Dados!AF109/Dados!AD109</f>
        <v>0.24547713370705579</v>
      </c>
      <c r="AA110" s="37">
        <f>Dados!AG109/Dados!AH109</f>
        <v>1.1270109750390704</v>
      </c>
      <c r="AB110" s="38">
        <f>Dados!AI110/Dados!AJ110</f>
        <v>0.99569615628066643</v>
      </c>
      <c r="AC110" s="38">
        <f>Dados!AG110/Dados!AJ110</f>
        <v>1.1069897218653042</v>
      </c>
      <c r="AD110" s="38">
        <f>Dados!AK109/Dados!AG109</f>
        <v>-2.0097212292748863E-2</v>
      </c>
      <c r="AE110" s="38">
        <f>Dados!AL109/Dados!AN109</f>
        <v>3.2991189424635456E-2</v>
      </c>
      <c r="AF110" s="38">
        <f>Dados!AN110/Dados!AG110</f>
        <v>3.0433601518541253E-2</v>
      </c>
      <c r="AG110" s="37">
        <f>Dados!AO109/Dados!AH109</f>
        <v>0.38733199713924965</v>
      </c>
      <c r="AH110" s="38">
        <f>Dados!AO109/Dados!AM109</f>
        <v>0.34368076772794681</v>
      </c>
      <c r="AI110" s="37">
        <f>Dados!AP109/Dados!AQ109</f>
        <v>1.2159444350811208</v>
      </c>
      <c r="AJ110" s="38">
        <f>Dados!AR110/Dados!AS110</f>
        <v>0.99875462116875047</v>
      </c>
      <c r="AK110" s="38">
        <f>Dados!AP110/Dados!AS110</f>
        <v>0.98215168441861911</v>
      </c>
      <c r="AL110" s="38">
        <f>Dados!AT109/Dados!AP109</f>
        <v>-6.9965300686626916E-2</v>
      </c>
      <c r="AM110" s="38">
        <f>Dados!AU109/Dados!AW109</f>
        <v>0.12691754628383889</v>
      </c>
      <c r="AN110" s="38">
        <f>Dados!AW110/Dados!AP110</f>
        <v>0.15169131404121117</v>
      </c>
      <c r="AO110" s="37">
        <f>Dados!AX109/Dados!AQ109</f>
        <v>0</v>
      </c>
      <c r="AP110" s="39">
        <f>Dados!AX109/Dados!AV109</f>
        <v>0</v>
      </c>
    </row>
    <row r="111" spans="1:42" x14ac:dyDescent="0.25">
      <c r="A111" s="13">
        <v>208</v>
      </c>
      <c r="B111" s="13" t="s">
        <v>118</v>
      </c>
      <c r="C111" s="37">
        <f>Dados!F111/Dados!G111</f>
        <v>35.375097704509137</v>
      </c>
      <c r="D111" s="38">
        <f>Dados!H111/Dados!I111</f>
        <v>0.99397289386953447</v>
      </c>
      <c r="E111" s="38">
        <f>Dados!F111/Dados!I111</f>
        <v>1.0111252585851218</v>
      </c>
      <c r="F111" s="38">
        <f>Dados!J111/Dados!F111</f>
        <v>1.1002849044330605E-2</v>
      </c>
      <c r="G111" s="38">
        <f>Dados!K111/Dados!M111</f>
        <v>35.970368564642321</v>
      </c>
      <c r="H111" s="38">
        <f>Dados!M111/Dados!F111</f>
        <v>5.227990529696829E-3</v>
      </c>
      <c r="I111" s="37">
        <f>Dados!N111/Dados!G111</f>
        <v>0</v>
      </c>
      <c r="J111" s="38">
        <f>Dados!N111/Dados!L111</f>
        <v>0</v>
      </c>
      <c r="K111" s="37">
        <f>Dados!O110/Dados!P110</f>
        <v>84.933573708546916</v>
      </c>
      <c r="L111" s="38" t="e">
        <f>Dados!Q111/Dados!R111</f>
        <v>#DIV/0!</v>
      </c>
      <c r="M111" s="38" t="e">
        <f>Dados!O111/Dados!R111</f>
        <v>#DIV/0!</v>
      </c>
      <c r="N111" s="38">
        <f>Dados!S110/Dados!O110</f>
        <v>-7.1416500147973381E-3</v>
      </c>
      <c r="O111" s="38">
        <f>Dados!T110/Dados!V110</f>
        <v>5.566182715389157E-2</v>
      </c>
      <c r="P111" s="38" t="e">
        <f>Dados!V111/Dados!O111</f>
        <v>#DIV/0!</v>
      </c>
      <c r="Q111" s="37">
        <f>Dados!W110/Dados!P110</f>
        <v>0</v>
      </c>
      <c r="R111" s="38">
        <f>Dados!W110/Dados!U110</f>
        <v>0</v>
      </c>
      <c r="S111" s="37">
        <f>Dados!X110/Dados!Y110</f>
        <v>73.320069720092434</v>
      </c>
      <c r="T111" s="38">
        <f>Dados!Z111/Dados!AA111</f>
        <v>0.99219951267149742</v>
      </c>
      <c r="U111" s="38">
        <f>Dados!X111/Dados!AA111</f>
        <v>0.97873164435341464</v>
      </c>
      <c r="V111" s="38">
        <f>Dados!AB110/Dados!X110</f>
        <v>-0.15452849970329996</v>
      </c>
      <c r="W111" s="38">
        <f>Dados!AC110/Dados!AE110</f>
        <v>2.2645264798063346E-2</v>
      </c>
      <c r="X111" s="38">
        <f>Dados!AE111/Dados!X111</f>
        <v>3.8668893290418817E-2</v>
      </c>
      <c r="Y111" s="37">
        <f>Dados!AF110/Dados!Y110</f>
        <v>0</v>
      </c>
      <c r="Z111" s="38">
        <f>Dados!AF110/Dados!AD110</f>
        <v>0</v>
      </c>
      <c r="AA111" s="37">
        <f>Dados!AG110/Dados!AH110</f>
        <v>74.318198114592505</v>
      </c>
      <c r="AB111" s="38">
        <f>Dados!AI111/Dados!AJ111</f>
        <v>0.99636546261874148</v>
      </c>
      <c r="AC111" s="38">
        <f>Dados!AG111/Dados!AJ111</f>
        <v>1.0636637777722378</v>
      </c>
      <c r="AD111" s="38">
        <f>Dados!AK110/Dados!AG110</f>
        <v>9.6649245925268301E-2</v>
      </c>
      <c r="AE111" s="38">
        <f>Dados!AL110/Dados!AN110</f>
        <v>0.24298102185077086</v>
      </c>
      <c r="AF111" s="38">
        <f>Dados!AN111/Dados!AG111</f>
        <v>4.7688107125693949E-2</v>
      </c>
      <c r="AG111" s="37">
        <f>Dados!AO110/Dados!AH110</f>
        <v>0</v>
      </c>
      <c r="AH111" s="38">
        <f>Dados!AO110/Dados!AM110</f>
        <v>0</v>
      </c>
      <c r="AI111" s="37">
        <f>Dados!AP110/Dados!AQ110</f>
        <v>70.924821798393907</v>
      </c>
      <c r="AJ111" s="38">
        <f>Dados!AR111/Dados!AS111</f>
        <v>0.99728154573356687</v>
      </c>
      <c r="AK111" s="38">
        <f>Dados!AP111/Dados!AS111</f>
        <v>1.0599997768748051</v>
      </c>
      <c r="AL111" s="38">
        <f>Dados!AT110/Dados!AP110</f>
        <v>-1.8172667078350638E-2</v>
      </c>
      <c r="AM111" s="38">
        <f>Dados!AU110/Dados!AW110</f>
        <v>0.13862641735463302</v>
      </c>
      <c r="AN111" s="38">
        <f>Dados!AW111/Dados!AP111</f>
        <v>8.9122474516494625E-3</v>
      </c>
      <c r="AO111" s="37">
        <f>Dados!AX110/Dados!AQ110</f>
        <v>0</v>
      </c>
      <c r="AP111" s="39">
        <f>Dados!AX110/Dados!AV110</f>
        <v>0</v>
      </c>
    </row>
    <row r="112" spans="1:42" x14ac:dyDescent="0.25">
      <c r="A112" s="13">
        <v>264</v>
      </c>
      <c r="B112" s="34" t="s">
        <v>119</v>
      </c>
      <c r="C112" s="37">
        <f>Dados!F112/Dados!G112</f>
        <v>0</v>
      </c>
      <c r="D112" s="38" t="e">
        <f>Dados!H112/Dados!I112</f>
        <v>#DIV/0!</v>
      </c>
      <c r="E112" s="38" t="e">
        <f>Dados!F112/Dados!I112</f>
        <v>#DIV/0!</v>
      </c>
      <c r="F112" s="38" t="e">
        <f>Dados!J112/Dados!F112</f>
        <v>#DIV/0!</v>
      </c>
      <c r="G112" s="38" t="e">
        <f>Dados!K112/Dados!M112</f>
        <v>#DIV/0!</v>
      </c>
      <c r="H112" s="38" t="e">
        <f>Dados!M112/Dados!F112</f>
        <v>#DIV/0!</v>
      </c>
      <c r="I112" s="37">
        <f>Dados!N112/Dados!G112</f>
        <v>0</v>
      </c>
      <c r="J112" s="38" t="e">
        <f>Dados!N112/Dados!L112</f>
        <v>#DIV/0!</v>
      </c>
      <c r="K112" s="37">
        <f>Dados!O111/Dados!P111</f>
        <v>0</v>
      </c>
      <c r="L112" s="38" t="e">
        <f>Dados!Q112/Dados!R112</f>
        <v>#DIV/0!</v>
      </c>
      <c r="M112" s="38" t="e">
        <f>Dados!O112/Dados!R112</f>
        <v>#DIV/0!</v>
      </c>
      <c r="N112" s="38" t="e">
        <f>Dados!S111/Dados!O111</f>
        <v>#DIV/0!</v>
      </c>
      <c r="O112" s="38" t="e">
        <f>Dados!T111/Dados!V111</f>
        <v>#DIV/0!</v>
      </c>
      <c r="P112" s="38" t="e">
        <f>Dados!V112/Dados!O112</f>
        <v>#DIV/0!</v>
      </c>
      <c r="Q112" s="37">
        <f>Dados!W111/Dados!P111</f>
        <v>0</v>
      </c>
      <c r="R112" s="38" t="e">
        <f>Dados!W111/Dados!U111</f>
        <v>#DIV/0!</v>
      </c>
      <c r="S112" s="37">
        <f>Dados!X111/Dados!Y111</f>
        <v>31.160024439514679</v>
      </c>
      <c r="T112" s="38">
        <f>Dados!Z112/Dados!AA112</f>
        <v>0.82757713697389401</v>
      </c>
      <c r="U112" s="38">
        <f>Dados!X112/Dados!AA112</f>
        <v>0.831678881330286</v>
      </c>
      <c r="V112" s="38">
        <f>Dados!AB111/Dados!X111</f>
        <v>-2.1730528249790101E-2</v>
      </c>
      <c r="W112" s="38">
        <f>Dados!AC111/Dados!AE111</f>
        <v>5.1776337125155072</v>
      </c>
      <c r="X112" s="38">
        <f>Dados!AE112/Dados!X112</f>
        <v>0</v>
      </c>
      <c r="Y112" s="37">
        <f>Dados!AF111/Dados!Y111</f>
        <v>0</v>
      </c>
      <c r="Z112" s="38">
        <f>Dados!AF111/Dados!AD111</f>
        <v>0</v>
      </c>
      <c r="AA112" s="37">
        <f>Dados!AG111/Dados!AH111</f>
        <v>19.553554860984917</v>
      </c>
      <c r="AB112" s="38">
        <f>Dados!AI112/Dados!AJ112</f>
        <v>0.97926820544708593</v>
      </c>
      <c r="AC112" s="38">
        <f>Dados!AG112/Dados!AJ112</f>
        <v>1.1322608938837178</v>
      </c>
      <c r="AD112" s="38">
        <f>Dados!AK111/Dados!AG111</f>
        <v>5.9853291145794824E-2</v>
      </c>
      <c r="AE112" s="38">
        <f>Dados!AL111/Dados!AN111</f>
        <v>3.2642609409539109</v>
      </c>
      <c r="AF112" s="38">
        <f>Dados!AN112/Dados!AG112</f>
        <v>0</v>
      </c>
      <c r="AG112" s="37">
        <f>Dados!AO111/Dados!AH111</f>
        <v>0</v>
      </c>
      <c r="AH112" s="38">
        <f>Dados!AO111/Dados!AM111</f>
        <v>0</v>
      </c>
      <c r="AI112" s="37">
        <f>Dados!AP111/Dados!AQ111</f>
        <v>12.342391765093062</v>
      </c>
      <c r="AJ112" s="38">
        <f>Dados!AR112/Dados!AS112</f>
        <v>0.99242886966312105</v>
      </c>
      <c r="AK112" s="38">
        <f>Dados!AP112/Dados!AS112</f>
        <v>1.1944748010717952</v>
      </c>
      <c r="AL112" s="38">
        <f>Dados!AT111/Dados!AP111</f>
        <v>5.6603575004234713E-2</v>
      </c>
      <c r="AM112" s="38">
        <f>Dados!AU111/Dados!AW111</f>
        <v>8.5525179184553206</v>
      </c>
      <c r="AN112" s="38">
        <f>Dados!AW112/Dados!AP112</f>
        <v>0</v>
      </c>
      <c r="AO112" s="37">
        <f>Dados!AX111/Dados!AQ111</f>
        <v>0</v>
      </c>
      <c r="AP112" s="39">
        <f>Dados!AX111/Dados!AV111</f>
        <v>0</v>
      </c>
    </row>
    <row r="113" spans="1:42" x14ac:dyDescent="0.25">
      <c r="A113" s="13">
        <v>300</v>
      </c>
      <c r="B113" s="13" t="s">
        <v>120</v>
      </c>
      <c r="C113" s="37">
        <f>Dados!F113/Dados!G113</f>
        <v>40.214190307285293</v>
      </c>
      <c r="D113" s="38">
        <f>Dados!H113/Dados!I113</f>
        <v>0.95030734770761549</v>
      </c>
      <c r="E113" s="38">
        <f>Dados!F113/Dados!I113</f>
        <v>0.89798662312970778</v>
      </c>
      <c r="F113" s="38">
        <f>Dados!J113/Dados!F113</f>
        <v>-0.11360233464809318</v>
      </c>
      <c r="G113" s="38">
        <f>Dados!K113/Dados!M113</f>
        <v>9.8319734458778925</v>
      </c>
      <c r="H113" s="38">
        <f>Dados!M113/Dados!F113</f>
        <v>2.1828311926427847E-2</v>
      </c>
      <c r="I113" s="37">
        <f>Dados!N113/Dados!G113</f>
        <v>0</v>
      </c>
      <c r="J113" s="38">
        <f>Dados!N113/Dados!L113</f>
        <v>0</v>
      </c>
      <c r="K113" s="37">
        <f>Dados!O112/Dados!P112</f>
        <v>0</v>
      </c>
      <c r="L113" s="38">
        <f>Dados!Q113/Dados!R113</f>
        <v>0.99129512585126578</v>
      </c>
      <c r="M113" s="38">
        <f>Dados!O113/Dados!R113</f>
        <v>1.0671444198305431</v>
      </c>
      <c r="N113" s="38" t="e">
        <f>Dados!S112/Dados!O112</f>
        <v>#DIV/0!</v>
      </c>
      <c r="O113" s="38" t="e">
        <f>Dados!T112/Dados!V112</f>
        <v>#DIV/0!</v>
      </c>
      <c r="P113" s="38">
        <f>Dados!V113/Dados!O113</f>
        <v>5.4863350506455182E-2</v>
      </c>
      <c r="Q113" s="37">
        <f>Dados!W112/Dados!P112</f>
        <v>0</v>
      </c>
      <c r="R113" s="38" t="e">
        <f>Dados!W112/Dados!U112</f>
        <v>#DIV/0!</v>
      </c>
      <c r="S113" s="37">
        <f>Dados!X112/Dados!Y112</f>
        <v>0.58866869040261094</v>
      </c>
      <c r="T113" s="38" t="e">
        <f>Dados!Z113/Dados!AA113</f>
        <v>#DIV/0!</v>
      </c>
      <c r="U113" s="38" t="e">
        <f>Dados!X113/Dados!AA113</f>
        <v>#DIV/0!</v>
      </c>
      <c r="V113" s="38">
        <f>Dados!AB112/Dados!X112</f>
        <v>-0.20238715019489406</v>
      </c>
      <c r="W113" s="38" t="e">
        <f>Dados!AC112/Dados!AE112</f>
        <v>#DIV/0!</v>
      </c>
      <c r="X113" s="38" t="e">
        <f>Dados!AE113/Dados!X113</f>
        <v>#DIV/0!</v>
      </c>
      <c r="Y113" s="37">
        <f>Dados!AF112/Dados!Y112</f>
        <v>0</v>
      </c>
      <c r="Z113" s="38">
        <f>Dados!AF112/Dados!AD112</f>
        <v>0</v>
      </c>
      <c r="AA113" s="37">
        <f>Dados!AG112/Dados!AH112</f>
        <v>0.44079730805093192</v>
      </c>
      <c r="AB113" s="38" t="e">
        <f>Dados!AI113/Dados!AJ113</f>
        <v>#DIV/0!</v>
      </c>
      <c r="AC113" s="38" t="e">
        <f>Dados!AG113/Dados!AJ113</f>
        <v>#DIV/0!</v>
      </c>
      <c r="AD113" s="38">
        <f>Dados!AK112/Dados!AG112</f>
        <v>0.11681132378426998</v>
      </c>
      <c r="AE113" s="38" t="e">
        <f>Dados!AL112/Dados!AN112</f>
        <v>#DIV/0!</v>
      </c>
      <c r="AF113" s="38" t="e">
        <f>Dados!AN113/Dados!AG113</f>
        <v>#DIV/0!</v>
      </c>
      <c r="AG113" s="37">
        <f>Dados!AO112/Dados!AH112</f>
        <v>0</v>
      </c>
      <c r="AH113" s="38">
        <f>Dados!AO112/Dados!AM112</f>
        <v>0</v>
      </c>
      <c r="AI113" s="37">
        <f>Dados!AP112/Dados!AQ112</f>
        <v>0.38425514221732943</v>
      </c>
      <c r="AJ113" s="38" t="e">
        <f>Dados!AR113/Dados!AS113</f>
        <v>#DIV/0!</v>
      </c>
      <c r="AK113" s="38" t="e">
        <f>Dados!AP113/Dados!AS113</f>
        <v>#DIV/0!</v>
      </c>
      <c r="AL113" s="38">
        <f>Dados!AT112/Dados!AP112</f>
        <v>0.16281197468317798</v>
      </c>
      <c r="AM113" s="38" t="e">
        <f>Dados!AU112/Dados!AW112</f>
        <v>#DIV/0!</v>
      </c>
      <c r="AN113" s="38" t="e">
        <f>Dados!AW113/Dados!AP113</f>
        <v>#DIV/0!</v>
      </c>
      <c r="AO113" s="37">
        <f>Dados!AX112/Dados!AQ112</f>
        <v>0</v>
      </c>
      <c r="AP113" s="39">
        <f>Dados!AX112/Dados!AV112</f>
        <v>0</v>
      </c>
    </row>
    <row r="114" spans="1:42" x14ac:dyDescent="0.25">
      <c r="A114" s="13">
        <v>13</v>
      </c>
      <c r="B114" s="13" t="s">
        <v>121</v>
      </c>
      <c r="C114" s="37">
        <f>Dados!F114/Dados!G114</f>
        <v>0</v>
      </c>
      <c r="D114" s="38" t="e">
        <f>Dados!H114/Dados!I114</f>
        <v>#DIV/0!</v>
      </c>
      <c r="E114" s="38" t="e">
        <f>Dados!F114/Dados!I114</f>
        <v>#DIV/0!</v>
      </c>
      <c r="F114" s="38" t="e">
        <f>Dados!J114/Dados!F114</f>
        <v>#DIV/0!</v>
      </c>
      <c r="G114" s="38" t="e">
        <f>Dados!K114/Dados!M114</f>
        <v>#DIV/0!</v>
      </c>
      <c r="H114" s="38" t="e">
        <f>Dados!M114/Dados!F114</f>
        <v>#DIV/0!</v>
      </c>
      <c r="I114" s="37">
        <f>Dados!N114/Dados!G114</f>
        <v>0</v>
      </c>
      <c r="J114" s="38" t="e">
        <f>Dados!N114/Dados!L114</f>
        <v>#DIV/0!</v>
      </c>
      <c r="K114" s="37">
        <f>Dados!O113/Dados!P113</f>
        <v>42.196487045232075</v>
      </c>
      <c r="L114" s="38" t="e">
        <f>Dados!Q114/Dados!R114</f>
        <v>#DIV/0!</v>
      </c>
      <c r="M114" s="38" t="e">
        <f>Dados!O114/Dados!R114</f>
        <v>#DIV/0!</v>
      </c>
      <c r="N114" s="38">
        <f>Dados!S113/Dados!O113</f>
        <v>6.2919712255258997E-2</v>
      </c>
      <c r="O114" s="38">
        <f>Dados!T113/Dados!V113</f>
        <v>6.5633830225591625</v>
      </c>
      <c r="P114" s="38" t="e">
        <f>Dados!V114/Dados!O114</f>
        <v>#DIV/0!</v>
      </c>
      <c r="Q114" s="37">
        <f>Dados!W113/Dados!P113</f>
        <v>0</v>
      </c>
      <c r="R114" s="38">
        <f>Dados!W113/Dados!U113</f>
        <v>0</v>
      </c>
      <c r="S114" s="37">
        <f>Dados!X113/Dados!Y113</f>
        <v>0</v>
      </c>
      <c r="T114" s="38">
        <f>Dados!Z114/Dados!AA114</f>
        <v>0.59742755020730132</v>
      </c>
      <c r="U114" s="38">
        <f>Dados!X114/Dados!AA114</f>
        <v>1.1998916600336584</v>
      </c>
      <c r="V114" s="38" t="e">
        <f>Dados!AB113/Dados!X113</f>
        <v>#DIV/0!</v>
      </c>
      <c r="W114" s="38" t="e">
        <f>Dados!AC113/Dados!AE113</f>
        <v>#DIV/0!</v>
      </c>
      <c r="X114" s="38">
        <f>Dados!AE114/Dados!X114</f>
        <v>6.3369164140806818E-4</v>
      </c>
      <c r="Y114" s="37">
        <f>Dados!AF113/Dados!Y113</f>
        <v>0</v>
      </c>
      <c r="Z114" s="38" t="e">
        <f>Dados!AF113/Dados!AD113</f>
        <v>#DIV/0!</v>
      </c>
      <c r="AA114" s="37">
        <f>Dados!AG113/Dados!AH113</f>
        <v>0</v>
      </c>
      <c r="AB114" s="38">
        <f>Dados!AI114/Dados!AJ114</f>
        <v>0.9907435143836365</v>
      </c>
      <c r="AC114" s="38">
        <f>Dados!AG114/Dados!AJ114</f>
        <v>1.1722028936525457</v>
      </c>
      <c r="AD114" s="38" t="e">
        <f>Dados!AK113/Dados!AG113</f>
        <v>#DIV/0!</v>
      </c>
      <c r="AE114" s="38" t="e">
        <f>Dados!AL113/Dados!AN113</f>
        <v>#DIV/0!</v>
      </c>
      <c r="AF114" s="38">
        <f>Dados!AN114/Dados!AG114</f>
        <v>0.54915335199445003</v>
      </c>
      <c r="AG114" s="37">
        <f>Dados!AO113/Dados!AH113</f>
        <v>0</v>
      </c>
      <c r="AH114" s="38" t="e">
        <f>Dados!AO113/Dados!AM113</f>
        <v>#DIV/0!</v>
      </c>
      <c r="AI114" s="37">
        <f>Dados!AP113/Dados!AQ113</f>
        <v>0</v>
      </c>
      <c r="AJ114" s="38">
        <f>Dados!AR114/Dados!AS114</f>
        <v>0.43077001054936237</v>
      </c>
      <c r="AK114" s="38">
        <f>Dados!AP114/Dados!AS114</f>
        <v>1.0577937269753879</v>
      </c>
      <c r="AL114" s="38" t="e">
        <f>Dados!AT113/Dados!AP113</f>
        <v>#DIV/0!</v>
      </c>
      <c r="AM114" s="38" t="e">
        <f>Dados!AU113/Dados!AW113</f>
        <v>#DIV/0!</v>
      </c>
      <c r="AN114" s="38">
        <f>Dados!AW114/Dados!AP114</f>
        <v>0.53858000639775061</v>
      </c>
      <c r="AO114" s="37">
        <f>Dados!AX113/Dados!AQ113</f>
        <v>0</v>
      </c>
      <c r="AP114" s="39" t="e">
        <f>Dados!AX113/Dados!AV113</f>
        <v>#DIV/0!</v>
      </c>
    </row>
    <row r="115" spans="1:42" ht="25.5" x14ac:dyDescent="0.25">
      <c r="A115" s="13">
        <v>17</v>
      </c>
      <c r="B115" s="13" t="s">
        <v>122</v>
      </c>
      <c r="C115" s="37">
        <f>Dados!F115/Dados!G115</f>
        <v>1.9758848706299551E-3</v>
      </c>
      <c r="D115" s="38">
        <f>Dados!H115/Dados!I115</f>
        <v>1</v>
      </c>
      <c r="E115" s="38">
        <f>Dados!F115/Dados!I115</f>
        <v>0.20433900081961276</v>
      </c>
      <c r="F115" s="38">
        <f>Dados!J115/Dados!F115</f>
        <v>0</v>
      </c>
      <c r="G115" s="38">
        <f>Dados!K115/Dados!M115</f>
        <v>75.241940666666679</v>
      </c>
      <c r="H115" s="38">
        <f>Dados!M115/Dados!F115</f>
        <v>6.2554623218282729E-2</v>
      </c>
      <c r="I115" s="37">
        <f>Dados!N115/Dados!G115</f>
        <v>0</v>
      </c>
      <c r="J115" s="38">
        <f>Dados!N115/Dados!L115</f>
        <v>0</v>
      </c>
      <c r="K115" s="37">
        <f>Dados!O114/Dados!P114</f>
        <v>0</v>
      </c>
      <c r="L115" s="38">
        <f>Dados!Q115/Dados!R115</f>
        <v>1</v>
      </c>
      <c r="M115" s="38">
        <f>Dados!O115/Dados!R115</f>
        <v>0.64660781022957092</v>
      </c>
      <c r="N115" s="38" t="e">
        <f>Dados!S114/Dados!O114</f>
        <v>#DIV/0!</v>
      </c>
      <c r="O115" s="38" t="e">
        <f>Dados!T114/Dados!V114</f>
        <v>#DIV/0!</v>
      </c>
      <c r="P115" s="38">
        <f>Dados!V115/Dados!O115</f>
        <v>1.5243686616570228E-2</v>
      </c>
      <c r="Q115" s="37">
        <f>Dados!W114/Dados!P114</f>
        <v>0</v>
      </c>
      <c r="R115" s="38" t="e">
        <f>Dados!W114/Dados!U114</f>
        <v>#DIV/0!</v>
      </c>
      <c r="S115" s="37" t="e">
        <f>Dados!X114/Dados!#REF!</f>
        <v>#REF!</v>
      </c>
      <c r="T115" s="38" t="e">
        <f>Dados!Z115/Dados!AA115</f>
        <v>#DIV/0!</v>
      </c>
      <c r="U115" s="38" t="e">
        <f>Dados!X115/Dados!AA115</f>
        <v>#DIV/0!</v>
      </c>
      <c r="V115" s="38">
        <f>Dados!AB114/Dados!X114</f>
        <v>0.16659142378575356</v>
      </c>
      <c r="W115" s="38">
        <f>Dados!AC114/Dados!AE114</f>
        <v>372.49804295735709</v>
      </c>
      <c r="X115" s="38" t="e">
        <f>Dados!AE115/Dados!X115</f>
        <v>#DIV/0!</v>
      </c>
      <c r="Y115" s="37" t="e">
        <f>Dados!AF114/Dados!#REF!</f>
        <v>#REF!</v>
      </c>
      <c r="Z115" s="38">
        <f>Dados!AF114/Dados!AD114</f>
        <v>0</v>
      </c>
      <c r="AA115" s="37">
        <f>Dados!AG114/Dados!AH114</f>
        <v>6.6925430869398692</v>
      </c>
      <c r="AB115" s="38" t="e">
        <f>Dados!AI115/Dados!AJ115</f>
        <v>#DIV/0!</v>
      </c>
      <c r="AC115" s="38" t="e">
        <f>Dados!AG115/Dados!AJ115</f>
        <v>#DIV/0!</v>
      </c>
      <c r="AD115" s="38">
        <f>Dados!AK114/Dados!AG114</f>
        <v>0.14690536474958452</v>
      </c>
      <c r="AE115" s="38">
        <f>Dados!AL114/Dados!AN114</f>
        <v>0.53424780396008686</v>
      </c>
      <c r="AF115" s="38" t="e">
        <f>Dados!AN115/Dados!AG115</f>
        <v>#DIV/0!</v>
      </c>
      <c r="AG115" s="37">
        <f>Dados!AO114/Dados!AH114</f>
        <v>0</v>
      </c>
      <c r="AH115" s="38">
        <f>Dados!AO114/Dados!AM114</f>
        <v>0</v>
      </c>
      <c r="AI115" s="37">
        <f>Dados!AP114/Dados!AQ114</f>
        <v>6.7377147193102189</v>
      </c>
      <c r="AJ115" s="38" t="e">
        <f>Dados!AR115/Dados!AS115</f>
        <v>#DIV/0!</v>
      </c>
      <c r="AK115" s="38" t="e">
        <f>Dados!AP115/Dados!AS115</f>
        <v>#DIV/0!</v>
      </c>
      <c r="AL115" s="38">
        <f>Dados!AT114/Dados!AP114</f>
        <v>5.4636102958032277E-2</v>
      </c>
      <c r="AM115" s="38">
        <f>Dados!AU114/Dados!AW114</f>
        <v>0.25202573561115649</v>
      </c>
      <c r="AN115" s="38" t="e">
        <f>Dados!AW115/Dados!AP115</f>
        <v>#DIV/0!</v>
      </c>
      <c r="AO115" s="37">
        <f>Dados!AX114/Dados!AQ114</f>
        <v>0</v>
      </c>
      <c r="AP115" s="39">
        <f>Dados!AX114/Dados!AV114</f>
        <v>0</v>
      </c>
    </row>
    <row r="116" spans="1:42" x14ac:dyDescent="0.25">
      <c r="A116" s="13">
        <v>84</v>
      </c>
      <c r="B116" s="13" t="s">
        <v>123</v>
      </c>
      <c r="C116" s="37">
        <f>Dados!F116/Dados!G116</f>
        <v>4.7726827788723245</v>
      </c>
      <c r="D116" s="38">
        <f>Dados!H116/Dados!I116</f>
        <v>1</v>
      </c>
      <c r="E116" s="38">
        <f>Dados!F116/Dados!I116</f>
        <v>1.7269848273416362</v>
      </c>
      <c r="F116" s="38">
        <f>Dados!J116/Dados!F116</f>
        <v>0.42095611717717912</v>
      </c>
      <c r="G116" s="38">
        <f>Dados!K116/Dados!M116</f>
        <v>22.229597652582161</v>
      </c>
      <c r="H116" s="38">
        <f>Dados!M116/Dados!F116</f>
        <v>2.3958399310322044E-2</v>
      </c>
      <c r="I116" s="37">
        <f>Dados!N116/Dados!G116</f>
        <v>0</v>
      </c>
      <c r="J116" s="38">
        <f>Dados!N116/Dados!L116</f>
        <v>0</v>
      </c>
      <c r="K116" s="37">
        <f>Dados!O115/Dados!P115</f>
        <v>5.3763029802520275E-3</v>
      </c>
      <c r="L116" s="38">
        <f>Dados!Q116/Dados!R116</f>
        <v>1</v>
      </c>
      <c r="M116" s="38">
        <f>Dados!O116/Dados!R116</f>
        <v>0.88471936558865261</v>
      </c>
      <c r="N116" s="38">
        <f>Dados!S115/Dados!O115</f>
        <v>-0.5465325104021882</v>
      </c>
      <c r="O116" s="38">
        <f>Dados!T115/Dados!V115</f>
        <v>206.39105655414295</v>
      </c>
      <c r="P116" s="38">
        <f>Dados!V116/Dados!O116</f>
        <v>0</v>
      </c>
      <c r="Q116" s="37">
        <f>Dados!W115/Dados!P115</f>
        <v>0</v>
      </c>
      <c r="R116" s="38">
        <f>Dados!W115/Dados!U115</f>
        <v>0</v>
      </c>
      <c r="S116" s="37">
        <f>Dados!X115/Dados!Y114</f>
        <v>0</v>
      </c>
      <c r="T116" s="38">
        <f>Dados!Z116/Dados!AA116</f>
        <v>1</v>
      </c>
      <c r="U116" s="38">
        <f>Dados!X116/Dados!AA116</f>
        <v>0.83222668661756671</v>
      </c>
      <c r="V116" s="38" t="e">
        <f>Dados!AB115/Dados!X115</f>
        <v>#DIV/0!</v>
      </c>
      <c r="W116" s="38" t="e">
        <f>Dados!AC115/Dados!AE115</f>
        <v>#DIV/0!</v>
      </c>
      <c r="X116" s="38">
        <f>Dados!AE116/Dados!X116</f>
        <v>0</v>
      </c>
      <c r="Y116" s="37">
        <f>Dados!AF115/Dados!Y114</f>
        <v>0</v>
      </c>
      <c r="Z116" s="38" t="e">
        <f>Dados!AF115/Dados!AD115</f>
        <v>#DIV/0!</v>
      </c>
      <c r="AA116" s="37">
        <f>Dados!AG115/Dados!AH115</f>
        <v>0</v>
      </c>
      <c r="AB116" s="38">
        <f>Dados!AI116/Dados!AJ116</f>
        <v>1</v>
      </c>
      <c r="AC116" s="38">
        <f>Dados!AG116/Dados!AJ116</f>
        <v>1.075729565528063</v>
      </c>
      <c r="AD116" s="38" t="e">
        <f>Dados!AK115/Dados!AG115</f>
        <v>#DIV/0!</v>
      </c>
      <c r="AE116" s="38" t="e">
        <f>Dados!AL115/Dados!AN115</f>
        <v>#DIV/0!</v>
      </c>
      <c r="AF116" s="38">
        <f>Dados!AN116/Dados!AG116</f>
        <v>0</v>
      </c>
      <c r="AG116" s="37">
        <f>Dados!AO115/Dados!AH115</f>
        <v>0</v>
      </c>
      <c r="AH116" s="38" t="e">
        <f>Dados!AO115/Dados!AM115</f>
        <v>#DIV/0!</v>
      </c>
      <c r="AI116" s="37">
        <f>Dados!AP115/Dados!AQ115</f>
        <v>0</v>
      </c>
      <c r="AJ116" s="38">
        <f>Dados!AR116/Dados!AS116</f>
        <v>1</v>
      </c>
      <c r="AK116" s="38">
        <f>Dados!AP116/Dados!AS116</f>
        <v>1.1028838699283483</v>
      </c>
      <c r="AL116" s="38" t="e">
        <f>Dados!AT115/Dados!AP115</f>
        <v>#DIV/0!</v>
      </c>
      <c r="AM116" s="38" t="e">
        <f>Dados!AU115/Dados!AW115</f>
        <v>#DIV/0!</v>
      </c>
      <c r="AN116" s="38">
        <f>Dados!AW116/Dados!AP116</f>
        <v>0</v>
      </c>
      <c r="AO116" s="37">
        <f>Dados!AX115/Dados!AQ115</f>
        <v>0</v>
      </c>
      <c r="AP116" s="39" t="e">
        <f>Dados!AX115/Dados!AV115</f>
        <v>#DIV/0!</v>
      </c>
    </row>
    <row r="117" spans="1:42" x14ac:dyDescent="0.25">
      <c r="A117" s="13">
        <v>184</v>
      </c>
      <c r="B117" s="13" t="s">
        <v>124</v>
      </c>
      <c r="C117" s="37">
        <f>Dados!F117/Dados!G117</f>
        <v>104.61993107469519</v>
      </c>
      <c r="D117" s="38">
        <f>Dados!H117/Dados!I117</f>
        <v>1</v>
      </c>
      <c r="E117" s="38">
        <f>Dados!F117/Dados!I117</f>
        <v>1.052416886621004</v>
      </c>
      <c r="F117" s="38">
        <f>Dados!J117/Dados!F117</f>
        <v>4.9806200648584244E-2</v>
      </c>
      <c r="G117" s="38">
        <f>Dados!K117/Dados!M117</f>
        <v>1552.1083368421052</v>
      </c>
      <c r="H117" s="38">
        <f>Dados!M117/Dados!F117</f>
        <v>7.9024669740058626E-5</v>
      </c>
      <c r="I117" s="37">
        <f>Dados!N117/Dados!G117</f>
        <v>0</v>
      </c>
      <c r="J117" s="38">
        <f>Dados!N117/Dados!L117</f>
        <v>0</v>
      </c>
      <c r="K117" s="37">
        <f>Dados!O116/Dados!P116</f>
        <v>2.1493665823796801</v>
      </c>
      <c r="L117" s="38">
        <f>Dados!Q117/Dados!R117</f>
        <v>0.99876881221877212</v>
      </c>
      <c r="M117" s="38">
        <f>Dados!O117/Dados!R117</f>
        <v>1.011376457586308</v>
      </c>
      <c r="N117" s="38">
        <f>Dados!S116/Dados!O116</f>
        <v>-0.13030192272850807</v>
      </c>
      <c r="O117" s="38" t="e">
        <f>Dados!T116/Dados!V116</f>
        <v>#DIV/0!</v>
      </c>
      <c r="P117" s="38">
        <f>Dados!V117/Dados!O117</f>
        <v>5.2826633208310258E-3</v>
      </c>
      <c r="Q117" s="37">
        <f>Dados!W116/Dados!P116</f>
        <v>0</v>
      </c>
      <c r="R117" s="38">
        <f>Dados!W116/Dados!U116</f>
        <v>0</v>
      </c>
      <c r="S117" s="37">
        <f>Dados!X116/Dados!Y116</f>
        <v>1.5361760674729781</v>
      </c>
      <c r="T117" s="38">
        <f>Dados!Z117/Dados!AA117</f>
        <v>0.99782618889128361</v>
      </c>
      <c r="U117" s="38">
        <f>Dados!X117/Dados!AA117</f>
        <v>1.0570024349693634</v>
      </c>
      <c r="V117" s="38">
        <f>Dados!AB116/Dados!X116</f>
        <v>-0.20159569030923197</v>
      </c>
      <c r="W117" s="38" t="e">
        <f>Dados!AC116/Dados!AE116</f>
        <v>#DIV/0!</v>
      </c>
      <c r="X117" s="38">
        <f>Dados!AE117/Dados!X117</f>
        <v>9.6720392852669913E-4</v>
      </c>
      <c r="Y117" s="37">
        <f>Dados!AF116/Dados!Y116</f>
        <v>0</v>
      </c>
      <c r="Z117" s="38">
        <f>Dados!AF116/Dados!AD116</f>
        <v>0</v>
      </c>
      <c r="AA117" s="37">
        <f>Dados!AG116/Dados!AH116</f>
        <v>1.7023220392928446</v>
      </c>
      <c r="AB117" s="38">
        <f>Dados!AI117/Dados!AJ117</f>
        <v>0.99959616433603826</v>
      </c>
      <c r="AC117" s="38">
        <f>Dados!AG117/Dados!AJ117</f>
        <v>1.0018603966606738</v>
      </c>
      <c r="AD117" s="38">
        <f>Dados!AK116/Dados!AG116</f>
        <v>7.039833054220121E-2</v>
      </c>
      <c r="AE117" s="38" t="e">
        <f>Dados!AL116/Dados!AN116</f>
        <v>#DIV/0!</v>
      </c>
      <c r="AF117" s="38">
        <f>Dados!AN117/Dados!AG117</f>
        <v>0</v>
      </c>
      <c r="AG117" s="37">
        <f>Dados!AO116/Dados!AH116</f>
        <v>0</v>
      </c>
      <c r="AH117" s="38">
        <f>Dados!AO116/Dados!AM116</f>
        <v>0</v>
      </c>
      <c r="AI117" s="37">
        <f>Dados!AP116/Dados!AQ116</f>
        <v>1.4232871571859438</v>
      </c>
      <c r="AJ117" s="38" t="e">
        <f>Dados!AR117/Dados!AS117</f>
        <v>#DIV/0!</v>
      </c>
      <c r="AK117" s="38" t="e">
        <f>Dados!AP117/Dados!AS117</f>
        <v>#DIV/0!</v>
      </c>
      <c r="AL117" s="38">
        <f>Dados!AT116/Dados!AP116</f>
        <v>9.3286222360866033E-2</v>
      </c>
      <c r="AM117" s="38" t="e">
        <f>Dados!AU116/Dados!AW116</f>
        <v>#DIV/0!</v>
      </c>
      <c r="AN117" s="38" t="e">
        <f>Dados!AW117/Dados!AP117</f>
        <v>#DIV/0!</v>
      </c>
      <c r="AO117" s="37">
        <f>Dados!AX116/Dados!AQ116</f>
        <v>0</v>
      </c>
      <c r="AP117" s="39">
        <f>Dados!AX116/Dados!AV116</f>
        <v>0</v>
      </c>
    </row>
    <row r="118" spans="1:42" x14ac:dyDescent="0.25">
      <c r="A118" s="13">
        <v>185</v>
      </c>
      <c r="B118" s="13" t="s">
        <v>125</v>
      </c>
      <c r="C118" s="37">
        <f>Dados!F118/Dados!G118</f>
        <v>58.832738805754978</v>
      </c>
      <c r="D118" s="38">
        <f>Dados!H118/Dados!I118</f>
        <v>1</v>
      </c>
      <c r="E118" s="38">
        <f>Dados!F118/Dados!I118</f>
        <v>1.0380477311182648</v>
      </c>
      <c r="F118" s="38">
        <f>Dados!J118/Dados!F118</f>
        <v>-7.4437077520587785E-2</v>
      </c>
      <c r="G118" s="38" t="e">
        <f>Dados!K118/Dados!M118</f>
        <v>#DIV/0!</v>
      </c>
      <c r="H118" s="38">
        <f>Dados!M118/Dados!F118</f>
        <v>0</v>
      </c>
      <c r="I118" s="37">
        <f>Dados!N118/Dados!G118</f>
        <v>0</v>
      </c>
      <c r="J118" s="38">
        <f>Dados!N118/Dados!L118</f>
        <v>0</v>
      </c>
      <c r="K118" s="37">
        <f>Dados!O117/Dados!P117</f>
        <v>62.386912714278132</v>
      </c>
      <c r="L118" s="38" t="e">
        <f>Dados!Q118/Dados!R118</f>
        <v>#DIV/0!</v>
      </c>
      <c r="M118" s="38" t="e">
        <f>Dados!O118/Dados!R118</f>
        <v>#DIV/0!</v>
      </c>
      <c r="N118" s="38">
        <f>Dados!S117/Dados!O117</f>
        <v>1.124848962122209E-2</v>
      </c>
      <c r="O118" s="38">
        <f>Dados!T117/Dados!V117</f>
        <v>16.406477343789838</v>
      </c>
      <c r="P118" s="38">
        <f>Dados!V118/Dados!O118</f>
        <v>0</v>
      </c>
      <c r="Q118" s="37">
        <f>Dados!W117/Dados!P117</f>
        <v>0</v>
      </c>
      <c r="R118" s="38">
        <f>Dados!W117/Dados!U117</f>
        <v>0</v>
      </c>
      <c r="S118" s="37">
        <f>Dados!X117/Dados!Y117</f>
        <v>47.696951286409295</v>
      </c>
      <c r="T118" s="38" t="e">
        <f>Dados!Z118/Dados!AA118</f>
        <v>#DIV/0!</v>
      </c>
      <c r="U118" s="38" t="e">
        <f>Dados!X118/Dados!AA118</f>
        <v>#DIV/0!</v>
      </c>
      <c r="V118" s="38">
        <f>Dados!AB117/Dados!X117</f>
        <v>5.3928385672087617E-2</v>
      </c>
      <c r="W118" s="38">
        <f>Dados!AC117/Dados!AE117</f>
        <v>95.844317738791418</v>
      </c>
      <c r="X118" s="38" t="e">
        <f>Dados!AE118/Dados!X118</f>
        <v>#DIV/0!</v>
      </c>
      <c r="Y118" s="37">
        <f>Dados!AF117/Dados!Y117</f>
        <v>0</v>
      </c>
      <c r="Z118" s="38">
        <f>Dados!AF117/Dados!AD117</f>
        <v>0</v>
      </c>
      <c r="AA118" s="37">
        <f>Dados!AG117/Dados!AH117</f>
        <v>35.615251856458279</v>
      </c>
      <c r="AB118" s="38" t="e">
        <f>Dados!AI118/Dados!AJ118</f>
        <v>#DIV/0!</v>
      </c>
      <c r="AC118" s="38" t="e">
        <f>Dados!AG118/Dados!AJ118</f>
        <v>#DIV/0!</v>
      </c>
      <c r="AD118" s="38">
        <f>Dados!AK117/Dados!AG117</f>
        <v>1.8569420119555781E-3</v>
      </c>
      <c r="AE118" s="38" t="e">
        <f>Dados!AL117/Dados!AN117</f>
        <v>#DIV/0!</v>
      </c>
      <c r="AF118" s="38" t="e">
        <f>Dados!AN118/Dados!AG118</f>
        <v>#DIV/0!</v>
      </c>
      <c r="AG118" s="37">
        <f>Dados!AO117/Dados!AH117</f>
        <v>0</v>
      </c>
      <c r="AH118" s="38">
        <f>Dados!AO117/Dados!AM117</f>
        <v>0</v>
      </c>
      <c r="AI118" s="37">
        <f>Dados!AP117/Dados!AQ117</f>
        <v>0</v>
      </c>
      <c r="AJ118" s="38" t="e">
        <f>Dados!AR118/Dados!AS118</f>
        <v>#DIV/0!</v>
      </c>
      <c r="AK118" s="38" t="e">
        <f>Dados!AP118/Dados!AS118</f>
        <v>#DIV/0!</v>
      </c>
      <c r="AL118" s="38" t="e">
        <f>Dados!AT117/Dados!AP117</f>
        <v>#DIV/0!</v>
      </c>
      <c r="AM118" s="38" t="e">
        <f>Dados!AU117/Dados!AW117</f>
        <v>#DIV/0!</v>
      </c>
      <c r="AN118" s="38" t="e">
        <f>Dados!AW118/Dados!AP118</f>
        <v>#DIV/0!</v>
      </c>
      <c r="AO118" s="37">
        <f>Dados!AX117/Dados!AQ117</f>
        <v>0</v>
      </c>
      <c r="AP118" s="39" t="e">
        <f>Dados!AX117/Dados!AV117</f>
        <v>#DIV/0!</v>
      </c>
    </row>
    <row r="119" spans="1:42" ht="25.5" x14ac:dyDescent="0.25">
      <c r="A119" s="13">
        <v>186</v>
      </c>
      <c r="B119" s="13" t="s">
        <v>126</v>
      </c>
      <c r="C119" s="37">
        <f>Dados!F119/Dados!G119</f>
        <v>150.91359923827102</v>
      </c>
      <c r="D119" s="38">
        <f>Dados!H119/Dados!I119</f>
        <v>0.97912804892602989</v>
      </c>
      <c r="E119" s="38">
        <f>Dados!F119/Dados!I119</f>
        <v>0.92009523070568189</v>
      </c>
      <c r="F119" s="38">
        <f>Dados!J119/Dados!F119</f>
        <v>-8.6844020735803454E-2</v>
      </c>
      <c r="G119" s="38">
        <f>Dados!K119/Dados!M119</f>
        <v>39.548006863419566</v>
      </c>
      <c r="H119" s="38">
        <f>Dados!M119/Dados!F119</f>
        <v>7.496695327030377E-3</v>
      </c>
      <c r="I119" s="37">
        <f>Dados!N119/Dados!G119</f>
        <v>0</v>
      </c>
      <c r="J119" s="38">
        <f>Dados!N119/Dados!L119</f>
        <v>0</v>
      </c>
      <c r="K119" s="37">
        <f>Dados!O118/Dados!P118</f>
        <v>59.65830896928248</v>
      </c>
      <c r="L119" s="38">
        <f>Dados!Q119/Dados!R119</f>
        <v>0.9820114846654554</v>
      </c>
      <c r="M119" s="38">
        <f>Dados!O119/Dados!R119</f>
        <v>1.1535870302943421</v>
      </c>
      <c r="N119" s="38">
        <f>Dados!S118/Dados!O118</f>
        <v>0</v>
      </c>
      <c r="O119" s="38" t="e">
        <f>Dados!T118/Dados!V118</f>
        <v>#DIV/0!</v>
      </c>
      <c r="P119" s="38">
        <f>Dados!V119/Dados!O119</f>
        <v>1.1132667611696531E-4</v>
      </c>
      <c r="Q119" s="37">
        <f>Dados!W118/Dados!P118</f>
        <v>0</v>
      </c>
      <c r="R119" s="38">
        <f>Dados!W118/Dados!U118</f>
        <v>0</v>
      </c>
      <c r="S119" s="37">
        <f>Dados!X118/Dados!Y118</f>
        <v>0</v>
      </c>
      <c r="T119" s="38">
        <f>Dados!Z119/Dados!AA119</f>
        <v>0.99547190763233462</v>
      </c>
      <c r="U119" s="38">
        <f>Dados!X119/Dados!AA119</f>
        <v>1.0371629171910577</v>
      </c>
      <c r="V119" s="38" t="e">
        <f>Dados!AB118/Dados!X118</f>
        <v>#DIV/0!</v>
      </c>
      <c r="W119" s="38" t="e">
        <f>Dados!AC118/Dados!AE118</f>
        <v>#DIV/0!</v>
      </c>
      <c r="X119" s="38">
        <f>Dados!AE119/Dados!X119</f>
        <v>8.1693157138256606E-4</v>
      </c>
      <c r="Y119" s="37">
        <f>Dados!AF118/Dados!Y118</f>
        <v>0</v>
      </c>
      <c r="Z119" s="38" t="e">
        <f>Dados!AF118/Dados!AD118</f>
        <v>#DIV/0!</v>
      </c>
      <c r="AA119" s="37">
        <f>Dados!AG118/Dados!AH118</f>
        <v>0</v>
      </c>
      <c r="AB119" s="38">
        <f>Dados!AI119/Dados!AJ119</f>
        <v>0.95404704443767874</v>
      </c>
      <c r="AC119" s="38">
        <f>Dados!AG119/Dados!AJ119</f>
        <v>1.2658527641404274</v>
      </c>
      <c r="AD119" s="38" t="e">
        <f>Dados!AK118/Dados!AG118</f>
        <v>#DIV/0!</v>
      </c>
      <c r="AE119" s="38" t="e">
        <f>Dados!AL118/Dados!AN118</f>
        <v>#DIV/0!</v>
      </c>
      <c r="AF119" s="38">
        <f>Dados!AN119/Dados!AG119</f>
        <v>0</v>
      </c>
      <c r="AG119" s="37">
        <f>Dados!AO118/Dados!AH118</f>
        <v>0</v>
      </c>
      <c r="AH119" s="38" t="e">
        <f>Dados!AO118/Dados!AM118</f>
        <v>#DIV/0!</v>
      </c>
      <c r="AI119" s="37">
        <f>Dados!AP118/Dados!AQ118</f>
        <v>0</v>
      </c>
      <c r="AJ119" s="38">
        <f>Dados!AR119/Dados!AS119</f>
        <v>0.94431699073339936</v>
      </c>
      <c r="AK119" s="38">
        <f>Dados!AP119/Dados!AS119</f>
        <v>1.0294758825603794</v>
      </c>
      <c r="AL119" s="38" t="e">
        <f>Dados!AT118/Dados!AP118</f>
        <v>#DIV/0!</v>
      </c>
      <c r="AM119" s="38" t="e">
        <f>Dados!AU118/Dados!AW118</f>
        <v>#DIV/0!</v>
      </c>
      <c r="AN119" s="38">
        <f>Dados!AW119/Dados!AP119</f>
        <v>1.0377432168558672E-4</v>
      </c>
      <c r="AO119" s="37">
        <f>Dados!AX118/Dados!AQ118</f>
        <v>0</v>
      </c>
      <c r="AP119" s="39" t="e">
        <f>Dados!AX118/Dados!AV118</f>
        <v>#DIV/0!</v>
      </c>
    </row>
    <row r="120" spans="1:42" ht="25.5" x14ac:dyDescent="0.25">
      <c r="A120" s="13">
        <v>187</v>
      </c>
      <c r="B120" s="13" t="s">
        <v>127</v>
      </c>
      <c r="C120" s="37">
        <f>Dados!F120/Dados!G120</f>
        <v>0</v>
      </c>
      <c r="D120" s="38" t="e">
        <f>Dados!H120/Dados!I120</f>
        <v>#DIV/0!</v>
      </c>
      <c r="E120" s="38" t="e">
        <f>Dados!F120/Dados!I120</f>
        <v>#DIV/0!</v>
      </c>
      <c r="F120" s="38" t="e">
        <f>Dados!J120/Dados!F120</f>
        <v>#DIV/0!</v>
      </c>
      <c r="G120" s="38" t="e">
        <f>Dados!K120/Dados!M120</f>
        <v>#DIV/0!</v>
      </c>
      <c r="H120" s="38" t="e">
        <f>Dados!M120/Dados!F120</f>
        <v>#DIV/0!</v>
      </c>
      <c r="I120" s="37">
        <f>Dados!N120/Dados!G120</f>
        <v>0</v>
      </c>
      <c r="J120" s="38" t="e">
        <f>Dados!N120/Dados!L120</f>
        <v>#DIV/0!</v>
      </c>
      <c r="K120" s="37">
        <f>Dados!O119/Dados!P119</f>
        <v>147.3784825438826</v>
      </c>
      <c r="L120" s="38">
        <f>Dados!Q120/Dados!R120</f>
        <v>1</v>
      </c>
      <c r="M120" s="38">
        <f>Dados!O120/Dados!R120</f>
        <v>0.60554601867532409</v>
      </c>
      <c r="N120" s="38">
        <f>Dados!S119/Dados!O119</f>
        <v>0.1331386590356807</v>
      </c>
      <c r="O120" s="38">
        <f>Dados!T119/Dados!V119</f>
        <v>3406.528532948078</v>
      </c>
      <c r="P120" s="38">
        <f>Dados!V120/Dados!O120</f>
        <v>0.47404788649404039</v>
      </c>
      <c r="Q120" s="37">
        <f>Dados!W119/Dados!P119</f>
        <v>0</v>
      </c>
      <c r="R120" s="38">
        <f>Dados!W119/Dados!U119</f>
        <v>0</v>
      </c>
      <c r="S120" s="37">
        <f>Dados!X119/Dados!Y119</f>
        <v>105.98701404299516</v>
      </c>
      <c r="T120" s="38">
        <f>Dados!Z120/Dados!AA120</f>
        <v>0.99806746547802194</v>
      </c>
      <c r="U120" s="38">
        <f>Dados!X120/Dados!AA120</f>
        <v>0.38107366947749344</v>
      </c>
      <c r="V120" s="38">
        <f>Dados!AB119/Dados!X119</f>
        <v>3.5831320783918715E-2</v>
      </c>
      <c r="W120" s="38">
        <f>Dados!AC119/Dados!AE119</f>
        <v>416.82579227995967</v>
      </c>
      <c r="X120" s="38">
        <f>Dados!AE120/Dados!X120</f>
        <v>0.45168725713106278</v>
      </c>
      <c r="Y120" s="37">
        <f>Dados!AF119/Dados!Y119</f>
        <v>0</v>
      </c>
      <c r="Z120" s="38">
        <f>Dados!AF119/Dados!AD119</f>
        <v>0</v>
      </c>
      <c r="AA120" s="37">
        <f>Dados!AG119/Dados!AH119</f>
        <v>95.8487824132106</v>
      </c>
      <c r="AB120" s="38">
        <f>Dados!AI120/Dados!AJ120</f>
        <v>0.99855417669355306</v>
      </c>
      <c r="AC120" s="38">
        <f>Dados!AG120/Dados!AJ120</f>
        <v>0.38615995373756401</v>
      </c>
      <c r="AD120" s="38">
        <f>Dados!AK119/Dados!AG119</f>
        <v>0.21001870965692723</v>
      </c>
      <c r="AE120" s="38" t="e">
        <f>Dados!AL119/Dados!AN119</f>
        <v>#DIV/0!</v>
      </c>
      <c r="AF120" s="38">
        <f>Dados!AN120/Dados!AG120</f>
        <v>0.32792169577273916</v>
      </c>
      <c r="AG120" s="37">
        <f>Dados!AO119/Dados!AH119</f>
        <v>0</v>
      </c>
      <c r="AH120" s="38">
        <f>Dados!AO119/Dados!AM119</f>
        <v>0</v>
      </c>
      <c r="AI120" s="37">
        <f>Dados!AP119/Dados!AQ119</f>
        <v>65.675070628391779</v>
      </c>
      <c r="AJ120" s="38">
        <f>Dados!AR120/Dados!AS120</f>
        <v>0.99863189645804706</v>
      </c>
      <c r="AK120" s="38">
        <f>Dados!AP120/Dados!AS120</f>
        <v>0.44194458584206681</v>
      </c>
      <c r="AL120" s="38">
        <f>Dados!AT119/Dados!AP119</f>
        <v>2.8631931121174646E-2</v>
      </c>
      <c r="AM120" s="38">
        <f>Dados!AU119/Dados!AW119</f>
        <v>1630.4984482915008</v>
      </c>
      <c r="AN120" s="38">
        <f>Dados!AW120/Dados!AP120</f>
        <v>0.68878691423796445</v>
      </c>
      <c r="AO120" s="37">
        <f>Dados!AX119/Dados!AQ119</f>
        <v>0</v>
      </c>
      <c r="AP120" s="39">
        <f>Dados!AX119/Dados!AV119</f>
        <v>0</v>
      </c>
    </row>
    <row r="121" spans="1:42" ht="25.5" x14ac:dyDescent="0.25">
      <c r="A121" s="13">
        <v>191</v>
      </c>
      <c r="B121" s="13" t="s">
        <v>128</v>
      </c>
      <c r="C121" s="37">
        <f>Dados!F121/Dados!G121</f>
        <v>56.390483792785325</v>
      </c>
      <c r="D121" s="38">
        <f>Dados!H121/Dados!I121</f>
        <v>0.97781678129305483</v>
      </c>
      <c r="E121" s="38">
        <f>Dados!F121/Dados!I121</f>
        <v>0.998403463892507</v>
      </c>
      <c r="F121" s="38">
        <f>Dados!J121/Dados!F121</f>
        <v>-1.5990891109977545E-3</v>
      </c>
      <c r="G121" s="38">
        <f>Dados!K121/Dados!M121</f>
        <v>3.8722214903384202</v>
      </c>
      <c r="H121" s="38">
        <f>Dados!M121/Dados!F121</f>
        <v>1.7491201420378317E-2</v>
      </c>
      <c r="I121" s="37">
        <f>Dados!N121/Dados!G121</f>
        <v>0</v>
      </c>
      <c r="J121" s="38">
        <f>Dados!N121/Dados!L121</f>
        <v>0</v>
      </c>
      <c r="K121" s="37">
        <f>Dados!O120/Dados!P120</f>
        <v>14.217042835278715</v>
      </c>
      <c r="L121" s="38" t="e">
        <f>Dados!Q121/Dados!R121</f>
        <v>#DIV/0!</v>
      </c>
      <c r="M121" s="38" t="e">
        <f>Dados!O121/Dados!R121</f>
        <v>#DIV/0!</v>
      </c>
      <c r="N121" s="38">
        <f>Dados!S120/Dados!O120</f>
        <v>-0.65140215468276486</v>
      </c>
      <c r="O121" s="38">
        <f>Dados!T120/Dados!V120</f>
        <v>0.41096116114717696</v>
      </c>
      <c r="P121" s="38" t="e">
        <f>Dados!V121/Dados!O121</f>
        <v>#DIV/0!</v>
      </c>
      <c r="Q121" s="37">
        <f>Dados!W120/Dados!P120</f>
        <v>0</v>
      </c>
      <c r="R121" s="38">
        <f>Dados!W120/Dados!U120</f>
        <v>0</v>
      </c>
      <c r="S121" s="37">
        <f>Dados!X120/Dados!Y120</f>
        <v>12.309538226776951</v>
      </c>
      <c r="T121" s="38" t="e">
        <f>Dados!Z121/Dados!AA121</f>
        <v>#DIV/0!</v>
      </c>
      <c r="U121" s="38" t="e">
        <f>Dados!X121/Dados!AA121</f>
        <v>#DIV/0!</v>
      </c>
      <c r="V121" s="38">
        <f>Dados!AB120/Dados!X120</f>
        <v>-1.6241645122612203</v>
      </c>
      <c r="W121" s="38">
        <f>Dados!AC120/Dados!AE120</f>
        <v>0.17299746799549992</v>
      </c>
      <c r="X121" s="38" t="e">
        <f>Dados!AE121/Dados!X121</f>
        <v>#DIV/0!</v>
      </c>
      <c r="Y121" s="37">
        <f>Dados!AF120/Dados!Y120</f>
        <v>0</v>
      </c>
      <c r="Z121" s="38">
        <f>Dados!AF120/Dados!AD120</f>
        <v>0</v>
      </c>
      <c r="AA121" s="37">
        <f>Dados!AG120/Dados!AH120</f>
        <v>15.516344117695191</v>
      </c>
      <c r="AB121" s="38" t="e">
        <f>Dados!AI121/Dados!AJ121</f>
        <v>#DIV/0!</v>
      </c>
      <c r="AC121" s="38" t="e">
        <f>Dados!AG121/Dados!AJ121</f>
        <v>#DIV/0!</v>
      </c>
      <c r="AD121" s="38">
        <f>Dados!AK120/Dados!AG120</f>
        <v>-1.5896004759716857</v>
      </c>
      <c r="AE121" s="38">
        <f>Dados!AL120/Dados!AN120</f>
        <v>0.17935868214638087</v>
      </c>
      <c r="AF121" s="38" t="e">
        <f>Dados!AN121/Dados!AG121</f>
        <v>#DIV/0!</v>
      </c>
      <c r="AG121" s="37">
        <f>Dados!AO120/Dados!AH120</f>
        <v>0</v>
      </c>
      <c r="AH121" s="38">
        <f>Dados!AO120/Dados!AM120</f>
        <v>0</v>
      </c>
      <c r="AI121" s="37">
        <f>Dados!AP120/Dados!AQ120</f>
        <v>9.7840757613270615</v>
      </c>
      <c r="AJ121" s="38" t="e">
        <f>Dados!AR121/Dados!AS121</f>
        <v>#DIV/0!</v>
      </c>
      <c r="AK121" s="38" t="e">
        <f>Dados!AP121/Dados!AS121</f>
        <v>#DIV/0!</v>
      </c>
      <c r="AL121" s="38">
        <f>Dados!AT120/Dados!AP120</f>
        <v>-1.2627271201764643</v>
      </c>
      <c r="AM121" s="38">
        <f>Dados!AU120/Dados!AW120</f>
        <v>4.4229294547271429</v>
      </c>
      <c r="AN121" s="38" t="e">
        <f>Dados!AW121/Dados!AP121</f>
        <v>#DIV/0!</v>
      </c>
      <c r="AO121" s="37">
        <f>Dados!AX120/Dados!AQ120</f>
        <v>0</v>
      </c>
      <c r="AP121" s="39">
        <f>Dados!AX120/Dados!AV120</f>
        <v>0</v>
      </c>
    </row>
    <row r="122" spans="1:42" x14ac:dyDescent="0.25">
      <c r="A122" s="13">
        <v>299</v>
      </c>
      <c r="B122" s="13" t="s">
        <v>129</v>
      </c>
      <c r="C122" s="37" t="e">
        <f>Dados!F122/Dados!G122</f>
        <v>#DIV/0!</v>
      </c>
      <c r="D122" s="38" t="e">
        <f>Dados!H122/Dados!I122</f>
        <v>#DIV/0!</v>
      </c>
      <c r="E122" s="38" t="e">
        <f>Dados!F122/Dados!I122</f>
        <v>#DIV/0!</v>
      </c>
      <c r="F122" s="38" t="e">
        <f>Dados!J122/Dados!F122</f>
        <v>#DIV/0!</v>
      </c>
      <c r="G122" s="38" t="e">
        <f>Dados!K122/Dados!M122</f>
        <v>#DIV/0!</v>
      </c>
      <c r="H122" s="38" t="e">
        <f>Dados!M122/Dados!F122</f>
        <v>#DIV/0!</v>
      </c>
      <c r="I122" s="37" t="e">
        <f>Dados!N122/Dados!G122</f>
        <v>#DIV/0!</v>
      </c>
      <c r="J122" s="38" t="e">
        <f>Dados!N122/Dados!L122</f>
        <v>#DIV/0!</v>
      </c>
      <c r="K122" s="37">
        <f>Dados!O121/Dados!P121</f>
        <v>0</v>
      </c>
      <c r="L122" s="38" t="e">
        <f>Dados!Q122/Dados!R122</f>
        <v>#DIV/0!</v>
      </c>
      <c r="M122" s="38" t="e">
        <f>Dados!O122/Dados!R122</f>
        <v>#DIV/0!</v>
      </c>
      <c r="N122" s="38" t="e">
        <f>Dados!S121/Dados!O121</f>
        <v>#DIV/0!</v>
      </c>
      <c r="O122" s="38" t="e">
        <f>Dados!T121/Dados!V121</f>
        <v>#DIV/0!</v>
      </c>
      <c r="P122" s="38" t="e">
        <f>Dados!V122/Dados!O122</f>
        <v>#DIV/0!</v>
      </c>
      <c r="Q122" s="37">
        <f>Dados!W121/Dados!P121</f>
        <v>0</v>
      </c>
      <c r="R122" s="38" t="e">
        <f>Dados!W121/Dados!U121</f>
        <v>#DIV/0!</v>
      </c>
      <c r="S122" s="37">
        <f>Dados!X121/Dados!Y121</f>
        <v>0</v>
      </c>
      <c r="T122" s="38" t="e">
        <f>Dados!Z122/Dados!AA122</f>
        <v>#DIV/0!</v>
      </c>
      <c r="U122" s="38" t="e">
        <f>Dados!X122/Dados!AA122</f>
        <v>#DIV/0!</v>
      </c>
      <c r="V122" s="38" t="e">
        <f>Dados!AB121/Dados!X121</f>
        <v>#DIV/0!</v>
      </c>
      <c r="W122" s="38" t="e">
        <f>Dados!AC121/Dados!AE121</f>
        <v>#DIV/0!</v>
      </c>
      <c r="X122" s="38" t="e">
        <f>Dados!AE122/Dados!X122</f>
        <v>#DIV/0!</v>
      </c>
      <c r="Y122" s="37">
        <f>Dados!AF121/Dados!Y121</f>
        <v>0</v>
      </c>
      <c r="Z122" s="38" t="e">
        <f>Dados!AF121/Dados!AD121</f>
        <v>#DIV/0!</v>
      </c>
      <c r="AA122" s="37">
        <f>Dados!AG121/Dados!AH121</f>
        <v>0</v>
      </c>
      <c r="AB122" s="38" t="e">
        <f>Dados!AI122/Dados!AJ122</f>
        <v>#DIV/0!</v>
      </c>
      <c r="AC122" s="38" t="e">
        <f>Dados!AG122/Dados!AJ122</f>
        <v>#DIV/0!</v>
      </c>
      <c r="AD122" s="38" t="e">
        <f>Dados!AK121/Dados!AG121</f>
        <v>#DIV/0!</v>
      </c>
      <c r="AE122" s="38" t="e">
        <f>Dados!AL121/Dados!AN121</f>
        <v>#DIV/0!</v>
      </c>
      <c r="AF122" s="38" t="e">
        <f>Dados!AN122/Dados!AG122</f>
        <v>#DIV/0!</v>
      </c>
      <c r="AG122" s="37">
        <f>Dados!AO121/Dados!AH121</f>
        <v>0</v>
      </c>
      <c r="AH122" s="38" t="e">
        <f>Dados!AO121/Dados!AM121</f>
        <v>#DIV/0!</v>
      </c>
      <c r="AI122" s="37">
        <f>Dados!AP121/Dados!AQ121</f>
        <v>0</v>
      </c>
      <c r="AJ122" s="38" t="e">
        <f>Dados!AR122/Dados!AS122</f>
        <v>#DIV/0!</v>
      </c>
      <c r="AK122" s="38" t="e">
        <f>Dados!AP122/Dados!AS122</f>
        <v>#DIV/0!</v>
      </c>
      <c r="AL122" s="38" t="e">
        <f>Dados!AT121/Dados!AP121</f>
        <v>#DIV/0!</v>
      </c>
      <c r="AM122" s="38" t="e">
        <f>Dados!AU121/Dados!AW121</f>
        <v>#DIV/0!</v>
      </c>
      <c r="AN122" s="38" t="e">
        <f>Dados!AW122/Dados!AP122</f>
        <v>#DIV/0!</v>
      </c>
      <c r="AO122" s="37">
        <f>Dados!AX121/Dados!AQ121</f>
        <v>0</v>
      </c>
      <c r="AP122" s="39" t="e">
        <f>Dados!AX121/Dados!AV121</f>
        <v>#DIV/0!</v>
      </c>
    </row>
  </sheetData>
  <mergeCells count="7">
    <mergeCell ref="AI1:AP1"/>
    <mergeCell ref="A1:A2"/>
    <mergeCell ref="B1:B2"/>
    <mergeCell ref="C1:J1"/>
    <mergeCell ref="K1:R1"/>
    <mergeCell ref="S1:Z1"/>
    <mergeCell ref="AA1:AH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F436-4971-4102-87BD-3323291C9098}">
  <dimension ref="A1:AX121"/>
  <sheetViews>
    <sheetView workbookViewId="0">
      <pane xSplit="2" ySplit="2" topLeftCell="AM66" activePane="bottomRight" state="frozen"/>
      <selection pane="topRight" activeCell="C1" sqref="C1"/>
      <selection pane="bottomLeft" activeCell="A3" sqref="A3"/>
      <selection pane="bottomRight" activeCell="G95" sqref="G95"/>
    </sheetView>
  </sheetViews>
  <sheetFormatPr defaultRowHeight="15" x14ac:dyDescent="0.25"/>
  <cols>
    <col min="2" max="2" width="61.85546875" customWidth="1"/>
    <col min="3" max="3" width="22.85546875" bestFit="1" customWidth="1"/>
    <col min="4" max="4" width="15.42578125" bestFit="1" customWidth="1"/>
    <col min="5" max="5" width="10.7109375" customWidth="1"/>
    <col min="6" max="6" width="16.85546875" customWidth="1"/>
    <col min="7" max="7" width="13.7109375" style="35" customWidth="1"/>
    <col min="8" max="14" width="16.85546875" customWidth="1"/>
    <col min="15" max="15" width="17" bestFit="1" customWidth="1"/>
    <col min="16" max="16" width="13.7109375" style="35" customWidth="1"/>
    <col min="17" max="18" width="17" bestFit="1" customWidth="1"/>
    <col min="19" max="20" width="16" bestFit="1" customWidth="1"/>
    <col min="21" max="21" width="17" bestFit="1" customWidth="1"/>
    <col min="22" max="22" width="16" bestFit="1" customWidth="1"/>
    <col min="23" max="23" width="15.42578125" customWidth="1"/>
    <col min="24" max="24" width="17" bestFit="1" customWidth="1"/>
    <col min="25" max="25" width="16.140625" style="35" customWidth="1"/>
    <col min="26" max="27" width="17" bestFit="1" customWidth="1"/>
    <col min="28" max="29" width="16" bestFit="1" customWidth="1"/>
    <col min="30" max="30" width="17" bestFit="1" customWidth="1"/>
    <col min="31" max="32" width="15.42578125" customWidth="1"/>
    <col min="33" max="33" width="17" bestFit="1" customWidth="1"/>
    <col min="34" max="34" width="13.7109375" style="35" customWidth="1"/>
    <col min="35" max="35" width="17" bestFit="1" customWidth="1"/>
    <col min="36" max="36" width="18.28515625" customWidth="1"/>
    <col min="37" max="38" width="16" bestFit="1" customWidth="1"/>
    <col min="39" max="39" width="17" bestFit="1" customWidth="1"/>
    <col min="40" max="40" width="16" bestFit="1" customWidth="1"/>
    <col min="41" max="42" width="17" bestFit="1" customWidth="1"/>
    <col min="43" max="43" width="13.7109375" style="35" customWidth="1"/>
    <col min="44" max="45" width="17" bestFit="1" customWidth="1"/>
    <col min="46" max="46" width="16" bestFit="1" customWidth="1"/>
    <col min="47" max="47" width="15.42578125" customWidth="1"/>
    <col min="48" max="48" width="17" bestFit="1" customWidth="1"/>
    <col min="49" max="49" width="15.42578125" customWidth="1"/>
    <col min="50" max="50" width="18.140625" customWidth="1"/>
  </cols>
  <sheetData>
    <row r="1" spans="1:50" x14ac:dyDescent="0.25">
      <c r="A1" s="62" t="s">
        <v>0</v>
      </c>
      <c r="B1" s="64" t="s">
        <v>1</v>
      </c>
      <c r="C1" s="64" t="s">
        <v>130</v>
      </c>
      <c r="D1" s="64" t="s">
        <v>131</v>
      </c>
      <c r="E1" s="66" t="s">
        <v>132</v>
      </c>
      <c r="F1" s="57">
        <v>2024</v>
      </c>
      <c r="G1" s="58"/>
      <c r="H1" s="58"/>
      <c r="I1" s="58"/>
      <c r="J1" s="58"/>
      <c r="K1" s="58"/>
      <c r="L1" s="58"/>
      <c r="M1" s="58"/>
      <c r="N1" s="59"/>
      <c r="O1" s="57">
        <v>2023</v>
      </c>
      <c r="P1" s="58"/>
      <c r="Q1" s="58"/>
      <c r="R1" s="58"/>
      <c r="S1" s="58"/>
      <c r="T1" s="58"/>
      <c r="U1" s="58"/>
      <c r="V1" s="58"/>
      <c r="W1" s="59"/>
      <c r="X1" s="57">
        <v>2022</v>
      </c>
      <c r="Y1" s="58"/>
      <c r="Z1" s="58"/>
      <c r="AA1" s="58"/>
      <c r="AB1" s="58"/>
      <c r="AC1" s="58"/>
      <c r="AD1" s="58"/>
      <c r="AE1" s="58"/>
      <c r="AF1" s="60"/>
      <c r="AG1" s="61">
        <v>2021</v>
      </c>
      <c r="AH1" s="58"/>
      <c r="AI1" s="58"/>
      <c r="AJ1" s="58"/>
      <c r="AK1" s="58"/>
      <c r="AL1" s="58"/>
      <c r="AM1" s="58"/>
      <c r="AN1" s="58"/>
      <c r="AO1" s="59"/>
      <c r="AP1" s="57">
        <v>2020</v>
      </c>
      <c r="AQ1" s="58"/>
      <c r="AR1" s="58"/>
      <c r="AS1" s="58"/>
      <c r="AT1" s="58"/>
      <c r="AU1" s="58"/>
      <c r="AV1" s="58"/>
      <c r="AW1" s="58"/>
      <c r="AX1" s="60"/>
    </row>
    <row r="2" spans="1:50" ht="30.75" thickBot="1" x14ac:dyDescent="0.3">
      <c r="A2" s="63"/>
      <c r="B2" s="65"/>
      <c r="C2" s="65"/>
      <c r="D2" s="65"/>
      <c r="E2" s="67"/>
      <c r="F2" s="1" t="s">
        <v>133</v>
      </c>
      <c r="G2" s="2" t="s">
        <v>134</v>
      </c>
      <c r="H2" s="2" t="s">
        <v>135</v>
      </c>
      <c r="I2" s="2" t="s">
        <v>136</v>
      </c>
      <c r="J2" s="3" t="s">
        <v>137</v>
      </c>
      <c r="K2" s="3" t="s">
        <v>138</v>
      </c>
      <c r="L2" s="4" t="s">
        <v>139</v>
      </c>
      <c r="M2" s="3" t="s">
        <v>140</v>
      </c>
      <c r="N2" s="5" t="s">
        <v>141</v>
      </c>
      <c r="O2" s="1" t="s">
        <v>133</v>
      </c>
      <c r="P2" s="2" t="s">
        <v>134</v>
      </c>
      <c r="Q2" s="2" t="s">
        <v>135</v>
      </c>
      <c r="R2" s="2" t="s">
        <v>136</v>
      </c>
      <c r="S2" s="2" t="s">
        <v>137</v>
      </c>
      <c r="T2" s="2" t="s">
        <v>138</v>
      </c>
      <c r="U2" s="2" t="s">
        <v>139</v>
      </c>
      <c r="V2" s="2" t="s">
        <v>140</v>
      </c>
      <c r="W2" s="6" t="s">
        <v>141</v>
      </c>
      <c r="X2" s="1" t="s">
        <v>133</v>
      </c>
      <c r="Y2" s="2" t="s">
        <v>134</v>
      </c>
      <c r="Z2" s="2" t="s">
        <v>135</v>
      </c>
      <c r="AA2" s="2" t="s">
        <v>136</v>
      </c>
      <c r="AB2" s="2" t="s">
        <v>137</v>
      </c>
      <c r="AC2" s="2" t="s">
        <v>138</v>
      </c>
      <c r="AD2" s="2" t="s">
        <v>139</v>
      </c>
      <c r="AE2" s="2" t="s">
        <v>140</v>
      </c>
      <c r="AF2" s="7" t="s">
        <v>141</v>
      </c>
      <c r="AG2" s="8" t="s">
        <v>133</v>
      </c>
      <c r="AH2" s="9" t="s">
        <v>134</v>
      </c>
      <c r="AI2" s="9" t="s">
        <v>135</v>
      </c>
      <c r="AJ2" s="9" t="s">
        <v>136</v>
      </c>
      <c r="AK2" s="9" t="s">
        <v>137</v>
      </c>
      <c r="AL2" s="9" t="s">
        <v>138</v>
      </c>
      <c r="AM2" s="9" t="s">
        <v>139</v>
      </c>
      <c r="AN2" s="9" t="s">
        <v>140</v>
      </c>
      <c r="AO2" s="10" t="s">
        <v>141</v>
      </c>
      <c r="AP2" s="11" t="s">
        <v>133</v>
      </c>
      <c r="AQ2" s="2" t="s">
        <v>134</v>
      </c>
      <c r="AR2" s="2" t="s">
        <v>135</v>
      </c>
      <c r="AS2" s="2" t="s">
        <v>136</v>
      </c>
      <c r="AT2" s="2" t="s">
        <v>137</v>
      </c>
      <c r="AU2" s="2" t="s">
        <v>138</v>
      </c>
      <c r="AV2" s="2" t="s">
        <v>139</v>
      </c>
      <c r="AW2" s="2" t="s">
        <v>140</v>
      </c>
      <c r="AX2" s="7" t="s">
        <v>141</v>
      </c>
    </row>
    <row r="3" spans="1:50" x14ac:dyDescent="0.25">
      <c r="A3" s="12">
        <v>9</v>
      </c>
      <c r="B3" s="13" t="s">
        <v>10</v>
      </c>
      <c r="C3" s="14" t="s">
        <v>142</v>
      </c>
      <c r="D3" s="14" t="s">
        <v>143</v>
      </c>
      <c r="E3" s="15" t="s">
        <v>144</v>
      </c>
      <c r="F3" s="16">
        <v>85951705.159999996</v>
      </c>
      <c r="G3" s="14">
        <v>651242</v>
      </c>
      <c r="H3" s="17">
        <v>81673742.980000004</v>
      </c>
      <c r="I3" s="17">
        <v>82183987.459999993</v>
      </c>
      <c r="J3" s="17">
        <v>3767717.7</v>
      </c>
      <c r="K3" s="17">
        <v>1257215.76</v>
      </c>
      <c r="L3" s="17">
        <v>85951705.159999996</v>
      </c>
      <c r="M3" s="17">
        <v>257.79000000000002</v>
      </c>
      <c r="N3" s="18">
        <v>0</v>
      </c>
      <c r="O3" s="16">
        <v>76660420.989999995</v>
      </c>
      <c r="P3" s="44">
        <v>648960.33333333349</v>
      </c>
      <c r="Q3" s="17">
        <v>75496677.329999998</v>
      </c>
      <c r="R3" s="17">
        <v>76566687.469999999</v>
      </c>
      <c r="S3" s="17">
        <v>93733.52</v>
      </c>
      <c r="T3" s="17">
        <v>7541689.5</v>
      </c>
      <c r="U3" s="17">
        <v>76660420.989999995</v>
      </c>
      <c r="V3" s="17">
        <v>52004.35</v>
      </c>
      <c r="W3" s="18">
        <v>0</v>
      </c>
      <c r="X3" s="16">
        <v>57517455.149999999</v>
      </c>
      <c r="Y3" s="44">
        <v>646678.66666666651</v>
      </c>
      <c r="Z3" s="17">
        <v>55060360.920000002</v>
      </c>
      <c r="AA3" s="17">
        <v>56261772.43</v>
      </c>
      <c r="AB3" s="17">
        <v>1255682.72</v>
      </c>
      <c r="AC3" s="17">
        <v>7405521.0499999998</v>
      </c>
      <c r="AD3" s="17">
        <v>57517455.149999999</v>
      </c>
      <c r="AE3" s="17">
        <v>442373.29</v>
      </c>
      <c r="AF3" s="19">
        <v>0</v>
      </c>
      <c r="AG3" s="20">
        <v>44443210.170000002</v>
      </c>
      <c r="AH3" s="14">
        <v>644397</v>
      </c>
      <c r="AI3" s="17">
        <v>41779093.810000002</v>
      </c>
      <c r="AJ3" s="17">
        <v>41800043.409999996</v>
      </c>
      <c r="AK3" s="17">
        <v>2643166.7599999998</v>
      </c>
      <c r="AL3" s="17">
        <v>5738982.7400000002</v>
      </c>
      <c r="AM3" s="17">
        <v>44443210.170000002</v>
      </c>
      <c r="AN3" s="17">
        <v>22169.64</v>
      </c>
      <c r="AO3" s="19">
        <v>0</v>
      </c>
      <c r="AP3" s="20">
        <v>22409203.969999999</v>
      </c>
      <c r="AQ3" s="14">
        <v>641058</v>
      </c>
      <c r="AR3" s="17">
        <v>20867448.579999998</v>
      </c>
      <c r="AS3" s="17">
        <v>20959334.07</v>
      </c>
      <c r="AT3" s="17">
        <v>1449869.9</v>
      </c>
      <c r="AU3" s="17">
        <v>3088947.14</v>
      </c>
      <c r="AV3" s="17">
        <v>22409203.969999999</v>
      </c>
      <c r="AW3" s="17">
        <v>20076.13</v>
      </c>
      <c r="AX3" s="19">
        <v>0</v>
      </c>
    </row>
    <row r="4" spans="1:50" x14ac:dyDescent="0.25">
      <c r="A4" s="12">
        <v>20</v>
      </c>
      <c r="B4" s="13" t="s">
        <v>11</v>
      </c>
      <c r="C4" s="14" t="s">
        <v>145</v>
      </c>
      <c r="D4" s="14" t="s">
        <v>146</v>
      </c>
      <c r="E4" s="15" t="s">
        <v>144</v>
      </c>
      <c r="F4" s="16">
        <v>123647171.48999999</v>
      </c>
      <c r="G4" s="14">
        <v>414724</v>
      </c>
      <c r="H4" s="17">
        <v>109227788.28</v>
      </c>
      <c r="I4" s="17">
        <v>114501854.13</v>
      </c>
      <c r="J4" s="17">
        <v>9145317.3599999994</v>
      </c>
      <c r="K4" s="17">
        <v>37030486.810000002</v>
      </c>
      <c r="L4" s="17">
        <v>111402361.42</v>
      </c>
      <c r="M4" s="17">
        <v>599481.61</v>
      </c>
      <c r="N4" s="18">
        <v>0</v>
      </c>
      <c r="O4" s="16">
        <v>78401192.969999999</v>
      </c>
      <c r="P4" s="44">
        <v>407151.00000000006</v>
      </c>
      <c r="Q4" s="17">
        <v>66712956.780000001</v>
      </c>
      <c r="R4" s="17">
        <v>67600888.489999995</v>
      </c>
      <c r="S4" s="17">
        <v>10800304.48</v>
      </c>
      <c r="T4" s="17">
        <v>19539434.52</v>
      </c>
      <c r="U4" s="17">
        <v>74222853.099999994</v>
      </c>
      <c r="V4" s="17">
        <v>807330.86</v>
      </c>
      <c r="W4" s="18">
        <v>0</v>
      </c>
      <c r="X4" s="17">
        <v>30765369.109999999</v>
      </c>
      <c r="Y4" s="44">
        <v>399577.99999999994</v>
      </c>
      <c r="Z4" s="17">
        <v>28065759.949999999</v>
      </c>
      <c r="AA4" s="17">
        <v>28131257.449999999</v>
      </c>
      <c r="AB4" s="17">
        <v>2634111.66</v>
      </c>
      <c r="AC4" s="17">
        <v>5597813.7000000002</v>
      </c>
      <c r="AD4" s="17">
        <v>30407461.379999999</v>
      </c>
      <c r="AE4" s="17">
        <v>100801.79</v>
      </c>
      <c r="AF4" s="17">
        <v>0</v>
      </c>
      <c r="AG4" s="20">
        <v>12137944.800000001</v>
      </c>
      <c r="AH4" s="14">
        <v>392005</v>
      </c>
      <c r="AI4" s="17">
        <v>12104136.49</v>
      </c>
      <c r="AJ4" s="17">
        <v>12175869.609999999</v>
      </c>
      <c r="AK4" s="21">
        <v>-37924.81</v>
      </c>
      <c r="AL4" s="17">
        <v>1530457.46</v>
      </c>
      <c r="AM4" s="17">
        <v>12072644.699999999</v>
      </c>
      <c r="AN4" s="17">
        <v>347332.98</v>
      </c>
      <c r="AO4" s="19">
        <v>0</v>
      </c>
      <c r="AP4" s="20">
        <v>5842566.1699999999</v>
      </c>
      <c r="AQ4" s="14">
        <v>389962</v>
      </c>
      <c r="AR4" s="17">
        <v>6057431.3799999999</v>
      </c>
      <c r="AS4" s="17">
        <v>6071381.3799999999</v>
      </c>
      <c r="AT4" s="21">
        <v>-228815.21</v>
      </c>
      <c r="AU4" s="17">
        <v>590925.19999999995</v>
      </c>
      <c r="AV4" s="17">
        <v>5716566.1699999999</v>
      </c>
      <c r="AW4" s="17">
        <v>79826.350000000006</v>
      </c>
      <c r="AX4" s="19">
        <v>0</v>
      </c>
    </row>
    <row r="5" spans="1:50" x14ac:dyDescent="0.25">
      <c r="A5" s="12">
        <v>21</v>
      </c>
      <c r="B5" s="13" t="s">
        <v>12</v>
      </c>
      <c r="C5" s="14" t="s">
        <v>147</v>
      </c>
      <c r="D5" s="14" t="s">
        <v>146</v>
      </c>
      <c r="E5" s="15" t="s">
        <v>144</v>
      </c>
      <c r="F5" s="16">
        <v>47236641.579999998</v>
      </c>
      <c r="G5" s="14">
        <v>245780</v>
      </c>
      <c r="H5" s="17">
        <v>41229251.039999999</v>
      </c>
      <c r="I5" s="17">
        <v>43545701.340000004</v>
      </c>
      <c r="J5" s="17">
        <v>3690940.24</v>
      </c>
      <c r="K5" s="22"/>
      <c r="L5" s="17">
        <v>43380065.700000003</v>
      </c>
      <c r="M5" s="22"/>
      <c r="N5" s="23"/>
      <c r="O5" s="16">
        <v>35700790.090000004</v>
      </c>
      <c r="P5" s="44">
        <v>247291.66666666669</v>
      </c>
      <c r="Q5" s="17">
        <v>31049588.559999999</v>
      </c>
      <c r="R5" s="17">
        <v>31258105.890000001</v>
      </c>
      <c r="S5" s="17">
        <v>4442684.2</v>
      </c>
      <c r="T5" s="22"/>
      <c r="U5" s="17">
        <v>31979754.620000001</v>
      </c>
      <c r="V5" s="22"/>
      <c r="W5" s="23"/>
      <c r="X5" s="16">
        <v>27187252.989999998</v>
      </c>
      <c r="Y5" s="44">
        <v>248803.33333333331</v>
      </c>
      <c r="Z5" s="17">
        <v>24497774.48</v>
      </c>
      <c r="AA5" s="17">
        <v>24548163.48</v>
      </c>
      <c r="AB5" s="17">
        <v>2639089.5099999998</v>
      </c>
      <c r="AC5" s="22"/>
      <c r="AD5" s="17">
        <v>24666509.77</v>
      </c>
      <c r="AE5" s="22"/>
      <c r="AF5" s="24"/>
      <c r="AG5" s="20">
        <v>18001911.239999998</v>
      </c>
      <c r="AH5" s="14">
        <v>250315</v>
      </c>
      <c r="AI5" s="17">
        <v>18120447.579999998</v>
      </c>
      <c r="AJ5" s="17">
        <v>18283919.23</v>
      </c>
      <c r="AK5" s="21">
        <v>-282007.99</v>
      </c>
      <c r="AL5" s="22"/>
      <c r="AM5" s="17">
        <v>18001911.239999998</v>
      </c>
      <c r="AN5" s="22"/>
      <c r="AO5" s="24"/>
      <c r="AP5" s="20">
        <v>11609425.630000001</v>
      </c>
      <c r="AQ5" s="14">
        <v>249466</v>
      </c>
      <c r="AR5" s="17">
        <v>11632961.76</v>
      </c>
      <c r="AS5" s="17">
        <v>11900778.960000001</v>
      </c>
      <c r="AT5" s="21">
        <v>-291353.33</v>
      </c>
      <c r="AU5" s="22"/>
      <c r="AV5" s="17">
        <v>11609425.630000001</v>
      </c>
      <c r="AW5" s="22"/>
      <c r="AX5" s="24"/>
    </row>
    <row r="6" spans="1:50" x14ac:dyDescent="0.25">
      <c r="A6" s="12">
        <v>28</v>
      </c>
      <c r="B6" s="13" t="s">
        <v>13</v>
      </c>
      <c r="C6" s="14" t="s">
        <v>148</v>
      </c>
      <c r="D6" s="14" t="s">
        <v>146</v>
      </c>
      <c r="E6" s="15" t="s">
        <v>144</v>
      </c>
      <c r="F6" s="16">
        <v>21747632.300000001</v>
      </c>
      <c r="G6" s="14">
        <v>145788</v>
      </c>
      <c r="H6" s="17">
        <v>16255598.24</v>
      </c>
      <c r="I6" s="17">
        <v>21932842.579999998</v>
      </c>
      <c r="J6" s="21">
        <v>-185210.28</v>
      </c>
      <c r="K6" s="17">
        <v>10150442.029999999</v>
      </c>
      <c r="L6" s="17">
        <v>18434032.300000001</v>
      </c>
      <c r="M6" s="17">
        <v>34473.99</v>
      </c>
      <c r="N6" s="18">
        <v>0</v>
      </c>
      <c r="O6" s="16">
        <v>17773757.34</v>
      </c>
      <c r="P6" s="44">
        <v>146226</v>
      </c>
      <c r="Q6" s="17">
        <v>11754714.609999999</v>
      </c>
      <c r="R6" s="17">
        <v>13595632.880000001</v>
      </c>
      <c r="S6" s="17">
        <v>4178124.46</v>
      </c>
      <c r="T6" s="17">
        <v>10497400.09</v>
      </c>
      <c r="U6" s="17">
        <v>13118618.779999999</v>
      </c>
      <c r="V6" s="17">
        <v>260564.17</v>
      </c>
      <c r="W6" s="18">
        <v>0</v>
      </c>
      <c r="X6" s="16">
        <v>14509628.199999999</v>
      </c>
      <c r="Y6" s="44">
        <v>146664</v>
      </c>
      <c r="Z6" s="17">
        <v>11432979.59</v>
      </c>
      <c r="AA6" s="17">
        <v>11813053.720000001</v>
      </c>
      <c r="AB6" s="17">
        <v>2696574.48</v>
      </c>
      <c r="AC6" s="17">
        <v>5073290.8</v>
      </c>
      <c r="AD6" s="17">
        <v>12353431.01</v>
      </c>
      <c r="AE6" s="17">
        <v>322200.89</v>
      </c>
      <c r="AF6" s="19">
        <v>0</v>
      </c>
      <c r="AG6" s="20">
        <v>10035356.560000001</v>
      </c>
      <c r="AH6" s="14">
        <v>147102</v>
      </c>
      <c r="AI6" s="17">
        <v>9389048.6600000001</v>
      </c>
      <c r="AJ6" s="17">
        <v>9430668.6199999992</v>
      </c>
      <c r="AK6" s="17">
        <v>604687.93999999994</v>
      </c>
      <c r="AL6" s="17">
        <v>2212110.14</v>
      </c>
      <c r="AM6" s="17">
        <v>10035356.560000001</v>
      </c>
      <c r="AN6" s="17">
        <v>333281.15999999997</v>
      </c>
      <c r="AO6" s="19">
        <v>0</v>
      </c>
      <c r="AP6" s="20">
        <f>6947346.13+50000</f>
        <v>6997346.1299999999</v>
      </c>
      <c r="AQ6" s="14">
        <v>146508</v>
      </c>
      <c r="AR6" s="17">
        <v>5956025.4100000001</v>
      </c>
      <c r="AS6" s="17">
        <v>6118695.71</v>
      </c>
      <c r="AT6" s="17">
        <v>828650.42</v>
      </c>
      <c r="AU6" s="17">
        <v>1677454.4</v>
      </c>
      <c r="AV6" s="17">
        <v>6947346.1299999999</v>
      </c>
      <c r="AW6" s="17">
        <v>288041.83</v>
      </c>
      <c r="AX6" s="19">
        <v>0</v>
      </c>
    </row>
    <row r="7" spans="1:50" x14ac:dyDescent="0.25">
      <c r="A7" s="12">
        <v>29</v>
      </c>
      <c r="B7" s="13" t="s">
        <v>14</v>
      </c>
      <c r="C7" s="14" t="s">
        <v>149</v>
      </c>
      <c r="D7" s="14" t="s">
        <v>146</v>
      </c>
      <c r="E7" s="15" t="s">
        <v>144</v>
      </c>
      <c r="F7" s="16">
        <v>38060502.520000003</v>
      </c>
      <c r="G7" s="14">
        <v>269765</v>
      </c>
      <c r="H7" s="17">
        <v>24918714.539999999</v>
      </c>
      <c r="I7" s="17">
        <v>27015984.18</v>
      </c>
      <c r="J7" s="17">
        <v>11044518.34</v>
      </c>
      <c r="K7" s="17">
        <v>18078108.050000001</v>
      </c>
      <c r="L7" s="17">
        <v>28059724.960000001</v>
      </c>
      <c r="M7" s="17">
        <v>388795.95</v>
      </c>
      <c r="N7" s="18">
        <v>0</v>
      </c>
      <c r="O7" s="16">
        <v>22976753.41</v>
      </c>
      <c r="P7" s="44">
        <v>273212.33333333331</v>
      </c>
      <c r="Q7" s="17">
        <v>16164243.33</v>
      </c>
      <c r="R7" s="17">
        <v>21093190.809999999</v>
      </c>
      <c r="S7" s="17">
        <v>1883562.6</v>
      </c>
      <c r="T7" s="17">
        <v>9432495.4299999997</v>
      </c>
      <c r="U7" s="17">
        <v>18146591.289999999</v>
      </c>
      <c r="V7" s="17">
        <v>155645.07999999999</v>
      </c>
      <c r="W7" s="18">
        <v>0</v>
      </c>
      <c r="X7" s="16">
        <v>17377015.59</v>
      </c>
      <c r="Y7" s="44">
        <v>276659.66666666669</v>
      </c>
      <c r="Z7" s="17">
        <v>12570799.550000001</v>
      </c>
      <c r="AA7" s="17">
        <v>12829120.289999999</v>
      </c>
      <c r="AB7" s="17">
        <v>4547895.3</v>
      </c>
      <c r="AC7" s="17">
        <v>5380066.8099999996</v>
      </c>
      <c r="AD7" s="17">
        <v>13715387.57</v>
      </c>
      <c r="AE7" s="17">
        <v>24312.35</v>
      </c>
      <c r="AF7" s="19">
        <v>0</v>
      </c>
      <c r="AG7" s="20">
        <v>9273221.5099999998</v>
      </c>
      <c r="AH7" s="14">
        <v>280107</v>
      </c>
      <c r="AI7" s="17">
        <v>8865796.4000000004</v>
      </c>
      <c r="AJ7" s="17">
        <v>9000180.6199999992</v>
      </c>
      <c r="AK7" s="17">
        <v>273040.89</v>
      </c>
      <c r="AL7" s="17">
        <v>2529149.77</v>
      </c>
      <c r="AM7" s="17">
        <v>9188301.3300000001</v>
      </c>
      <c r="AN7" s="17">
        <v>11176.21</v>
      </c>
      <c r="AO7" s="19">
        <v>0</v>
      </c>
      <c r="AP7" s="20">
        <v>7105690.7800000003</v>
      </c>
      <c r="AQ7" s="14">
        <v>279154</v>
      </c>
      <c r="AR7" s="17">
        <v>6752390.5099999998</v>
      </c>
      <c r="AS7" s="17">
        <v>6820705.7400000002</v>
      </c>
      <c r="AT7" s="17">
        <v>284985.03999999998</v>
      </c>
      <c r="AU7" s="17">
        <v>975602.75</v>
      </c>
      <c r="AV7" s="17">
        <v>7035233.6799999997</v>
      </c>
      <c r="AW7" s="17">
        <v>22846.45</v>
      </c>
      <c r="AX7" s="19">
        <v>0</v>
      </c>
    </row>
    <row r="8" spans="1:50" x14ac:dyDescent="0.25">
      <c r="A8" s="12">
        <v>31</v>
      </c>
      <c r="B8" s="13" t="s">
        <v>15</v>
      </c>
      <c r="C8" s="14" t="s">
        <v>150</v>
      </c>
      <c r="D8" s="14" t="s">
        <v>146</v>
      </c>
      <c r="E8" s="15" t="s">
        <v>144</v>
      </c>
      <c r="F8" s="16">
        <f>20212089.93+5080772.36</f>
        <v>25292862.289999999</v>
      </c>
      <c r="G8" s="14">
        <v>222172</v>
      </c>
      <c r="H8" s="17">
        <v>12219960.390000001</v>
      </c>
      <c r="I8" s="17">
        <v>15107526.939999999</v>
      </c>
      <c r="J8" s="17">
        <v>10185335.35</v>
      </c>
      <c r="K8" s="17">
        <v>13097957.300000001</v>
      </c>
      <c r="L8" s="17">
        <v>14459109.93</v>
      </c>
      <c r="M8" s="17">
        <v>546280.61</v>
      </c>
      <c r="N8" s="18">
        <v>0</v>
      </c>
      <c r="O8" s="16">
        <f>13675197.08+4183665.89</f>
        <v>17858862.969999999</v>
      </c>
      <c r="P8" s="44">
        <v>220297.33333333331</v>
      </c>
      <c r="Q8" s="17">
        <v>9016824.6400000006</v>
      </c>
      <c r="R8" s="17">
        <v>11473934.359999999</v>
      </c>
      <c r="S8" s="17">
        <v>6384928.6100000003</v>
      </c>
      <c r="T8" s="17">
        <v>8853970.1300000008</v>
      </c>
      <c r="U8" s="17">
        <v>10525379.42</v>
      </c>
      <c r="V8" s="17">
        <v>372895.09</v>
      </c>
      <c r="W8" s="18">
        <v>0</v>
      </c>
      <c r="X8" s="16">
        <f>11799839.29+1499819.41</f>
        <v>13299658.699999999</v>
      </c>
      <c r="Y8" s="44">
        <v>218422.66666666669</v>
      </c>
      <c r="Z8" s="17">
        <v>8905632.5399999991</v>
      </c>
      <c r="AA8" s="17">
        <v>9041303.5899999999</v>
      </c>
      <c r="AB8" s="17">
        <v>4258355.1100000003</v>
      </c>
      <c r="AC8" s="17">
        <v>5116367.79</v>
      </c>
      <c r="AD8" s="17">
        <v>10014905.289999999</v>
      </c>
      <c r="AE8" s="17">
        <v>173931.25</v>
      </c>
      <c r="AF8" s="19">
        <v>0</v>
      </c>
      <c r="AG8" s="20">
        <f>7449495.21+690840</f>
        <v>8140335.21</v>
      </c>
      <c r="AH8" s="14">
        <v>216548</v>
      </c>
      <c r="AI8" s="17">
        <v>7103801.8399999999</v>
      </c>
      <c r="AJ8" s="17">
        <v>7157631.1600000001</v>
      </c>
      <c r="AK8" s="17">
        <v>982704.05</v>
      </c>
      <c r="AL8" s="17">
        <v>2731067.76</v>
      </c>
      <c r="AM8" s="17">
        <v>7449495.21</v>
      </c>
      <c r="AN8" s="17">
        <v>762366.17</v>
      </c>
      <c r="AO8" s="19">
        <v>0</v>
      </c>
      <c r="AP8" s="20">
        <f>5987923.5+118015.4</f>
        <v>6105938.9000000004</v>
      </c>
      <c r="AQ8" s="14">
        <v>215323</v>
      </c>
      <c r="AR8" s="17">
        <v>5686411.0199999996</v>
      </c>
      <c r="AS8" s="17">
        <v>5766841.0199999996</v>
      </c>
      <c r="AT8" s="17">
        <v>339097.88</v>
      </c>
      <c r="AU8" s="17">
        <v>2147673.5499999998</v>
      </c>
      <c r="AV8" s="17">
        <v>5987923.5</v>
      </c>
      <c r="AW8" s="17">
        <v>652471.06999999995</v>
      </c>
      <c r="AX8" s="19">
        <v>0</v>
      </c>
    </row>
    <row r="9" spans="1:50" x14ac:dyDescent="0.25">
      <c r="A9" s="12">
        <v>33</v>
      </c>
      <c r="B9" s="13" t="s">
        <v>16</v>
      </c>
      <c r="C9" s="14" t="s">
        <v>151</v>
      </c>
      <c r="D9" s="14" t="s">
        <v>146</v>
      </c>
      <c r="E9" s="15" t="s">
        <v>144</v>
      </c>
      <c r="F9" s="25"/>
      <c r="G9" s="14">
        <v>481897</v>
      </c>
      <c r="H9" s="22"/>
      <c r="I9" s="22"/>
      <c r="J9" s="22"/>
      <c r="K9" s="22"/>
      <c r="L9" s="22"/>
      <c r="M9" s="22"/>
      <c r="N9" s="23"/>
      <c r="O9" s="25"/>
      <c r="P9" s="44">
        <v>480386.66666666669</v>
      </c>
      <c r="Q9" s="22"/>
      <c r="R9" s="22"/>
      <c r="S9" s="22"/>
      <c r="T9" s="22"/>
      <c r="U9" s="22"/>
      <c r="V9" s="22"/>
      <c r="W9" s="23"/>
      <c r="X9" s="25"/>
      <c r="Y9" s="44">
        <v>478876.33333333331</v>
      </c>
      <c r="Z9" s="22"/>
      <c r="AA9" s="22"/>
      <c r="AB9" s="22"/>
      <c r="AC9" s="22"/>
      <c r="AD9" s="22"/>
      <c r="AE9" s="22"/>
      <c r="AF9" s="24"/>
      <c r="AG9" s="20">
        <f>9236051.7</f>
        <v>9236051.6999999993</v>
      </c>
      <c r="AH9" s="14">
        <v>477366</v>
      </c>
      <c r="AI9" s="17">
        <v>9042712.0600000005</v>
      </c>
      <c r="AJ9" s="17">
        <v>9373744.9499999993</v>
      </c>
      <c r="AK9" s="42">
        <f>AG9-AJ9</f>
        <v>-137693.25</v>
      </c>
      <c r="AL9" s="17">
        <v>2912863.74</v>
      </c>
      <c r="AM9" s="17">
        <v>9133251.6999999993</v>
      </c>
      <c r="AN9" s="17">
        <v>21704.79</v>
      </c>
      <c r="AO9" s="19">
        <v>0</v>
      </c>
      <c r="AP9" s="20">
        <v>7612688.7199999997</v>
      </c>
      <c r="AQ9" s="14">
        <v>475413</v>
      </c>
      <c r="AR9" s="17">
        <v>6536075.1399999997</v>
      </c>
      <c r="AS9" s="17">
        <v>6789271.9800000004</v>
      </c>
      <c r="AT9" s="17">
        <v>823416.74</v>
      </c>
      <c r="AU9" s="17">
        <v>2773841.64</v>
      </c>
      <c r="AV9" s="17">
        <v>7483463.7199999997</v>
      </c>
      <c r="AW9" s="17">
        <v>103733.37</v>
      </c>
      <c r="AX9" s="19">
        <v>0</v>
      </c>
    </row>
    <row r="10" spans="1:50" ht="25.5" x14ac:dyDescent="0.25">
      <c r="A10" s="12">
        <v>36</v>
      </c>
      <c r="B10" s="13" t="s">
        <v>17</v>
      </c>
      <c r="C10" s="14" t="s">
        <v>152</v>
      </c>
      <c r="D10" s="14" t="s">
        <v>146</v>
      </c>
      <c r="E10" s="15" t="s">
        <v>144</v>
      </c>
      <c r="F10" s="16">
        <v>45353474.590000004</v>
      </c>
      <c r="G10" s="14">
        <v>741869</v>
      </c>
      <c r="H10" s="17">
        <v>46179908.810000002</v>
      </c>
      <c r="I10" s="17">
        <v>47500951.049999997</v>
      </c>
      <c r="J10" s="21">
        <v>-2147476.46</v>
      </c>
      <c r="K10" s="17">
        <v>22049119.579999998</v>
      </c>
      <c r="L10" s="17">
        <v>45353474.590000004</v>
      </c>
      <c r="M10" s="17">
        <v>1775639.03</v>
      </c>
      <c r="N10" s="18">
        <v>0</v>
      </c>
      <c r="O10" s="16">
        <v>43571124.130000003</v>
      </c>
      <c r="P10" s="44">
        <v>732635</v>
      </c>
      <c r="Q10" s="17">
        <v>37712259.780000001</v>
      </c>
      <c r="R10" s="17">
        <v>38305003.420000002</v>
      </c>
      <c r="S10" s="17">
        <v>5266120.71</v>
      </c>
      <c r="T10" s="17">
        <v>22464725.300000001</v>
      </c>
      <c r="U10" s="17">
        <v>43571124.130000003</v>
      </c>
      <c r="V10" s="17">
        <v>305311.01</v>
      </c>
      <c r="W10" s="18">
        <v>0</v>
      </c>
      <c r="X10" s="16">
        <v>8340760.6799999997</v>
      </c>
      <c r="Y10" s="44">
        <v>723401</v>
      </c>
      <c r="Z10" s="17">
        <v>5901695.7400000002</v>
      </c>
      <c r="AA10" s="17">
        <v>18407612.289999999</v>
      </c>
      <c r="AB10" s="21">
        <v>-10066851.609999999</v>
      </c>
      <c r="AC10" s="17">
        <v>13348609.789999999</v>
      </c>
      <c r="AD10" s="17">
        <v>8340760.6799999997</v>
      </c>
      <c r="AE10" s="17">
        <v>21046.240000000002</v>
      </c>
      <c r="AF10" s="19">
        <v>0</v>
      </c>
      <c r="AG10" s="26"/>
      <c r="AH10" s="14">
        <v>714167</v>
      </c>
      <c r="AI10" s="22"/>
      <c r="AJ10" s="22"/>
      <c r="AK10" s="22"/>
      <c r="AL10" s="17">
        <v>23393990.850000001</v>
      </c>
      <c r="AM10" s="22"/>
      <c r="AN10" s="17">
        <v>2217.64</v>
      </c>
      <c r="AO10" s="19">
        <v>0</v>
      </c>
      <c r="AP10" s="26"/>
      <c r="AQ10" s="14">
        <v>710130</v>
      </c>
      <c r="AR10" s="22"/>
      <c r="AS10" s="22"/>
      <c r="AT10" s="22"/>
      <c r="AU10" s="22"/>
      <c r="AV10" s="22"/>
      <c r="AW10" s="22"/>
      <c r="AX10" s="24"/>
    </row>
    <row r="11" spans="1:50" x14ac:dyDescent="0.25">
      <c r="A11" s="12">
        <v>37</v>
      </c>
      <c r="B11" s="13" t="s">
        <v>18</v>
      </c>
      <c r="C11" s="14" t="s">
        <v>153</v>
      </c>
      <c r="D11" s="14" t="s">
        <v>146</v>
      </c>
      <c r="E11" s="15" t="s">
        <v>144</v>
      </c>
      <c r="F11" s="16">
        <f>13544622.93+1977.81</f>
        <v>13546600.74</v>
      </c>
      <c r="G11" s="14">
        <v>684595</v>
      </c>
      <c r="H11" s="17">
        <v>13828833.029999999</v>
      </c>
      <c r="I11" s="17">
        <v>13828833.029999999</v>
      </c>
      <c r="J11" s="21">
        <v>-282232.28999999998</v>
      </c>
      <c r="K11" s="17">
        <v>1663228.01</v>
      </c>
      <c r="L11" s="17">
        <v>13544622.93</v>
      </c>
      <c r="M11" s="17">
        <v>276930.71000000002</v>
      </c>
      <c r="N11" s="18">
        <v>0</v>
      </c>
      <c r="O11" s="16">
        <v>10780174.189999999</v>
      </c>
      <c r="P11" s="44">
        <v>688660.66666666651</v>
      </c>
      <c r="Q11" s="17">
        <v>10263576.1</v>
      </c>
      <c r="R11" s="17">
        <v>10289683.1</v>
      </c>
      <c r="S11" s="17">
        <v>490491.09</v>
      </c>
      <c r="T11" s="17">
        <v>1689466.29</v>
      </c>
      <c r="U11" s="17">
        <v>10780174.189999999</v>
      </c>
      <c r="V11" s="17">
        <v>1043971.22</v>
      </c>
      <c r="W11" s="18">
        <v>0</v>
      </c>
      <c r="X11" s="25"/>
      <c r="Y11" s="44">
        <v>692726.33333333349</v>
      </c>
      <c r="Z11" s="22"/>
      <c r="AA11" s="22"/>
      <c r="AB11" s="22"/>
      <c r="AC11" s="22"/>
      <c r="AD11" s="22"/>
      <c r="AE11" s="22"/>
      <c r="AF11" s="24"/>
      <c r="AG11" s="26"/>
      <c r="AH11" s="14">
        <v>696792</v>
      </c>
      <c r="AI11" s="22"/>
      <c r="AJ11" s="22"/>
      <c r="AK11" s="22"/>
      <c r="AL11" s="22"/>
      <c r="AM11" s="22"/>
      <c r="AN11" s="22"/>
      <c r="AO11" s="24"/>
      <c r="AP11" s="26"/>
      <c r="AQ11" s="14">
        <v>692272</v>
      </c>
      <c r="AR11" s="22"/>
      <c r="AS11" s="22"/>
      <c r="AT11" s="22"/>
      <c r="AU11" s="22"/>
      <c r="AV11" s="22"/>
      <c r="AW11" s="22"/>
      <c r="AX11" s="24"/>
    </row>
    <row r="12" spans="1:50" x14ac:dyDescent="0.25">
      <c r="A12" s="12">
        <v>39</v>
      </c>
      <c r="B12" s="13" t="s">
        <v>19</v>
      </c>
      <c r="C12" s="14" t="s">
        <v>154</v>
      </c>
      <c r="D12" s="14" t="s">
        <v>146</v>
      </c>
      <c r="E12" s="15" t="s">
        <v>144</v>
      </c>
      <c r="F12" s="16">
        <v>4151408.99</v>
      </c>
      <c r="G12" s="14">
        <v>33627</v>
      </c>
      <c r="H12" s="17">
        <v>1342034.3</v>
      </c>
      <c r="I12" s="17">
        <v>1682241.3</v>
      </c>
      <c r="J12" s="17">
        <v>2469167.69</v>
      </c>
      <c r="K12" s="17">
        <v>2923540.89</v>
      </c>
      <c r="L12" s="17">
        <v>1495162.62</v>
      </c>
      <c r="M12" s="17">
        <v>69311.679999999993</v>
      </c>
      <c r="N12" s="18">
        <v>0</v>
      </c>
      <c r="O12" s="16">
        <v>1189961.27</v>
      </c>
      <c r="P12" s="44">
        <v>30911</v>
      </c>
      <c r="Q12" s="17">
        <v>1638469.68</v>
      </c>
      <c r="R12" s="17">
        <v>1665116.68</v>
      </c>
      <c r="S12" s="21">
        <v>-475155.41</v>
      </c>
      <c r="T12" s="17">
        <v>123677.67</v>
      </c>
      <c r="U12" s="17">
        <v>1189961.27</v>
      </c>
      <c r="V12" s="17">
        <v>68919.5</v>
      </c>
      <c r="W12" s="18">
        <v>0</v>
      </c>
      <c r="X12" s="16">
        <v>1273051.76</v>
      </c>
      <c r="Y12" s="44">
        <v>28195</v>
      </c>
      <c r="Z12" s="17">
        <v>1109337.5900000001</v>
      </c>
      <c r="AA12" s="17">
        <v>1109337.5900000001</v>
      </c>
      <c r="AB12" s="17">
        <v>163714.17000000001</v>
      </c>
      <c r="AC12" s="17">
        <v>666550.03</v>
      </c>
      <c r="AD12" s="17">
        <v>1273051.76</v>
      </c>
      <c r="AE12" s="17">
        <v>41353.769999999997</v>
      </c>
      <c r="AF12" s="19">
        <v>0</v>
      </c>
      <c r="AG12" s="20">
        <v>0</v>
      </c>
      <c r="AH12" s="14">
        <v>25479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9">
        <v>0</v>
      </c>
      <c r="AP12" s="20">
        <v>0</v>
      </c>
      <c r="AQ12" s="14">
        <v>25559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9">
        <v>0</v>
      </c>
    </row>
    <row r="13" spans="1:50" ht="25.5" x14ac:dyDescent="0.25">
      <c r="A13" s="12">
        <v>41</v>
      </c>
      <c r="B13" s="13" t="s">
        <v>20</v>
      </c>
      <c r="C13" s="14" t="s">
        <v>155</v>
      </c>
      <c r="D13" s="14" t="s">
        <v>146</v>
      </c>
      <c r="E13" s="15" t="s">
        <v>144</v>
      </c>
      <c r="F13" s="16">
        <f>72234058.03+2544000</f>
        <v>74778058.030000001</v>
      </c>
      <c r="G13" s="14">
        <v>181291</v>
      </c>
      <c r="H13" s="17">
        <v>58047997.93</v>
      </c>
      <c r="I13" s="17">
        <v>62632485.960000001</v>
      </c>
      <c r="J13" s="17">
        <v>12145572.07</v>
      </c>
      <c r="K13" s="17">
        <v>14849997.93</v>
      </c>
      <c r="L13" s="17">
        <v>60383111.119999997</v>
      </c>
      <c r="M13" s="17">
        <v>2417307.58</v>
      </c>
      <c r="N13" s="18">
        <v>0</v>
      </c>
      <c r="O13" s="16">
        <f>46226510.82+1015638.21</f>
        <v>47242149.030000001</v>
      </c>
      <c r="P13" s="44">
        <v>204108.99999999997</v>
      </c>
      <c r="Q13" s="17">
        <v>43360582.939999998</v>
      </c>
      <c r="R13" s="17">
        <v>43970625.670000002</v>
      </c>
      <c r="S13" s="17">
        <v>3271523.36</v>
      </c>
      <c r="T13" s="17">
        <v>3106985.73</v>
      </c>
      <c r="U13" s="17">
        <v>44009110.82</v>
      </c>
      <c r="V13" s="17">
        <v>747326.98</v>
      </c>
      <c r="W13" s="18">
        <v>108257.78</v>
      </c>
      <c r="X13" s="16">
        <f>37806088.85+62536.25</f>
        <v>37868625.100000001</v>
      </c>
      <c r="Y13" s="44">
        <v>203766.00000000003</v>
      </c>
      <c r="Z13" s="17">
        <v>36918541.670000002</v>
      </c>
      <c r="AA13" s="17">
        <v>36955860.890000001</v>
      </c>
      <c r="AB13" s="17">
        <v>912764.21</v>
      </c>
      <c r="AC13" s="17">
        <v>548046.64</v>
      </c>
      <c r="AD13" s="17">
        <v>37727811.189999998</v>
      </c>
      <c r="AE13" s="17">
        <v>696359.31</v>
      </c>
      <c r="AF13" s="19">
        <v>62455.91</v>
      </c>
      <c r="AG13" s="20">
        <f>28194897.51+18900</f>
        <v>28213797.510000002</v>
      </c>
      <c r="AH13" s="14">
        <v>203423</v>
      </c>
      <c r="AI13" s="17">
        <v>27767507.789999999</v>
      </c>
      <c r="AJ13" s="17">
        <v>27869976.739999998</v>
      </c>
      <c r="AK13" s="17">
        <v>343820.77</v>
      </c>
      <c r="AL13" s="17">
        <v>363328.77</v>
      </c>
      <c r="AM13" s="17">
        <v>28194897.510000002</v>
      </c>
      <c r="AN13" s="17">
        <v>717238.27</v>
      </c>
      <c r="AO13" s="19">
        <v>35086.17</v>
      </c>
      <c r="AP13" s="20">
        <v>25687755.649999999</v>
      </c>
      <c r="AQ13" s="14">
        <v>179367</v>
      </c>
      <c r="AR13" s="17">
        <v>24582851.010000002</v>
      </c>
      <c r="AS13" s="17">
        <v>24683685.170000002</v>
      </c>
      <c r="AT13" s="17">
        <v>1004070.48</v>
      </c>
      <c r="AU13" s="17">
        <v>1320616.49</v>
      </c>
      <c r="AV13" s="17">
        <v>25687755.649999999</v>
      </c>
      <c r="AW13" s="17">
        <v>327265.15000000002</v>
      </c>
      <c r="AX13" s="19">
        <v>105959.89</v>
      </c>
    </row>
    <row r="14" spans="1:50" ht="25.5" x14ac:dyDescent="0.25">
      <c r="A14" s="12">
        <v>53</v>
      </c>
      <c r="B14" s="13" t="s">
        <v>21</v>
      </c>
      <c r="C14" s="14" t="s">
        <v>156</v>
      </c>
      <c r="D14" s="14" t="s">
        <v>157</v>
      </c>
      <c r="E14" s="15" t="s">
        <v>144</v>
      </c>
      <c r="F14" s="16">
        <v>1014090.4</v>
      </c>
      <c r="G14" s="14">
        <v>3411903</v>
      </c>
      <c r="H14" s="17">
        <v>1030980.61</v>
      </c>
      <c r="I14" s="17">
        <v>1142262.17</v>
      </c>
      <c r="J14" s="21">
        <v>-128171.77</v>
      </c>
      <c r="K14" s="17">
        <v>99553.37</v>
      </c>
      <c r="L14" s="17">
        <v>1014090.4</v>
      </c>
      <c r="M14" s="17">
        <v>29119.72</v>
      </c>
      <c r="N14" s="18">
        <v>92774.43</v>
      </c>
      <c r="O14" s="16">
        <v>1199961.67</v>
      </c>
      <c r="P14" s="44">
        <v>3443825.6666666665</v>
      </c>
      <c r="Q14" s="17">
        <v>970969.33</v>
      </c>
      <c r="R14" s="17">
        <v>1094488.47</v>
      </c>
      <c r="S14" s="17">
        <v>105473.2</v>
      </c>
      <c r="T14" s="17">
        <v>231320.02</v>
      </c>
      <c r="U14" s="17">
        <v>1199961.67</v>
      </c>
      <c r="V14" s="17">
        <v>32775.71</v>
      </c>
      <c r="W14" s="18">
        <v>173723.87</v>
      </c>
      <c r="X14" s="16">
        <v>948726.36</v>
      </c>
      <c r="Y14" s="44">
        <v>3475748.3333333335</v>
      </c>
      <c r="Z14" s="17">
        <v>976141.5</v>
      </c>
      <c r="AA14" s="17">
        <v>1097160.58</v>
      </c>
      <c r="AB14" s="21">
        <v>-148434.22</v>
      </c>
      <c r="AC14" s="17">
        <v>118654.39999999999</v>
      </c>
      <c r="AD14" s="17">
        <v>948726.36</v>
      </c>
      <c r="AE14" s="17">
        <v>1953.75</v>
      </c>
      <c r="AF14" s="19">
        <v>192709.98</v>
      </c>
      <c r="AG14" s="20">
        <v>1080613.6000000001</v>
      </c>
      <c r="AH14" s="14">
        <v>3507671</v>
      </c>
      <c r="AI14" s="17">
        <v>893008.07</v>
      </c>
      <c r="AJ14" s="17">
        <v>945872.4</v>
      </c>
      <c r="AK14" s="17">
        <v>134741.20000000001</v>
      </c>
      <c r="AL14" s="17">
        <v>300746.26</v>
      </c>
      <c r="AM14" s="17">
        <v>1080613.6000000001</v>
      </c>
      <c r="AN14" s="17">
        <v>141885.97</v>
      </c>
      <c r="AO14" s="19">
        <v>201750.3</v>
      </c>
      <c r="AP14" s="20">
        <v>764336.63</v>
      </c>
      <c r="AQ14" s="14">
        <v>3479924</v>
      </c>
      <c r="AR14" s="17">
        <v>851333.06</v>
      </c>
      <c r="AS14" s="17">
        <v>870432.02</v>
      </c>
      <c r="AT14" s="21">
        <v>-106095.39</v>
      </c>
      <c r="AU14" s="17">
        <v>40729.51</v>
      </c>
      <c r="AV14" s="17">
        <v>764336.63</v>
      </c>
      <c r="AW14" s="17">
        <v>261879.51</v>
      </c>
      <c r="AX14" s="19">
        <v>80664.23</v>
      </c>
    </row>
    <row r="15" spans="1:50" x14ac:dyDescent="0.25">
      <c r="A15" s="12">
        <v>71</v>
      </c>
      <c r="B15" s="13" t="s">
        <v>22</v>
      </c>
      <c r="C15" s="14" t="s">
        <v>158</v>
      </c>
      <c r="D15" s="14" t="s">
        <v>159</v>
      </c>
      <c r="E15" s="15" t="s">
        <v>144</v>
      </c>
      <c r="F15" s="16">
        <v>41086360.729999997</v>
      </c>
      <c r="G15" s="14">
        <v>144913</v>
      </c>
      <c r="H15" s="17">
        <v>40014155.979999997</v>
      </c>
      <c r="I15" s="17">
        <v>40177252.619999997</v>
      </c>
      <c r="J15" s="17">
        <v>909108.11</v>
      </c>
      <c r="K15" s="17">
        <v>1723981.36</v>
      </c>
      <c r="L15" s="17">
        <v>41086360.729999997</v>
      </c>
      <c r="M15" s="17">
        <v>86814.75</v>
      </c>
      <c r="N15" s="18">
        <v>367514.74</v>
      </c>
      <c r="O15" s="16">
        <v>36246585.549999997</v>
      </c>
      <c r="P15" s="44">
        <v>145325.99999999997</v>
      </c>
      <c r="Q15" s="17">
        <v>36048614.140000001</v>
      </c>
      <c r="R15" s="17">
        <v>36377365.520000003</v>
      </c>
      <c r="S15" s="21">
        <v>-130779.97</v>
      </c>
      <c r="T15" s="17">
        <v>1284511.8700000001</v>
      </c>
      <c r="U15" s="17">
        <v>36246585.549999997</v>
      </c>
      <c r="V15" s="17">
        <v>556333.37</v>
      </c>
      <c r="W15" s="18">
        <v>483945.12</v>
      </c>
      <c r="X15" s="16">
        <v>27915915.84</v>
      </c>
      <c r="Y15" s="44">
        <v>145739.00000000003</v>
      </c>
      <c r="Z15" s="17">
        <v>26906188.77</v>
      </c>
      <c r="AA15" s="17">
        <v>27307703.899999999</v>
      </c>
      <c r="AB15" s="17">
        <v>608211.93999999994</v>
      </c>
      <c r="AC15" s="17">
        <v>1157797.49</v>
      </c>
      <c r="AD15" s="17">
        <v>27915915.84</v>
      </c>
      <c r="AE15" s="17">
        <v>249580.25</v>
      </c>
      <c r="AF15" s="19">
        <v>1065967.23</v>
      </c>
      <c r="AG15" s="20">
        <v>20263571.109999999</v>
      </c>
      <c r="AH15" s="14">
        <v>146152</v>
      </c>
      <c r="AI15" s="17">
        <v>19554880.920000002</v>
      </c>
      <c r="AJ15" s="17">
        <v>20189683.25</v>
      </c>
      <c r="AK15" s="17">
        <v>73887.86</v>
      </c>
      <c r="AL15" s="17">
        <v>939452.29</v>
      </c>
      <c r="AM15" s="17">
        <v>20263571.109999999</v>
      </c>
      <c r="AN15" s="17">
        <v>459734.51</v>
      </c>
      <c r="AO15" s="19">
        <v>1386083.4</v>
      </c>
      <c r="AP15" s="26"/>
      <c r="AQ15" s="14">
        <v>145349</v>
      </c>
      <c r="AR15" s="22"/>
      <c r="AS15" s="22"/>
      <c r="AT15" s="22"/>
      <c r="AU15" s="17">
        <v>682063.46</v>
      </c>
      <c r="AV15" s="22"/>
      <c r="AW15" s="17">
        <v>420587.17</v>
      </c>
      <c r="AX15" s="19">
        <v>2165961.71</v>
      </c>
    </row>
    <row r="16" spans="1:50" x14ac:dyDescent="0.25">
      <c r="A16" s="12">
        <v>73</v>
      </c>
      <c r="B16" s="13" t="s">
        <v>23</v>
      </c>
      <c r="C16" s="14" t="s">
        <v>160</v>
      </c>
      <c r="D16" s="14" t="s">
        <v>159</v>
      </c>
      <c r="E16" s="15" t="s">
        <v>144</v>
      </c>
      <c r="F16" s="16">
        <v>21054933.77</v>
      </c>
      <c r="G16" s="14">
        <v>156029</v>
      </c>
      <c r="H16" s="17">
        <v>20638404.620000001</v>
      </c>
      <c r="I16" s="17">
        <v>20752042.449999999</v>
      </c>
      <c r="J16" s="17">
        <v>302891.32</v>
      </c>
      <c r="K16" s="17">
        <v>2510271.2599999998</v>
      </c>
      <c r="L16" s="17">
        <v>21054933.77</v>
      </c>
      <c r="M16" s="17">
        <v>1900540.8</v>
      </c>
      <c r="N16" s="18">
        <v>0</v>
      </c>
      <c r="O16" s="16">
        <v>19192817.969999999</v>
      </c>
      <c r="P16" s="44">
        <v>156616.99999999997</v>
      </c>
      <c r="Q16" s="17">
        <v>18830168.27</v>
      </c>
      <c r="R16" s="17">
        <v>18915326.98</v>
      </c>
      <c r="S16" s="17">
        <v>277490.99</v>
      </c>
      <c r="T16" s="17">
        <v>750127.38</v>
      </c>
      <c r="U16" s="17">
        <v>19192817.969999999</v>
      </c>
      <c r="V16" s="17">
        <v>380945.72</v>
      </c>
      <c r="W16" s="18">
        <v>0</v>
      </c>
      <c r="X16" s="16">
        <v>16475208.560000001</v>
      </c>
      <c r="Y16" s="44">
        <v>157205.00000000003</v>
      </c>
      <c r="Z16" s="17">
        <v>16287919.800000001</v>
      </c>
      <c r="AA16" s="17">
        <v>16399579.039999999</v>
      </c>
      <c r="AB16" s="17">
        <v>75629.52</v>
      </c>
      <c r="AC16" s="17">
        <f>1135.75+471500.64</f>
        <v>472636.39</v>
      </c>
      <c r="AD16" s="17">
        <v>16475208.560000001</v>
      </c>
      <c r="AE16" s="17">
        <v>380945.72</v>
      </c>
      <c r="AF16" s="19">
        <v>0</v>
      </c>
      <c r="AG16" s="20">
        <v>14966781.74</v>
      </c>
      <c r="AH16" s="14">
        <v>157793</v>
      </c>
      <c r="AI16" s="17">
        <v>14755023.23</v>
      </c>
      <c r="AJ16" s="17">
        <v>14961064.48</v>
      </c>
      <c r="AK16" s="17">
        <v>5717.26</v>
      </c>
      <c r="AL16" s="17">
        <v>397006.87</v>
      </c>
      <c r="AM16" s="17">
        <v>14966781.74</v>
      </c>
      <c r="AN16" s="17">
        <v>380945.72</v>
      </c>
      <c r="AO16" s="19">
        <v>172631.52</v>
      </c>
      <c r="AP16" s="20">
        <v>13818131.630000001</v>
      </c>
      <c r="AQ16" s="14">
        <v>157579</v>
      </c>
      <c r="AR16" s="17">
        <v>13470959.66</v>
      </c>
      <c r="AS16" s="17">
        <v>13600960.039999999</v>
      </c>
      <c r="AT16" s="17">
        <v>217171.59</v>
      </c>
      <c r="AU16" s="17">
        <v>391289.61</v>
      </c>
      <c r="AV16" s="17">
        <v>13818131.630000001</v>
      </c>
      <c r="AW16" s="17">
        <v>380945.72</v>
      </c>
      <c r="AX16" s="19">
        <v>0</v>
      </c>
    </row>
    <row r="17" spans="1:50" x14ac:dyDescent="0.25">
      <c r="A17" s="12">
        <v>74</v>
      </c>
      <c r="B17" s="13" t="s">
        <v>24</v>
      </c>
      <c r="C17" s="14" t="s">
        <v>161</v>
      </c>
      <c r="D17" s="14" t="s">
        <v>159</v>
      </c>
      <c r="E17" s="15" t="s">
        <v>144</v>
      </c>
      <c r="F17" s="16">
        <v>302301.57</v>
      </c>
      <c r="G17" s="14">
        <v>296540</v>
      </c>
      <c r="H17" s="17">
        <v>426437.62</v>
      </c>
      <c r="I17" s="17">
        <v>429792.62</v>
      </c>
      <c r="J17" s="21">
        <v>-127491.05</v>
      </c>
      <c r="K17" s="17">
        <v>331093.45</v>
      </c>
      <c r="L17" s="17">
        <v>302301.57</v>
      </c>
      <c r="M17" s="17">
        <v>11140.7</v>
      </c>
      <c r="N17" s="18">
        <v>0</v>
      </c>
      <c r="O17" s="16">
        <v>483547.14</v>
      </c>
      <c r="P17" s="44">
        <v>296131.66666666663</v>
      </c>
      <c r="Q17" s="17">
        <v>245394.66</v>
      </c>
      <c r="R17" s="17">
        <v>250294.66</v>
      </c>
      <c r="S17" s="17">
        <v>233252.48000000001</v>
      </c>
      <c r="T17" s="17">
        <v>456899.08</v>
      </c>
      <c r="U17" s="17">
        <v>483547.14</v>
      </c>
      <c r="V17" s="17">
        <v>9455.2800000000007</v>
      </c>
      <c r="W17" s="18">
        <v>0</v>
      </c>
      <c r="X17" s="25"/>
      <c r="Y17" s="44">
        <v>295723.33333333337</v>
      </c>
      <c r="Z17" s="22"/>
      <c r="AA17" s="22"/>
      <c r="AB17" s="22"/>
      <c r="AC17" s="17">
        <v>226336.5</v>
      </c>
      <c r="AD17" s="22"/>
      <c r="AE17" s="17">
        <v>12145.18</v>
      </c>
      <c r="AF17" s="19">
        <v>0</v>
      </c>
      <c r="AG17" s="26"/>
      <c r="AH17" s="14">
        <v>295315</v>
      </c>
      <c r="AI17" s="22"/>
      <c r="AJ17" s="22"/>
      <c r="AK17" s="22"/>
      <c r="AL17" s="22"/>
      <c r="AM17" s="22"/>
      <c r="AN17" s="22"/>
      <c r="AO17" s="24"/>
      <c r="AP17" s="26"/>
      <c r="AQ17" s="14">
        <v>292667</v>
      </c>
      <c r="AR17" s="22"/>
      <c r="AS17" s="22"/>
      <c r="AT17" s="22"/>
      <c r="AU17" s="22"/>
      <c r="AV17" s="22"/>
      <c r="AW17" s="22"/>
      <c r="AX17" s="24"/>
    </row>
    <row r="18" spans="1:50" x14ac:dyDescent="0.25">
      <c r="A18" s="12">
        <v>75</v>
      </c>
      <c r="B18" s="13" t="s">
        <v>25</v>
      </c>
      <c r="C18" s="14" t="s">
        <v>162</v>
      </c>
      <c r="D18" s="14" t="s">
        <v>159</v>
      </c>
      <c r="E18" s="15" t="s">
        <v>144</v>
      </c>
      <c r="F18" s="16">
        <v>5776014.8200000003</v>
      </c>
      <c r="G18" s="14">
        <v>240384</v>
      </c>
      <c r="H18" s="17">
        <v>4031033.99</v>
      </c>
      <c r="I18" s="17">
        <v>4663878.1900000004</v>
      </c>
      <c r="J18" s="17">
        <v>1112136.6299999999</v>
      </c>
      <c r="K18" s="17">
        <v>3641835.56</v>
      </c>
      <c r="L18" s="17">
        <v>5776014.8200000003</v>
      </c>
      <c r="M18" s="17">
        <v>19717.25</v>
      </c>
      <c r="N18" s="18">
        <v>0</v>
      </c>
      <c r="O18" s="16">
        <v>5890594.2400000002</v>
      </c>
      <c r="P18" s="44">
        <v>243568.99999999997</v>
      </c>
      <c r="Q18" s="17">
        <v>3587399.14</v>
      </c>
      <c r="R18" s="17">
        <v>4697919.47</v>
      </c>
      <c r="S18" s="17">
        <v>1192674.77</v>
      </c>
      <c r="T18" s="17">
        <v>2214659.9700000002</v>
      </c>
      <c r="U18" s="17">
        <v>5806194.2400000002</v>
      </c>
      <c r="V18" s="17">
        <v>40049.49</v>
      </c>
      <c r="W18" s="18">
        <v>0</v>
      </c>
      <c r="X18" s="16">
        <v>5801223.9000000004</v>
      </c>
      <c r="Y18" s="44">
        <v>246754.00000000003</v>
      </c>
      <c r="Z18" s="17">
        <v>2282149.7799999998</v>
      </c>
      <c r="AA18" s="17">
        <v>5874746.7800000003</v>
      </c>
      <c r="AB18" s="21">
        <f>X18-AA18</f>
        <v>-73522.879999999888</v>
      </c>
      <c r="AC18" s="17">
        <v>1193296.58</v>
      </c>
      <c r="AD18" s="17">
        <v>2568723.9</v>
      </c>
      <c r="AE18" s="17">
        <v>47455.72</v>
      </c>
      <c r="AF18" s="19">
        <v>0</v>
      </c>
      <c r="AG18" s="20">
        <v>1913445.45</v>
      </c>
      <c r="AH18" s="14">
        <v>249939</v>
      </c>
      <c r="AI18" s="17">
        <v>1693034.96</v>
      </c>
      <c r="AJ18" s="17">
        <v>1705402.96</v>
      </c>
      <c r="AK18" s="17">
        <f>AG18-AJ18</f>
        <v>208042.49</v>
      </c>
      <c r="AL18" s="17">
        <v>958753.43</v>
      </c>
      <c r="AM18" s="17">
        <v>1913445.45</v>
      </c>
      <c r="AN18" s="17">
        <v>2736.43</v>
      </c>
      <c r="AO18" s="19">
        <v>0</v>
      </c>
      <c r="AP18" s="20">
        <v>1682905.71</v>
      </c>
      <c r="AQ18" s="14">
        <v>248721</v>
      </c>
      <c r="AR18" s="17">
        <v>1497863.53</v>
      </c>
      <c r="AS18" s="17">
        <v>1539174.74</v>
      </c>
      <c r="AT18" s="17">
        <v>143730.97</v>
      </c>
      <c r="AU18" s="17">
        <v>746533.3</v>
      </c>
      <c r="AV18" s="17">
        <v>1682905.71</v>
      </c>
      <c r="AW18" s="17">
        <v>2628.21</v>
      </c>
      <c r="AX18" s="19">
        <v>0</v>
      </c>
    </row>
    <row r="19" spans="1:50" x14ac:dyDescent="0.25">
      <c r="A19" s="12">
        <v>76</v>
      </c>
      <c r="B19" s="13" t="s">
        <v>26</v>
      </c>
      <c r="C19" s="14" t="s">
        <v>163</v>
      </c>
      <c r="D19" s="14" t="s">
        <v>159</v>
      </c>
      <c r="E19" s="15" t="s">
        <v>144</v>
      </c>
      <c r="F19" s="16">
        <v>91319835.409999996</v>
      </c>
      <c r="G19" s="14">
        <v>505119</v>
      </c>
      <c r="H19" s="17">
        <v>91161194.519999996</v>
      </c>
      <c r="I19" s="17">
        <v>91412410.890000001</v>
      </c>
      <c r="J19" s="21">
        <v>-9575.48</v>
      </c>
      <c r="K19" s="17">
        <v>4414128.33</v>
      </c>
      <c r="L19" s="17">
        <v>91319835.409999996</v>
      </c>
      <c r="M19" s="17">
        <v>11390816.82</v>
      </c>
      <c r="N19" s="18">
        <v>2822491.9</v>
      </c>
      <c r="O19" s="16">
        <v>67293758.959999993</v>
      </c>
      <c r="P19" s="44">
        <v>503634</v>
      </c>
      <c r="Q19" s="17">
        <v>68455622.159999996</v>
      </c>
      <c r="R19" s="17">
        <v>68697675.709999993</v>
      </c>
      <c r="S19" s="21">
        <v>-1403916.75</v>
      </c>
      <c r="T19" s="17">
        <v>2954526.37</v>
      </c>
      <c r="U19" s="17">
        <v>67293758.959999993</v>
      </c>
      <c r="V19" s="17">
        <v>10106254.359999999</v>
      </c>
      <c r="W19" s="18">
        <v>2633761.34</v>
      </c>
      <c r="X19" s="16">
        <v>57333345.859999999</v>
      </c>
      <c r="Y19" s="44">
        <v>502149</v>
      </c>
      <c r="Z19" s="17">
        <v>56112002.159999996</v>
      </c>
      <c r="AA19" s="17">
        <v>56189746.859999999</v>
      </c>
      <c r="AB19" s="17">
        <v>1143599</v>
      </c>
      <c r="AC19" s="17">
        <v>2775928.73</v>
      </c>
      <c r="AD19" s="17">
        <v>57333345.859999999</v>
      </c>
      <c r="AE19" s="17">
        <v>9515415.2899999991</v>
      </c>
      <c r="AF19" s="19">
        <v>2400528.6800000002</v>
      </c>
      <c r="AG19" s="20">
        <v>47917307.229999997</v>
      </c>
      <c r="AH19" s="14">
        <v>500664</v>
      </c>
      <c r="AI19" s="17">
        <v>47978937.710000001</v>
      </c>
      <c r="AJ19" s="17">
        <v>48083201.729999997</v>
      </c>
      <c r="AK19" s="21">
        <v>-165894.5</v>
      </c>
      <c r="AL19" s="17">
        <v>1812140.96</v>
      </c>
      <c r="AM19" s="17">
        <v>47917307.229999997</v>
      </c>
      <c r="AN19" s="17">
        <v>5251768.5</v>
      </c>
      <c r="AO19" s="19">
        <v>650730.30000000005</v>
      </c>
      <c r="AP19" s="20">
        <v>40610131.82</v>
      </c>
      <c r="AQ19" s="14">
        <v>497103</v>
      </c>
      <c r="AR19" s="17">
        <v>41047546.909999996</v>
      </c>
      <c r="AS19" s="17">
        <v>41087585.109999999</v>
      </c>
      <c r="AT19" s="21">
        <v>-477453.29</v>
      </c>
      <c r="AU19" s="17">
        <v>1313389.1299999999</v>
      </c>
      <c r="AV19" s="17">
        <v>40610131.82</v>
      </c>
      <c r="AW19" s="17">
        <v>4810106.26</v>
      </c>
      <c r="AX19" s="19">
        <v>650730.30000000005</v>
      </c>
    </row>
    <row r="20" spans="1:50" ht="25.5" x14ac:dyDescent="0.25">
      <c r="A20" s="12">
        <v>79</v>
      </c>
      <c r="B20" s="13" t="s">
        <v>27</v>
      </c>
      <c r="C20" s="14" t="s">
        <v>164</v>
      </c>
      <c r="D20" s="14" t="s">
        <v>159</v>
      </c>
      <c r="E20" s="15" t="s">
        <v>144</v>
      </c>
      <c r="F20" s="16">
        <v>9548778.4800000004</v>
      </c>
      <c r="G20" s="14">
        <v>2570822</v>
      </c>
      <c r="H20" s="17">
        <v>6608315.8099999996</v>
      </c>
      <c r="I20" s="17">
        <v>6608315.8099999996</v>
      </c>
      <c r="J20" s="17">
        <v>2940462.67</v>
      </c>
      <c r="K20" s="17">
        <v>14064767.210000001</v>
      </c>
      <c r="L20" s="17">
        <v>9471125.3800000008</v>
      </c>
      <c r="M20" s="17">
        <v>214312.01</v>
      </c>
      <c r="N20" s="18">
        <v>0</v>
      </c>
      <c r="O20" s="16">
        <v>9678588.5600000005</v>
      </c>
      <c r="P20" s="44">
        <v>2524064.0000000005</v>
      </c>
      <c r="Q20" s="17">
        <v>6588664.0300000003</v>
      </c>
      <c r="R20" s="17">
        <v>14249426.470000001</v>
      </c>
      <c r="S20" s="21">
        <f>O20-R20</f>
        <v>-4570837.91</v>
      </c>
      <c r="T20" s="17">
        <v>10821942.85</v>
      </c>
      <c r="U20" s="17">
        <v>9668102.5500000007</v>
      </c>
      <c r="V20" s="17">
        <v>83760.52</v>
      </c>
      <c r="W20" s="18">
        <v>0</v>
      </c>
      <c r="X20" s="16">
        <v>11455928.07</v>
      </c>
      <c r="Y20" s="44">
        <v>2477305.9999999995</v>
      </c>
      <c r="Z20" s="17">
        <v>4683929.17</v>
      </c>
      <c r="AA20" s="17">
        <v>7925286.5499999998</v>
      </c>
      <c r="AB20" s="17">
        <v>3530641.52</v>
      </c>
      <c r="AC20" s="17">
        <v>16084150.41</v>
      </c>
      <c r="AD20" s="17">
        <v>8214822.25</v>
      </c>
      <c r="AE20" s="17">
        <v>133313.4</v>
      </c>
      <c r="AF20" s="19">
        <v>0</v>
      </c>
      <c r="AG20" s="20">
        <v>7019327.8200000003</v>
      </c>
      <c r="AH20" s="14">
        <v>2430548</v>
      </c>
      <c r="AI20" s="17">
        <v>4184152.97</v>
      </c>
      <c r="AJ20" s="17">
        <v>4192152.97</v>
      </c>
      <c r="AK20" s="17">
        <v>2827174.85</v>
      </c>
      <c r="AL20" s="17">
        <v>12159880.42</v>
      </c>
      <c r="AM20" s="17">
        <v>7019327.8200000003</v>
      </c>
      <c r="AN20" s="17">
        <v>60400.41</v>
      </c>
      <c r="AO20" s="19">
        <v>0</v>
      </c>
      <c r="AP20" s="20"/>
      <c r="AQ20" s="14">
        <v>2408835</v>
      </c>
      <c r="AR20" s="17"/>
      <c r="AS20" s="17"/>
      <c r="AT20" s="17"/>
      <c r="AU20" s="17"/>
      <c r="AV20" s="17"/>
      <c r="AW20" s="17"/>
      <c r="AX20" s="19"/>
    </row>
    <row r="21" spans="1:50" ht="25.5" x14ac:dyDescent="0.25">
      <c r="A21" s="12">
        <v>81</v>
      </c>
      <c r="B21" s="13" t="s">
        <v>28</v>
      </c>
      <c r="C21" s="14" t="s">
        <v>165</v>
      </c>
      <c r="D21" s="14" t="s">
        <v>159</v>
      </c>
      <c r="E21" s="15" t="s">
        <v>144</v>
      </c>
      <c r="F21" s="16">
        <v>66936516.939999998</v>
      </c>
      <c r="G21" s="14">
        <v>335730</v>
      </c>
      <c r="H21" s="17">
        <v>66874482.119999997</v>
      </c>
      <c r="I21" s="17">
        <v>66943557.270000003</v>
      </c>
      <c r="J21" s="21">
        <f>F21-I21</f>
        <v>-7040.3300000056624</v>
      </c>
      <c r="K21" s="17">
        <v>3739958.77</v>
      </c>
      <c r="L21" s="17">
        <v>66936516.939999998</v>
      </c>
      <c r="M21" s="17">
        <v>3825660.33</v>
      </c>
      <c r="N21" s="18">
        <v>0</v>
      </c>
      <c r="O21" s="16">
        <v>58503702.090000004</v>
      </c>
      <c r="P21" s="44">
        <v>343428.66666666669</v>
      </c>
      <c r="Q21" s="17">
        <v>57750636.350000001</v>
      </c>
      <c r="R21" s="17">
        <v>57803791.350000001</v>
      </c>
      <c r="S21" s="17">
        <v>699910.74</v>
      </c>
      <c r="T21" s="17">
        <v>3472392.22</v>
      </c>
      <c r="U21" s="17">
        <v>58503702.090000004</v>
      </c>
      <c r="V21" s="17">
        <v>2842800.39</v>
      </c>
      <c r="W21" s="18">
        <v>0</v>
      </c>
      <c r="X21" s="16">
        <v>35891952.079999998</v>
      </c>
      <c r="Y21" s="44">
        <v>351127.33333333331</v>
      </c>
      <c r="Z21" s="17">
        <v>35808148.210000001</v>
      </c>
      <c r="AA21" s="17">
        <v>35972197.210000001</v>
      </c>
      <c r="AB21" s="21">
        <f>X21-AA21</f>
        <v>-80245.130000002682</v>
      </c>
      <c r="AC21" s="17">
        <v>1780803.34</v>
      </c>
      <c r="AD21" s="17">
        <v>35891952.079999998</v>
      </c>
      <c r="AE21" s="17">
        <v>1733620.95</v>
      </c>
      <c r="AF21" s="19">
        <v>0</v>
      </c>
      <c r="AG21" s="20">
        <v>18827244.09</v>
      </c>
      <c r="AH21" s="14">
        <v>358826</v>
      </c>
      <c r="AI21" s="17">
        <v>21037311.18</v>
      </c>
      <c r="AJ21" s="17">
        <v>21234862.98</v>
      </c>
      <c r="AK21" s="21">
        <f>AG21-AJ21</f>
        <v>-2407618.8900000006</v>
      </c>
      <c r="AL21" s="17">
        <v>2248908.54</v>
      </c>
      <c r="AM21" s="17">
        <v>18827244.09</v>
      </c>
      <c r="AN21" s="17">
        <v>1158552.1100000001</v>
      </c>
      <c r="AO21" s="19">
        <v>0</v>
      </c>
      <c r="AP21" s="20">
        <v>10794009.140000001</v>
      </c>
      <c r="AQ21" s="14">
        <v>356301</v>
      </c>
      <c r="AR21" s="17">
        <v>9981357.1600000001</v>
      </c>
      <c r="AS21" s="17">
        <v>10421052.41</v>
      </c>
      <c r="AT21" s="17">
        <v>372956.73</v>
      </c>
      <c r="AU21" s="17">
        <v>3814179.68</v>
      </c>
      <c r="AV21" s="17">
        <v>10794009.140000001</v>
      </c>
      <c r="AW21" s="17">
        <v>334339.08</v>
      </c>
      <c r="AX21" s="19">
        <v>0</v>
      </c>
    </row>
    <row r="22" spans="1:50" ht="25.5" x14ac:dyDescent="0.25">
      <c r="A22" s="12">
        <v>82</v>
      </c>
      <c r="B22" s="13" t="s">
        <v>29</v>
      </c>
      <c r="C22" s="14" t="s">
        <v>166</v>
      </c>
      <c r="D22" s="14" t="s">
        <v>159</v>
      </c>
      <c r="E22" s="15" t="s">
        <v>144</v>
      </c>
      <c r="F22" s="16">
        <v>806618.55</v>
      </c>
      <c r="G22" s="14">
        <v>208035</v>
      </c>
      <c r="H22" s="17">
        <v>605424.22</v>
      </c>
      <c r="I22" s="17">
        <v>731933.22</v>
      </c>
      <c r="J22" s="17">
        <v>74685.33</v>
      </c>
      <c r="K22" s="17">
        <v>422242.58</v>
      </c>
      <c r="L22" s="17">
        <v>783964.68</v>
      </c>
      <c r="M22" s="17">
        <v>2818.58</v>
      </c>
      <c r="N22" s="18">
        <v>0</v>
      </c>
      <c r="O22" s="16">
        <v>3289702.15</v>
      </c>
      <c r="P22" s="44">
        <v>212304</v>
      </c>
      <c r="Q22" s="17">
        <v>467916.11</v>
      </c>
      <c r="R22" s="17">
        <v>3173056.11</v>
      </c>
      <c r="S22" s="17">
        <v>116646.04</v>
      </c>
      <c r="T22" s="17">
        <v>344738.67</v>
      </c>
      <c r="U22" s="17">
        <v>571793.23</v>
      </c>
      <c r="V22" s="17">
        <v>0</v>
      </c>
      <c r="W22" s="18">
        <v>0</v>
      </c>
      <c r="X22" s="16">
        <v>914577.03</v>
      </c>
      <c r="Y22" s="44">
        <v>216573</v>
      </c>
      <c r="Z22" s="17">
        <v>209860.02</v>
      </c>
      <c r="AA22" s="17">
        <v>756505.02</v>
      </c>
      <c r="AB22" s="17">
        <v>158072.01</v>
      </c>
      <c r="AC22" s="17">
        <v>228092.63</v>
      </c>
      <c r="AD22" s="17">
        <v>257323.33</v>
      </c>
      <c r="AE22" s="17">
        <v>0</v>
      </c>
      <c r="AF22" s="19">
        <v>0</v>
      </c>
      <c r="AG22" s="20">
        <v>232879.3</v>
      </c>
      <c r="AH22" s="14">
        <v>220842</v>
      </c>
      <c r="AI22" s="17">
        <v>217879.3</v>
      </c>
      <c r="AJ22" s="17">
        <v>162858.68</v>
      </c>
      <c r="AK22" s="17">
        <v>70020.62</v>
      </c>
      <c r="AL22" s="17">
        <v>70020.62</v>
      </c>
      <c r="AM22" s="17">
        <v>216610.8</v>
      </c>
      <c r="AN22" s="17">
        <v>0</v>
      </c>
      <c r="AO22" s="19">
        <v>0</v>
      </c>
      <c r="AP22" s="20"/>
      <c r="AQ22" s="14">
        <v>219130</v>
      </c>
      <c r="AR22" s="17"/>
      <c r="AS22" s="17"/>
      <c r="AT22" s="17"/>
      <c r="AU22" s="17"/>
      <c r="AV22" s="17"/>
      <c r="AW22" s="17"/>
      <c r="AX22" s="19"/>
    </row>
    <row r="23" spans="1:50" x14ac:dyDescent="0.25">
      <c r="A23" s="12">
        <v>119</v>
      </c>
      <c r="B23" s="13" t="s">
        <v>30</v>
      </c>
      <c r="C23" s="14" t="s">
        <v>167</v>
      </c>
      <c r="D23" s="14" t="s">
        <v>168</v>
      </c>
      <c r="E23" s="15" t="s">
        <v>144</v>
      </c>
      <c r="F23" s="27"/>
      <c r="G23" s="14">
        <v>410727</v>
      </c>
      <c r="H23" s="28"/>
      <c r="I23" s="28"/>
      <c r="J23" s="28"/>
      <c r="K23" s="17">
        <v>6733112.0300000003</v>
      </c>
      <c r="L23" s="28"/>
      <c r="M23" s="17">
        <v>0</v>
      </c>
      <c r="N23" s="18">
        <v>0</v>
      </c>
      <c r="O23" s="27"/>
      <c r="P23" s="44">
        <v>412471.66666666663</v>
      </c>
      <c r="Q23" s="28"/>
      <c r="R23" s="28"/>
      <c r="S23" s="28"/>
      <c r="T23" s="17">
        <v>5906117.0999999996</v>
      </c>
      <c r="U23" s="28"/>
      <c r="V23" s="17">
        <v>0</v>
      </c>
      <c r="W23" s="18">
        <v>0</v>
      </c>
      <c r="X23" s="27"/>
      <c r="Y23" s="44">
        <v>414216.33333333337</v>
      </c>
      <c r="Z23" s="28"/>
      <c r="AA23" s="28"/>
      <c r="AB23" s="28"/>
      <c r="AC23" s="17">
        <v>5793325.6399999997</v>
      </c>
      <c r="AD23" s="28"/>
      <c r="AE23" s="17">
        <v>0</v>
      </c>
      <c r="AF23" s="19">
        <v>0</v>
      </c>
      <c r="AG23" s="29"/>
      <c r="AH23" s="14">
        <v>415961</v>
      </c>
      <c r="AI23" s="28"/>
      <c r="AJ23" s="28"/>
      <c r="AK23" s="28"/>
      <c r="AL23" s="17">
        <v>4603046.07</v>
      </c>
      <c r="AM23" s="28"/>
      <c r="AN23" s="17">
        <v>0</v>
      </c>
      <c r="AO23" s="19">
        <v>0</v>
      </c>
      <c r="AP23" s="29"/>
      <c r="AQ23" s="14">
        <v>413585</v>
      </c>
      <c r="AR23" s="28"/>
      <c r="AS23" s="28"/>
      <c r="AT23" s="28"/>
      <c r="AU23" s="17">
        <v>2463302.9900000002</v>
      </c>
      <c r="AV23" s="28"/>
      <c r="AW23" s="17">
        <v>0</v>
      </c>
      <c r="AX23" s="19">
        <v>0</v>
      </c>
    </row>
    <row r="24" spans="1:50" x14ac:dyDescent="0.25">
      <c r="A24" s="12">
        <v>120</v>
      </c>
      <c r="B24" s="13" t="s">
        <v>31</v>
      </c>
      <c r="C24" s="14" t="s">
        <v>169</v>
      </c>
      <c r="D24" s="14" t="s">
        <v>168</v>
      </c>
      <c r="E24" s="15" t="s">
        <v>144</v>
      </c>
      <c r="F24" s="28"/>
      <c r="G24" s="14">
        <v>440989</v>
      </c>
      <c r="H24" s="28"/>
      <c r="I24" s="28"/>
      <c r="J24" s="28"/>
      <c r="K24" s="28"/>
      <c r="L24" s="28"/>
      <c r="M24" s="28"/>
      <c r="N24" s="28"/>
      <c r="O24" s="27"/>
      <c r="P24" s="44">
        <v>435525.33333333326</v>
      </c>
      <c r="Q24" s="28"/>
      <c r="R24" s="28"/>
      <c r="S24" s="28"/>
      <c r="T24" s="28"/>
      <c r="U24" s="28"/>
      <c r="V24" s="28"/>
      <c r="W24" s="28"/>
      <c r="X24" s="16">
        <v>47661216.5</v>
      </c>
      <c r="Y24" s="44">
        <v>430061.66666666674</v>
      </c>
      <c r="Z24" s="17">
        <v>45821105.25</v>
      </c>
      <c r="AA24" s="17">
        <v>45829539.25</v>
      </c>
      <c r="AB24" s="17">
        <v>1831677.25</v>
      </c>
      <c r="AC24" s="17">
        <v>7468417.9000000004</v>
      </c>
      <c r="AD24" s="17">
        <v>47661216.5</v>
      </c>
      <c r="AE24" s="17">
        <v>49974.71</v>
      </c>
      <c r="AF24" s="19">
        <v>0</v>
      </c>
      <c r="AG24" s="20">
        <v>35114449.530000001</v>
      </c>
      <c r="AH24" s="14">
        <v>424598</v>
      </c>
      <c r="AI24" s="17">
        <v>33871064.590000004</v>
      </c>
      <c r="AJ24" s="17">
        <v>33874911.609999999</v>
      </c>
      <c r="AK24" s="17">
        <v>1239537.92</v>
      </c>
      <c r="AL24" s="17">
        <v>5689572.2699999996</v>
      </c>
      <c r="AM24" s="17">
        <v>35114449.530000001</v>
      </c>
      <c r="AN24" s="17">
        <v>146093.85999999999</v>
      </c>
      <c r="AO24" s="19">
        <v>0</v>
      </c>
      <c r="AP24" s="20">
        <v>28309287.43</v>
      </c>
      <c r="AQ24" s="14">
        <v>421471</v>
      </c>
      <c r="AR24" s="17">
        <v>26970939.170000002</v>
      </c>
      <c r="AS24" s="17">
        <v>27001199.170000002</v>
      </c>
      <c r="AT24" s="17">
        <v>1308088.26</v>
      </c>
      <c r="AU24" s="17">
        <v>4419597.6500000004</v>
      </c>
      <c r="AV24" s="17">
        <v>28292736.289999999</v>
      </c>
      <c r="AW24" s="17">
        <v>112062.76</v>
      </c>
      <c r="AX24" s="19">
        <v>0</v>
      </c>
    </row>
    <row r="25" spans="1:50" x14ac:dyDescent="0.25">
      <c r="A25" s="12">
        <v>121</v>
      </c>
      <c r="B25" s="13" t="s">
        <v>32</v>
      </c>
      <c r="C25" s="14" t="s">
        <v>170</v>
      </c>
      <c r="D25" s="14" t="s">
        <v>168</v>
      </c>
      <c r="E25" s="15" t="s">
        <v>144</v>
      </c>
      <c r="F25" s="16">
        <v>65455817.5</v>
      </c>
      <c r="G25" s="14">
        <v>318635</v>
      </c>
      <c r="H25" s="17">
        <v>62984282.18</v>
      </c>
      <c r="I25" s="17">
        <v>63010519.18</v>
      </c>
      <c r="J25" s="17">
        <v>2445298.3199999998</v>
      </c>
      <c r="K25" s="17">
        <v>5760373.7999999998</v>
      </c>
      <c r="L25" s="17">
        <v>65415817.5</v>
      </c>
      <c r="M25" s="17">
        <v>888454.75</v>
      </c>
      <c r="N25" s="18">
        <v>0</v>
      </c>
      <c r="O25" s="16">
        <v>59157567.469999999</v>
      </c>
      <c r="P25" s="44">
        <v>311015.33333333337</v>
      </c>
      <c r="Q25" s="17">
        <v>57309776.469999999</v>
      </c>
      <c r="R25" s="17">
        <v>57346165.869999997</v>
      </c>
      <c r="S25" s="17">
        <v>1811401.6</v>
      </c>
      <c r="T25" s="17">
        <v>8812551.4900000002</v>
      </c>
      <c r="U25" s="17">
        <v>59122109.100000001</v>
      </c>
      <c r="V25" s="17">
        <v>809769.58</v>
      </c>
      <c r="W25" s="18">
        <v>0</v>
      </c>
      <c r="X25" s="16">
        <v>53954852.75</v>
      </c>
      <c r="Y25" s="44">
        <v>303395.66666666663</v>
      </c>
      <c r="Z25" s="17">
        <v>0</v>
      </c>
      <c r="AA25" s="17">
        <v>0</v>
      </c>
      <c r="AB25" s="17">
        <v>53954852.75</v>
      </c>
      <c r="AC25" s="17">
        <v>8147135.1900000004</v>
      </c>
      <c r="AD25" s="17">
        <v>53930311.119999997</v>
      </c>
      <c r="AE25" s="17">
        <v>1319277.69</v>
      </c>
      <c r="AF25" s="19">
        <v>0</v>
      </c>
      <c r="AG25" s="20">
        <v>48376841.780000001</v>
      </c>
      <c r="AH25" s="14">
        <v>295776</v>
      </c>
      <c r="AI25" s="17">
        <v>0</v>
      </c>
      <c r="AJ25" s="17">
        <v>0</v>
      </c>
      <c r="AK25" s="17">
        <v>48376841.780000001</v>
      </c>
      <c r="AL25" s="17">
        <v>6715273.29</v>
      </c>
      <c r="AM25" s="17">
        <v>48355927.229999997</v>
      </c>
      <c r="AN25" s="17">
        <v>427671.65</v>
      </c>
      <c r="AO25" s="19">
        <v>0</v>
      </c>
      <c r="AP25" s="20">
        <v>37502518.640000001</v>
      </c>
      <c r="AQ25" s="14">
        <v>292307</v>
      </c>
      <c r="AR25" s="17">
        <v>0</v>
      </c>
      <c r="AS25" s="17">
        <v>0</v>
      </c>
      <c r="AT25" s="20">
        <v>37502518.640000001</v>
      </c>
      <c r="AU25" s="17">
        <v>5173718.49</v>
      </c>
      <c r="AV25" s="17">
        <v>37488433.25</v>
      </c>
      <c r="AW25" s="17">
        <v>2506893.15</v>
      </c>
      <c r="AX25" s="19">
        <v>0</v>
      </c>
    </row>
    <row r="26" spans="1:50" x14ac:dyDescent="0.25">
      <c r="A26" s="12">
        <v>152</v>
      </c>
      <c r="B26" s="13" t="s">
        <v>33</v>
      </c>
      <c r="C26" s="14" t="s">
        <v>171</v>
      </c>
      <c r="D26" s="14" t="s">
        <v>146</v>
      </c>
      <c r="E26" s="15" t="s">
        <v>144</v>
      </c>
      <c r="F26" s="16">
        <v>18016087.77</v>
      </c>
      <c r="G26" s="14">
        <v>368774</v>
      </c>
      <c r="H26" s="17">
        <v>7353340.9400000004</v>
      </c>
      <c r="I26" s="17">
        <v>16111636.93</v>
      </c>
      <c r="J26" s="17">
        <v>1904450.84</v>
      </c>
      <c r="K26" s="17">
        <v>13226805.689999999</v>
      </c>
      <c r="L26" s="17">
        <v>9738850.7699999996</v>
      </c>
      <c r="M26" s="17">
        <v>8114132.4500000002</v>
      </c>
      <c r="N26" s="18">
        <v>0</v>
      </c>
      <c r="O26" s="16">
        <v>8287386.7599999998</v>
      </c>
      <c r="P26" s="44">
        <v>366492.33333333337</v>
      </c>
      <c r="Q26" s="17">
        <v>5980967.3799999999</v>
      </c>
      <c r="R26" s="17">
        <v>6765375.0800000001</v>
      </c>
      <c r="S26" s="17">
        <v>1522011.68</v>
      </c>
      <c r="T26" s="17">
        <v>3785142.29</v>
      </c>
      <c r="U26" s="17">
        <v>7071586.7599999998</v>
      </c>
      <c r="V26" s="17">
        <v>577919.89</v>
      </c>
      <c r="W26" s="18">
        <v>0</v>
      </c>
      <c r="X26" s="16">
        <v>5421268.2800000003</v>
      </c>
      <c r="Y26" s="44">
        <v>364210.66666666663</v>
      </c>
      <c r="Z26" s="17">
        <v>4865120.4000000004</v>
      </c>
      <c r="AA26" s="17">
        <v>5167594.99</v>
      </c>
      <c r="AB26" s="17">
        <v>253673.29</v>
      </c>
      <c r="AC26" s="17">
        <v>1711668.07</v>
      </c>
      <c r="AD26" s="17">
        <v>5421268.2800000003</v>
      </c>
      <c r="AE26" s="17">
        <v>26957.35</v>
      </c>
      <c r="AF26" s="19">
        <v>0</v>
      </c>
      <c r="AG26" s="20">
        <v>4444412.2</v>
      </c>
      <c r="AH26" s="14">
        <v>361929</v>
      </c>
      <c r="AI26" s="17">
        <v>4260085.29</v>
      </c>
      <c r="AJ26" s="17">
        <v>4605407.29</v>
      </c>
      <c r="AK26" s="21">
        <v>-160995.09</v>
      </c>
      <c r="AL26" s="17">
        <v>1524911.04</v>
      </c>
      <c r="AM26" s="17">
        <v>4444412.2</v>
      </c>
      <c r="AN26" s="17">
        <v>94131.63</v>
      </c>
      <c r="AO26" s="19">
        <v>0</v>
      </c>
      <c r="AP26" s="20">
        <v>4468396.09</v>
      </c>
      <c r="AQ26" s="14">
        <v>358827</v>
      </c>
      <c r="AR26" s="22"/>
      <c r="AS26" s="17">
        <v>3770762.29</v>
      </c>
      <c r="AT26" s="17">
        <v>697633.8</v>
      </c>
      <c r="AU26" s="17">
        <v>1671152.46</v>
      </c>
      <c r="AV26" s="17">
        <v>4469789.57</v>
      </c>
      <c r="AW26" s="17">
        <v>79524.460000000006</v>
      </c>
      <c r="AX26" s="19">
        <v>0</v>
      </c>
    </row>
    <row r="27" spans="1:50" x14ac:dyDescent="0.25">
      <c r="A27" s="12">
        <v>157</v>
      </c>
      <c r="B27" s="13" t="s">
        <v>34</v>
      </c>
      <c r="C27" s="14" t="s">
        <v>172</v>
      </c>
      <c r="D27" s="14" t="s">
        <v>146</v>
      </c>
      <c r="E27" s="15" t="s">
        <v>144</v>
      </c>
      <c r="F27" s="16">
        <v>26281148.550000001</v>
      </c>
      <c r="G27" s="14">
        <v>270752</v>
      </c>
      <c r="H27" s="17">
        <v>13581974.449999999</v>
      </c>
      <c r="I27" s="17">
        <v>15158912.43</v>
      </c>
      <c r="J27" s="17">
        <v>11122236.119999999</v>
      </c>
      <c r="K27" s="17">
        <v>24637179.170000002</v>
      </c>
      <c r="L27" s="17">
        <v>20805769.469999999</v>
      </c>
      <c r="M27" s="17">
        <v>2485246.0299999998</v>
      </c>
      <c r="N27" s="18">
        <v>0</v>
      </c>
      <c r="O27" s="16">
        <v>17001773.329999998</v>
      </c>
      <c r="P27" s="44">
        <v>274237.00000000006</v>
      </c>
      <c r="Q27" s="17">
        <v>11577388.58</v>
      </c>
      <c r="R27" s="17">
        <v>16489171.01</v>
      </c>
      <c r="S27" s="17">
        <v>512602.32</v>
      </c>
      <c r="T27" s="17">
        <v>17137740.66</v>
      </c>
      <c r="U27" s="17">
        <v>12050903.49</v>
      </c>
      <c r="V27" s="17">
        <v>2766775.21</v>
      </c>
      <c r="W27" s="18">
        <v>0</v>
      </c>
      <c r="X27" s="16">
        <v>13603303.289999999</v>
      </c>
      <c r="Y27" s="44">
        <v>277721.99999999994</v>
      </c>
      <c r="Z27" s="17">
        <v>9552802.0999999996</v>
      </c>
      <c r="AA27" s="17">
        <v>11953225.49</v>
      </c>
      <c r="AB27" s="17">
        <v>1650077.8</v>
      </c>
      <c r="AC27" s="17">
        <v>9090285.2400000002</v>
      </c>
      <c r="AD27" s="17">
        <v>13119236.970000001</v>
      </c>
      <c r="AE27" s="17">
        <v>312593.96000000002</v>
      </c>
      <c r="AF27" s="19">
        <v>0</v>
      </c>
      <c r="AG27" s="20">
        <v>8774856.3399999999</v>
      </c>
      <c r="AH27" s="14">
        <v>281207</v>
      </c>
      <c r="AI27" s="17">
        <v>7421767.8700000001</v>
      </c>
      <c r="AJ27" s="17">
        <v>7504217.1600000001</v>
      </c>
      <c r="AK27" s="17">
        <v>1270639.18</v>
      </c>
      <c r="AL27" s="17">
        <v>7076817.2699999996</v>
      </c>
      <c r="AM27" s="17">
        <v>7868392.0099999998</v>
      </c>
      <c r="AN27" s="17">
        <v>437945.97</v>
      </c>
      <c r="AO27" s="19">
        <v>0</v>
      </c>
      <c r="AP27" s="26"/>
      <c r="AQ27" s="14">
        <v>280685</v>
      </c>
      <c r="AR27" s="22"/>
      <c r="AS27" s="22"/>
      <c r="AT27" s="22"/>
      <c r="AU27" s="17">
        <v>5590910.8099999996</v>
      </c>
      <c r="AV27" s="22"/>
      <c r="AW27" s="17">
        <v>611682.56000000006</v>
      </c>
      <c r="AX27" s="19">
        <v>0</v>
      </c>
    </row>
    <row r="28" spans="1:50" x14ac:dyDescent="0.25">
      <c r="A28" s="12">
        <v>162</v>
      </c>
      <c r="B28" s="13" t="s">
        <v>35</v>
      </c>
      <c r="C28" s="14" t="s">
        <v>173</v>
      </c>
      <c r="D28" s="14" t="s">
        <v>146</v>
      </c>
      <c r="E28" s="15" t="s">
        <v>144</v>
      </c>
      <c r="F28" s="25"/>
      <c r="G28" s="14">
        <v>230175</v>
      </c>
      <c r="H28" s="22"/>
      <c r="I28" s="22"/>
      <c r="J28" s="22"/>
      <c r="K28" s="22"/>
      <c r="L28" s="22"/>
      <c r="M28" s="22"/>
      <c r="N28" s="23"/>
      <c r="O28" s="25"/>
      <c r="P28" s="44">
        <v>231640.66666666666</v>
      </c>
      <c r="Q28" s="22"/>
      <c r="R28" s="22"/>
      <c r="S28" s="22"/>
      <c r="T28" s="22"/>
      <c r="U28" s="22"/>
      <c r="V28" s="22"/>
      <c r="W28" s="23"/>
      <c r="X28" s="25"/>
      <c r="Y28" s="44">
        <v>233106.33333333334</v>
      </c>
      <c r="Z28" s="22"/>
      <c r="AA28" s="22"/>
      <c r="AB28" s="22"/>
      <c r="AC28" s="22"/>
      <c r="AD28" s="22"/>
      <c r="AE28" s="22"/>
      <c r="AF28" s="24"/>
      <c r="AG28" s="20">
        <v>12857382.779999999</v>
      </c>
      <c r="AH28" s="14">
        <v>234572</v>
      </c>
      <c r="AI28" s="17">
        <v>13494875.01</v>
      </c>
      <c r="AJ28" s="17">
        <v>13898371.710000001</v>
      </c>
      <c r="AK28" s="21">
        <v>-1040988.93</v>
      </c>
      <c r="AL28" s="22"/>
      <c r="AM28" s="17">
        <v>12844382.779999999</v>
      </c>
      <c r="AN28" s="22"/>
      <c r="AO28" s="24"/>
      <c r="AP28" s="20">
        <v>11009347.57</v>
      </c>
      <c r="AQ28" s="14">
        <v>233173</v>
      </c>
      <c r="AR28" s="17">
        <v>11069629.68</v>
      </c>
      <c r="AS28" s="17">
        <v>12044828.49</v>
      </c>
      <c r="AT28" s="21">
        <v>-1035480.92</v>
      </c>
      <c r="AU28" s="17">
        <v>1807285.5</v>
      </c>
      <c r="AV28" s="17">
        <v>11009347.57</v>
      </c>
      <c r="AW28" s="17">
        <v>106303.39</v>
      </c>
      <c r="AX28" s="19">
        <v>0</v>
      </c>
    </row>
    <row r="29" spans="1:50" ht="25.5" x14ac:dyDescent="0.25">
      <c r="A29" s="12">
        <v>165</v>
      </c>
      <c r="B29" s="13" t="s">
        <v>36</v>
      </c>
      <c r="C29" s="14" t="s">
        <v>174</v>
      </c>
      <c r="D29" s="14" t="s">
        <v>146</v>
      </c>
      <c r="E29" s="15" t="s">
        <v>144</v>
      </c>
      <c r="F29" s="16">
        <v>47368203.43</v>
      </c>
      <c r="G29" s="14">
        <v>683026</v>
      </c>
      <c r="H29" s="17">
        <v>19704237.859999999</v>
      </c>
      <c r="I29" s="17">
        <v>19808024.289999999</v>
      </c>
      <c r="J29" s="17">
        <v>27560179.140000001</v>
      </c>
      <c r="K29" s="17">
        <v>31403594.149999999</v>
      </c>
      <c r="L29" s="17">
        <v>21279293.649999999</v>
      </c>
      <c r="M29" s="21">
        <v>-2324.63</v>
      </c>
      <c r="N29" s="18">
        <v>0</v>
      </c>
      <c r="O29" s="16">
        <v>0</v>
      </c>
      <c r="P29" s="44">
        <v>684443.99999999988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8">
        <v>0</v>
      </c>
      <c r="X29" s="16">
        <v>0</v>
      </c>
      <c r="Y29" s="44">
        <v>685862.00000000012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9">
        <v>0</v>
      </c>
      <c r="AG29" s="20">
        <v>0</v>
      </c>
      <c r="AH29" s="14">
        <v>687280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9">
        <v>0</v>
      </c>
      <c r="AP29" s="20">
        <v>0</v>
      </c>
      <c r="AQ29" s="14">
        <v>684998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9">
        <v>0</v>
      </c>
    </row>
    <row r="30" spans="1:50" x14ac:dyDescent="0.25">
      <c r="A30" s="12">
        <v>169</v>
      </c>
      <c r="B30" s="13" t="s">
        <v>37</v>
      </c>
      <c r="C30" s="14" t="s">
        <v>175</v>
      </c>
      <c r="D30" s="14" t="s">
        <v>146</v>
      </c>
      <c r="E30" s="15" t="s">
        <v>144</v>
      </c>
      <c r="F30" s="16">
        <v>25567026.309999999</v>
      </c>
      <c r="G30" s="14">
        <v>130500</v>
      </c>
      <c r="H30" s="17">
        <v>16220514.220000001</v>
      </c>
      <c r="I30" s="17">
        <v>17982611.52</v>
      </c>
      <c r="J30" s="17">
        <v>7584414.79</v>
      </c>
      <c r="K30" s="22"/>
      <c r="L30" s="17">
        <v>19714378.300000001</v>
      </c>
      <c r="M30" s="22"/>
      <c r="N30" s="22"/>
      <c r="O30" s="16">
        <v>22834002.289999999</v>
      </c>
      <c r="P30" s="44">
        <v>130293.33333333333</v>
      </c>
      <c r="Q30" s="17">
        <v>14349555.6</v>
      </c>
      <c r="R30" s="17">
        <v>14456157.59</v>
      </c>
      <c r="S30" s="17">
        <v>8377844.7000000002</v>
      </c>
      <c r="T30" s="17">
        <v>13407672.75</v>
      </c>
      <c r="U30" s="17">
        <v>16215837.57</v>
      </c>
      <c r="V30" s="17">
        <v>394635.9</v>
      </c>
      <c r="W30" s="18">
        <v>0</v>
      </c>
      <c r="X30" s="16">
        <v>13515408.380000001</v>
      </c>
      <c r="Y30" s="44">
        <v>130086.66666666667</v>
      </c>
      <c r="Z30" s="17">
        <v>11408030.939999999</v>
      </c>
      <c r="AA30" s="17">
        <v>11430346.939999999</v>
      </c>
      <c r="AB30" s="17">
        <v>2085061.44</v>
      </c>
      <c r="AC30" s="17">
        <v>4770952.5</v>
      </c>
      <c r="AD30" s="17">
        <v>12241215.380000001</v>
      </c>
      <c r="AE30" s="17">
        <v>120214.73</v>
      </c>
      <c r="AF30" s="19">
        <v>0</v>
      </c>
      <c r="AG30" s="20">
        <v>9595436.5700000003</v>
      </c>
      <c r="AH30" s="14">
        <v>129880</v>
      </c>
      <c r="AI30" s="17">
        <v>9226596.4700000007</v>
      </c>
      <c r="AJ30" s="17">
        <v>9411471.0700000003</v>
      </c>
      <c r="AK30" s="17">
        <v>183965.5</v>
      </c>
      <c r="AL30" s="17">
        <v>2646206.94</v>
      </c>
      <c r="AM30" s="17">
        <v>9595244.5700000003</v>
      </c>
      <c r="AN30" s="17">
        <v>10903.2</v>
      </c>
      <c r="AO30" s="19">
        <v>0</v>
      </c>
      <c r="AP30" s="20">
        <v>8521233.4399999995</v>
      </c>
      <c r="AQ30" s="14">
        <v>129447</v>
      </c>
      <c r="AR30" s="17">
        <v>7325152.9800000004</v>
      </c>
      <c r="AS30" s="17">
        <v>7719591.9800000004</v>
      </c>
      <c r="AT30" s="17">
        <v>801641.46</v>
      </c>
      <c r="AU30" s="22"/>
      <c r="AV30" s="17">
        <v>8411232.8000000007</v>
      </c>
      <c r="AW30" s="22"/>
      <c r="AX30" s="22"/>
    </row>
    <row r="31" spans="1:50" x14ac:dyDescent="0.25">
      <c r="A31" s="12">
        <v>172</v>
      </c>
      <c r="B31" s="13" t="s">
        <v>38</v>
      </c>
      <c r="C31" s="14" t="s">
        <v>176</v>
      </c>
      <c r="D31" s="14" t="s">
        <v>146</v>
      </c>
      <c r="E31" s="15" t="s">
        <v>144</v>
      </c>
      <c r="F31" s="16">
        <v>26878555.23</v>
      </c>
      <c r="G31" s="14">
        <v>292156</v>
      </c>
      <c r="H31" s="17">
        <v>19419674.850000001</v>
      </c>
      <c r="I31" s="17">
        <v>26199016.530000001</v>
      </c>
      <c r="J31" s="17">
        <v>679538.7</v>
      </c>
      <c r="K31" s="17">
        <v>11685958.75</v>
      </c>
      <c r="L31" s="17">
        <v>22297883.59</v>
      </c>
      <c r="M31" s="17">
        <v>2490194.23</v>
      </c>
      <c r="N31" s="18">
        <v>0</v>
      </c>
      <c r="O31" s="16">
        <v>22166592.969999999</v>
      </c>
      <c r="P31" s="44">
        <v>291086.66666666669</v>
      </c>
      <c r="Q31" s="17">
        <v>14441581.35</v>
      </c>
      <c r="R31" s="17">
        <v>14441581.35</v>
      </c>
      <c r="S31" s="17">
        <v>7725011.6200000001</v>
      </c>
      <c r="T31" s="17">
        <v>9284866.4700000007</v>
      </c>
      <c r="U31" s="17">
        <v>13778268.890000001</v>
      </c>
      <c r="V31" s="17">
        <v>939351.98</v>
      </c>
      <c r="W31" s="18">
        <v>0</v>
      </c>
      <c r="X31" s="16">
        <v>9897893.2699999996</v>
      </c>
      <c r="Y31" s="44">
        <v>290017.33333333331</v>
      </c>
      <c r="Z31" s="17">
        <v>9881050.9700000007</v>
      </c>
      <c r="AA31" s="17">
        <v>9948100.9700000007</v>
      </c>
      <c r="AB31" s="21">
        <v>-50207.7</v>
      </c>
      <c r="AC31" s="17">
        <v>809099.85</v>
      </c>
      <c r="AD31" s="17">
        <v>9897893.2699999996</v>
      </c>
      <c r="AE31" s="17">
        <v>282929.13</v>
      </c>
      <c r="AF31" s="19">
        <v>0</v>
      </c>
      <c r="AG31" s="20">
        <v>7299217.21</v>
      </c>
      <c r="AH31" s="14">
        <v>288948</v>
      </c>
      <c r="AI31" s="17">
        <v>7159573.1100000003</v>
      </c>
      <c r="AJ31" s="17">
        <v>7159573.1100000003</v>
      </c>
      <c r="AK31" s="17">
        <v>139644.1</v>
      </c>
      <c r="AL31" s="17">
        <v>878803.23</v>
      </c>
      <c r="AM31" s="17">
        <v>6835713.0800000001</v>
      </c>
      <c r="AN31" s="17">
        <v>367319.42</v>
      </c>
      <c r="AO31" s="19">
        <v>0</v>
      </c>
      <c r="AP31" s="20">
        <v>5735201.4000000004</v>
      </c>
      <c r="AQ31" s="14">
        <v>287364</v>
      </c>
      <c r="AR31" s="17">
        <v>5156297.5999999996</v>
      </c>
      <c r="AS31" s="17">
        <v>5156297.5999999996</v>
      </c>
      <c r="AT31" s="17">
        <v>578903.80000000005</v>
      </c>
      <c r="AU31" s="17">
        <v>456294.27</v>
      </c>
      <c r="AV31" s="17">
        <v>5543701.4000000004</v>
      </c>
      <c r="AW31" s="17">
        <v>128097.12</v>
      </c>
      <c r="AX31" s="19">
        <v>0</v>
      </c>
    </row>
    <row r="32" spans="1:50" ht="25.5" x14ac:dyDescent="0.25">
      <c r="A32" s="12">
        <v>181</v>
      </c>
      <c r="B32" s="13" t="s">
        <v>40</v>
      </c>
      <c r="C32" s="14" t="s">
        <v>177</v>
      </c>
      <c r="D32" s="14" t="s">
        <v>146</v>
      </c>
      <c r="E32" s="15" t="s">
        <v>144</v>
      </c>
      <c r="F32" s="16">
        <v>26648673.199999999</v>
      </c>
      <c r="G32" s="14">
        <v>207172</v>
      </c>
      <c r="H32" s="17">
        <v>17124623.300000001</v>
      </c>
      <c r="I32" s="17">
        <v>20220173.859999999</v>
      </c>
      <c r="J32" s="17">
        <v>6428499.3399999999</v>
      </c>
      <c r="K32" s="17">
        <v>10407670.82</v>
      </c>
      <c r="L32" s="17">
        <v>19685199.260000002</v>
      </c>
      <c r="M32" s="17">
        <v>50035.38</v>
      </c>
      <c r="N32" s="18">
        <v>0</v>
      </c>
      <c r="O32" s="16">
        <v>18335670.489999998</v>
      </c>
      <c r="P32" s="44">
        <v>206875</v>
      </c>
      <c r="Q32" s="17">
        <v>13202016.710000001</v>
      </c>
      <c r="R32" s="17">
        <v>18955318.25</v>
      </c>
      <c r="S32" s="21">
        <f>O32-R32</f>
        <v>-619647.76000000164</v>
      </c>
      <c r="T32" s="17">
        <v>8972463.6500000004</v>
      </c>
      <c r="U32" s="17">
        <v>13609366.16</v>
      </c>
      <c r="V32" s="17">
        <v>615061.75</v>
      </c>
      <c r="W32" s="18">
        <v>0</v>
      </c>
      <c r="X32" s="16">
        <v>12529867.529999999</v>
      </c>
      <c r="Y32" s="44">
        <v>206578</v>
      </c>
      <c r="Z32" s="17">
        <v>9543331.7200000007</v>
      </c>
      <c r="AA32" s="17">
        <v>9552622.7200000007</v>
      </c>
      <c r="AB32" s="17">
        <v>2977244.81</v>
      </c>
      <c r="AC32" s="17">
        <v>4469543.82</v>
      </c>
      <c r="AD32" s="17">
        <v>9832803.4399999995</v>
      </c>
      <c r="AE32" s="17">
        <v>5753.65</v>
      </c>
      <c r="AF32" s="19">
        <v>0</v>
      </c>
      <c r="AG32" s="20">
        <v>7367578.9000000004</v>
      </c>
      <c r="AH32" s="14">
        <v>206281</v>
      </c>
      <c r="AI32" s="17">
        <v>6554830.0499999998</v>
      </c>
      <c r="AJ32" s="17">
        <v>6641705.7800000003</v>
      </c>
      <c r="AK32" s="17">
        <v>725873.12</v>
      </c>
      <c r="AL32" s="17">
        <v>1560647.62</v>
      </c>
      <c r="AM32" s="17">
        <v>6688979.04</v>
      </c>
      <c r="AN32" s="17">
        <v>32015.66</v>
      </c>
      <c r="AO32" s="19">
        <v>0</v>
      </c>
      <c r="AP32" s="20">
        <v>5341727.97</v>
      </c>
      <c r="AQ32" s="14">
        <v>205738</v>
      </c>
      <c r="AR32" s="17">
        <v>4468679.88</v>
      </c>
      <c r="AS32" s="17">
        <v>4670743.22</v>
      </c>
      <c r="AT32" s="17">
        <v>670984.75</v>
      </c>
      <c r="AU32" s="17">
        <v>1005042.08</v>
      </c>
      <c r="AV32" s="17">
        <v>5099227.97</v>
      </c>
      <c r="AW32" s="17">
        <v>191841.37</v>
      </c>
      <c r="AX32" s="19">
        <v>0</v>
      </c>
    </row>
    <row r="33" spans="1:50" x14ac:dyDescent="0.25">
      <c r="A33" s="12">
        <v>183</v>
      </c>
      <c r="B33" s="13" t="s">
        <v>41</v>
      </c>
      <c r="C33" s="14" t="s">
        <v>178</v>
      </c>
      <c r="D33" s="14" t="s">
        <v>146</v>
      </c>
      <c r="E33" s="15" t="s">
        <v>144</v>
      </c>
      <c r="F33" s="16">
        <f>61555191.68+9545620.89</f>
        <v>71100812.569999993</v>
      </c>
      <c r="G33" s="14">
        <v>180449</v>
      </c>
      <c r="H33" s="17">
        <v>45031514.799999997</v>
      </c>
      <c r="I33" s="17">
        <v>50217891.990000002</v>
      </c>
      <c r="J33" s="17">
        <v>20882920.579999998</v>
      </c>
      <c r="K33" s="17">
        <v>31001403.739999998</v>
      </c>
      <c r="L33" s="17">
        <v>42845723.840000004</v>
      </c>
      <c r="M33" s="17">
        <v>1151591.6599999999</v>
      </c>
      <c r="N33" s="18">
        <v>0</v>
      </c>
      <c r="O33" s="16">
        <f>41262781.63+6273508.72</f>
        <v>47536290.350000001</v>
      </c>
      <c r="P33" s="44">
        <v>180617</v>
      </c>
      <c r="Q33" s="17">
        <v>38204954.090000004</v>
      </c>
      <c r="R33" s="17">
        <v>42924740.659999996</v>
      </c>
      <c r="S33" s="17">
        <v>4611549.6900000004</v>
      </c>
      <c r="T33" s="17">
        <v>19710389.530000001</v>
      </c>
      <c r="U33" s="17">
        <v>36712470.859999999</v>
      </c>
      <c r="V33" s="17">
        <v>1461967.19</v>
      </c>
      <c r="W33" s="18">
        <v>0</v>
      </c>
      <c r="X33" s="16">
        <f>37109025.4+8661190.73</f>
        <v>45770216.129999995</v>
      </c>
      <c r="Y33" s="44">
        <v>180785</v>
      </c>
      <c r="Z33" s="17">
        <v>36326725.390000001</v>
      </c>
      <c r="AA33" s="17">
        <v>37745960.409999996</v>
      </c>
      <c r="AB33" s="17">
        <v>8024255.7199999997</v>
      </c>
      <c r="AC33" s="17">
        <v>19409213.469999999</v>
      </c>
      <c r="AD33" s="17">
        <v>35080815.390000001</v>
      </c>
      <c r="AE33" s="17">
        <v>3007698.8</v>
      </c>
      <c r="AF33" s="19">
        <v>0</v>
      </c>
      <c r="AG33" s="20">
        <f>44072189.52+514107.55</f>
        <v>44586297.07</v>
      </c>
      <c r="AH33" s="14">
        <v>180953</v>
      </c>
      <c r="AI33" s="17">
        <v>25684407.879999999</v>
      </c>
      <c r="AJ33" s="17">
        <v>29627075.629999999</v>
      </c>
      <c r="AK33" s="17">
        <v>14959221.439999999</v>
      </c>
      <c r="AL33" s="17">
        <v>19152432.649999999</v>
      </c>
      <c r="AM33" s="17">
        <v>40213539.840000004</v>
      </c>
      <c r="AN33" s="17">
        <v>1708332.25</v>
      </c>
      <c r="AO33" s="19">
        <v>0</v>
      </c>
      <c r="AP33" s="20">
        <f>27562566.62</f>
        <v>27562566.620000001</v>
      </c>
      <c r="AQ33" s="14">
        <v>180989</v>
      </c>
      <c r="AR33" s="17">
        <v>20883852.949999999</v>
      </c>
      <c r="AS33" s="17">
        <v>21736227.41</v>
      </c>
      <c r="AT33" s="17">
        <v>5826339.21</v>
      </c>
      <c r="AU33" s="17">
        <v>3528765.36</v>
      </c>
      <c r="AV33" s="17">
        <v>26359675.129999999</v>
      </c>
      <c r="AW33" s="17">
        <v>1390510.86</v>
      </c>
      <c r="AX33" s="19">
        <v>0</v>
      </c>
    </row>
    <row r="34" spans="1:50" ht="25.5" x14ac:dyDescent="0.25">
      <c r="A34" s="12">
        <v>234</v>
      </c>
      <c r="B34" s="13" t="s">
        <v>42</v>
      </c>
      <c r="C34" s="14" t="s">
        <v>179</v>
      </c>
      <c r="D34" s="14" t="s">
        <v>157</v>
      </c>
      <c r="E34" s="15" t="s">
        <v>144</v>
      </c>
      <c r="F34" s="16">
        <v>8504376.5299999993</v>
      </c>
      <c r="G34" s="14">
        <v>136909</v>
      </c>
      <c r="H34" s="17">
        <v>8137185.1500000004</v>
      </c>
      <c r="I34" s="17">
        <v>8138204.8499999996</v>
      </c>
      <c r="J34" s="17">
        <v>366171.68</v>
      </c>
      <c r="K34" s="26"/>
      <c r="L34" s="17">
        <v>8504376.5299999993</v>
      </c>
      <c r="M34" s="26"/>
      <c r="N34" s="26"/>
      <c r="O34" s="16">
        <v>6766353.9500000002</v>
      </c>
      <c r="P34" s="44">
        <v>136301.33333333331</v>
      </c>
      <c r="Q34" s="17">
        <v>7437622.6900000004</v>
      </c>
      <c r="R34" s="17">
        <v>7440562.6900000004</v>
      </c>
      <c r="S34" s="21">
        <v>-674208.74</v>
      </c>
      <c r="T34" s="22"/>
      <c r="U34" s="17">
        <v>6766353.9500000002</v>
      </c>
      <c r="V34" s="22"/>
      <c r="W34" s="22"/>
      <c r="X34" s="16">
        <v>6368581.6799999997</v>
      </c>
      <c r="Y34" s="44">
        <v>135693.66666666669</v>
      </c>
      <c r="Z34" s="17">
        <v>5867996.46</v>
      </c>
      <c r="AA34" s="17">
        <v>5870370.46</v>
      </c>
      <c r="AB34" s="17">
        <v>498211.22</v>
      </c>
      <c r="AC34" s="22"/>
      <c r="AD34" s="17">
        <v>6368581.6799999997</v>
      </c>
      <c r="AE34" s="22"/>
      <c r="AF34" s="22"/>
      <c r="AG34" s="20">
        <v>0</v>
      </c>
      <c r="AH34" s="14">
        <v>135086</v>
      </c>
      <c r="AI34" s="17">
        <v>0</v>
      </c>
      <c r="AJ34" s="17">
        <v>0</v>
      </c>
      <c r="AK34" s="17">
        <v>0</v>
      </c>
      <c r="AL34" s="22"/>
      <c r="AM34" s="17">
        <v>0</v>
      </c>
      <c r="AN34" s="22"/>
      <c r="AO34" s="22"/>
      <c r="AP34" s="20">
        <v>0</v>
      </c>
      <c r="AQ34" s="14">
        <v>134858</v>
      </c>
      <c r="AR34" s="17">
        <v>0</v>
      </c>
      <c r="AS34" s="17">
        <v>0</v>
      </c>
      <c r="AT34" s="17">
        <v>0</v>
      </c>
      <c r="AU34" s="22"/>
      <c r="AV34" s="17">
        <v>0</v>
      </c>
      <c r="AW34" s="22"/>
      <c r="AX34" s="22"/>
    </row>
    <row r="35" spans="1:50" x14ac:dyDescent="0.25">
      <c r="A35" s="12">
        <v>236</v>
      </c>
      <c r="B35" s="13" t="s">
        <v>43</v>
      </c>
      <c r="C35" s="14" t="s">
        <v>180</v>
      </c>
      <c r="D35" s="14" t="s">
        <v>157</v>
      </c>
      <c r="E35" s="15" t="s">
        <v>144</v>
      </c>
      <c r="F35" s="16">
        <v>13074508.58</v>
      </c>
      <c r="G35" s="14">
        <v>915975</v>
      </c>
      <c r="H35" s="17">
        <v>12933282.539999999</v>
      </c>
      <c r="I35" s="17">
        <v>12968337.109999999</v>
      </c>
      <c r="J35" s="17">
        <v>106171.47</v>
      </c>
      <c r="K35" s="17">
        <v>458360.38</v>
      </c>
      <c r="L35" s="17">
        <v>13074508.58</v>
      </c>
      <c r="M35" s="17">
        <v>193125.05</v>
      </c>
      <c r="N35" s="18">
        <v>20309.48</v>
      </c>
      <c r="O35" s="16">
        <v>1951937.74</v>
      </c>
      <c r="P35" s="44">
        <v>922024.33333333326</v>
      </c>
      <c r="Q35" s="17">
        <v>2557226.5</v>
      </c>
      <c r="R35" s="17">
        <v>2583556.5</v>
      </c>
      <c r="S35" s="21">
        <f>O35-R35</f>
        <v>-631618.76</v>
      </c>
      <c r="T35" s="17">
        <v>295862.03999999998</v>
      </c>
      <c r="U35" s="17">
        <v>1951937.74</v>
      </c>
      <c r="V35" s="17">
        <v>86964.75</v>
      </c>
      <c r="W35" s="18">
        <v>20309.48</v>
      </c>
      <c r="X35" s="16">
        <v>2423246.9300000002</v>
      </c>
      <c r="Y35" s="44">
        <v>928073.66666666674</v>
      </c>
      <c r="Z35" s="17">
        <v>2664578.2000000002</v>
      </c>
      <c r="AA35" s="17">
        <v>2688316.76</v>
      </c>
      <c r="AB35" s="21">
        <f>X35-AA35</f>
        <v>-265069.82999999961</v>
      </c>
      <c r="AC35" s="17">
        <v>113364.71</v>
      </c>
      <c r="AD35" s="17">
        <v>2423246.9300000002</v>
      </c>
      <c r="AE35" s="17">
        <v>227964.63</v>
      </c>
      <c r="AF35" s="19">
        <v>32040.98</v>
      </c>
      <c r="AG35" s="20">
        <v>218057.31</v>
      </c>
      <c r="AH35" s="14">
        <v>934123</v>
      </c>
      <c r="AI35" s="17">
        <v>31611.34</v>
      </c>
      <c r="AJ35" s="17">
        <v>31611.34</v>
      </c>
      <c r="AK35" s="17">
        <v>186445.97</v>
      </c>
      <c r="AL35" s="17">
        <v>241299.26</v>
      </c>
      <c r="AM35" s="17">
        <v>218057.31</v>
      </c>
      <c r="AN35" s="17">
        <v>16830.11</v>
      </c>
      <c r="AO35" s="19">
        <v>20309.48</v>
      </c>
      <c r="AP35" s="20">
        <v>141259.64000000001</v>
      </c>
      <c r="AQ35" s="14">
        <v>929855</v>
      </c>
      <c r="AR35" s="17">
        <v>137934.60999999999</v>
      </c>
      <c r="AS35" s="17">
        <v>141259.64000000001</v>
      </c>
      <c r="AT35" s="17">
        <v>0</v>
      </c>
      <c r="AU35" s="17">
        <v>23773.75</v>
      </c>
      <c r="AV35" s="17">
        <v>40622.57</v>
      </c>
      <c r="AW35" s="17">
        <v>23263.9</v>
      </c>
      <c r="AX35" s="19">
        <v>20309.48</v>
      </c>
    </row>
    <row r="36" spans="1:50" ht="25.5" x14ac:dyDescent="0.25">
      <c r="A36" s="12">
        <v>265</v>
      </c>
      <c r="B36" s="13" t="s">
        <v>44</v>
      </c>
      <c r="C36" s="14" t="s">
        <v>181</v>
      </c>
      <c r="D36" s="14" t="s">
        <v>159</v>
      </c>
      <c r="E36" s="15" t="s">
        <v>144</v>
      </c>
      <c r="F36" s="16">
        <v>14618566.880000001</v>
      </c>
      <c r="G36" s="14">
        <v>54601</v>
      </c>
      <c r="H36" s="17">
        <v>15176046.33</v>
      </c>
      <c r="I36" s="17">
        <v>15356976.15</v>
      </c>
      <c r="J36" s="21">
        <v>-738409.27</v>
      </c>
      <c r="K36" s="17">
        <v>78953.97</v>
      </c>
      <c r="L36" s="17">
        <v>14618566.880000001</v>
      </c>
      <c r="M36" s="17">
        <v>1073775.23</v>
      </c>
      <c r="N36" s="18">
        <v>0</v>
      </c>
      <c r="O36" s="16">
        <v>12518337.720000001</v>
      </c>
      <c r="P36" s="44">
        <v>52485.333333333343</v>
      </c>
      <c r="Q36" s="17">
        <v>12685494.74</v>
      </c>
      <c r="R36" s="17">
        <v>12711138.539999999</v>
      </c>
      <c r="S36" s="21">
        <v>-192800.82</v>
      </c>
      <c r="T36" s="17">
        <v>270492.65999999997</v>
      </c>
      <c r="U36" s="17">
        <v>12518337.720000001</v>
      </c>
      <c r="V36" s="17">
        <v>553066.18999999994</v>
      </c>
      <c r="W36" s="18">
        <v>0</v>
      </c>
      <c r="X36" s="16">
        <v>11389820.869999999</v>
      </c>
      <c r="Y36" s="44">
        <v>50369.666666666657</v>
      </c>
      <c r="Z36" s="17">
        <v>11570058.380000001</v>
      </c>
      <c r="AA36" s="17">
        <v>11605748.42</v>
      </c>
      <c r="AB36" s="21">
        <v>-215927.55</v>
      </c>
      <c r="AC36" s="17">
        <v>372541.8</v>
      </c>
      <c r="AD36" s="17">
        <v>11389820.869999999</v>
      </c>
      <c r="AE36" s="17">
        <v>462349.8</v>
      </c>
      <c r="AF36" s="19">
        <v>0</v>
      </c>
      <c r="AG36" s="20">
        <v>10483490.310000001</v>
      </c>
      <c r="AH36" s="14">
        <v>48254</v>
      </c>
      <c r="AI36" s="17">
        <v>10240931.060000001</v>
      </c>
      <c r="AJ36" s="17">
        <v>10423426.060000001</v>
      </c>
      <c r="AK36" s="17">
        <v>60064.25</v>
      </c>
      <c r="AL36" s="17">
        <v>273853.39</v>
      </c>
      <c r="AM36" s="17">
        <v>10483490.310000001</v>
      </c>
      <c r="AN36" s="17">
        <v>136995.46</v>
      </c>
      <c r="AO36" s="19">
        <v>0</v>
      </c>
      <c r="AP36" s="22"/>
      <c r="AQ36" s="14">
        <v>48017</v>
      </c>
      <c r="AR36" s="22"/>
      <c r="AS36" s="22"/>
      <c r="AT36" s="22"/>
      <c r="AU36" s="17">
        <v>268240.14</v>
      </c>
      <c r="AV36" s="22"/>
      <c r="AW36" s="17">
        <v>142827</v>
      </c>
      <c r="AX36" s="19">
        <v>0</v>
      </c>
    </row>
    <row r="37" spans="1:50" x14ac:dyDescent="0.25">
      <c r="A37" s="12">
        <v>266</v>
      </c>
      <c r="B37" s="13" t="s">
        <v>45</v>
      </c>
      <c r="C37" s="14" t="s">
        <v>182</v>
      </c>
      <c r="D37" s="14" t="s">
        <v>159</v>
      </c>
      <c r="E37" s="15" t="s">
        <v>144</v>
      </c>
      <c r="F37" s="16">
        <v>61886567.840000004</v>
      </c>
      <c r="G37" s="14">
        <v>309918</v>
      </c>
      <c r="H37" s="17">
        <v>60206670.859999999</v>
      </c>
      <c r="I37" s="17">
        <v>60363284.859999999</v>
      </c>
      <c r="J37" s="17">
        <v>1523282.98</v>
      </c>
      <c r="K37" s="17">
        <v>7324468.3600000003</v>
      </c>
      <c r="L37" s="17">
        <v>61886567.840000004</v>
      </c>
      <c r="M37" s="17">
        <v>1237025.23</v>
      </c>
      <c r="N37" s="18">
        <v>0</v>
      </c>
      <c r="O37" s="16">
        <v>60065648.700000003</v>
      </c>
      <c r="P37" s="44">
        <v>313951.66666666663</v>
      </c>
      <c r="Q37" s="17">
        <v>57169347.969999999</v>
      </c>
      <c r="R37" s="17">
        <v>60029160.960000001</v>
      </c>
      <c r="S37" s="17">
        <v>36487.74</v>
      </c>
      <c r="T37" s="17">
        <v>6563791.8399999999</v>
      </c>
      <c r="U37" s="17">
        <v>60065648.700000003</v>
      </c>
      <c r="V37" s="17">
        <v>1150181.18</v>
      </c>
      <c r="W37" s="18">
        <v>0</v>
      </c>
      <c r="X37" s="16">
        <v>50333488.740000002</v>
      </c>
      <c r="Y37" s="44">
        <v>317985.33333333337</v>
      </c>
      <c r="Z37" s="17">
        <v>48380953.840000004</v>
      </c>
      <c r="AA37" s="17">
        <v>49124894.07</v>
      </c>
      <c r="AB37" s="17">
        <v>1208594.67</v>
      </c>
      <c r="AC37" s="17">
        <v>6107281.1900000004</v>
      </c>
      <c r="AD37" s="17">
        <v>50333488.740000002</v>
      </c>
      <c r="AE37" s="17">
        <v>789305.38</v>
      </c>
      <c r="AF37" s="19">
        <v>0</v>
      </c>
      <c r="AG37" s="20">
        <v>36741502.899999999</v>
      </c>
      <c r="AH37" s="14">
        <v>322019</v>
      </c>
      <c r="AI37" s="17">
        <v>36068429.359999999</v>
      </c>
      <c r="AJ37" s="17">
        <v>36086763.060000002</v>
      </c>
      <c r="AK37" s="17">
        <v>654739.84</v>
      </c>
      <c r="AL37" s="17">
        <v>4362643.55</v>
      </c>
      <c r="AM37" s="17">
        <v>36741502.899999999</v>
      </c>
      <c r="AN37" s="17">
        <v>456141.31</v>
      </c>
      <c r="AO37" s="19">
        <v>0</v>
      </c>
      <c r="AP37" s="20">
        <v>34273088.579999998</v>
      </c>
      <c r="AQ37" s="14">
        <v>320199</v>
      </c>
      <c r="AR37" s="17">
        <v>33881342.159999996</v>
      </c>
      <c r="AS37" s="17">
        <v>33892092.460000001</v>
      </c>
      <c r="AT37" s="17">
        <v>380996.12</v>
      </c>
      <c r="AU37" s="17">
        <v>4071295.97</v>
      </c>
      <c r="AV37" s="17">
        <v>34273088.579999998</v>
      </c>
      <c r="AW37" s="17">
        <v>690121.46</v>
      </c>
      <c r="AX37" s="19">
        <v>0</v>
      </c>
    </row>
    <row r="38" spans="1:50" x14ac:dyDescent="0.25">
      <c r="A38" s="12">
        <v>267</v>
      </c>
      <c r="B38" s="13" t="s">
        <v>46</v>
      </c>
      <c r="C38" s="14" t="s">
        <v>183</v>
      </c>
      <c r="D38" s="14" t="s">
        <v>159</v>
      </c>
      <c r="E38" s="15" t="s">
        <v>144</v>
      </c>
      <c r="F38" s="16">
        <v>16083344.800000001</v>
      </c>
      <c r="G38" s="14">
        <v>182242</v>
      </c>
      <c r="H38" s="17">
        <v>15787346.859999999</v>
      </c>
      <c r="I38" s="17">
        <v>15800464.699999999</v>
      </c>
      <c r="J38" s="17">
        <v>282880.09999999998</v>
      </c>
      <c r="K38" s="17">
        <v>1543474.25</v>
      </c>
      <c r="L38" s="17">
        <v>16083344.800000001</v>
      </c>
      <c r="M38" s="17">
        <v>151464.65</v>
      </c>
      <c r="N38" s="18">
        <v>0</v>
      </c>
      <c r="O38" s="16">
        <v>8075628.2999999998</v>
      </c>
      <c r="P38" s="44">
        <v>185489.33333333331</v>
      </c>
      <c r="Q38" s="17">
        <v>8340962.3700000001</v>
      </c>
      <c r="R38" s="17">
        <v>8355869.3700000001</v>
      </c>
      <c r="S38" s="21">
        <v>-280241.07</v>
      </c>
      <c r="T38" s="17">
        <v>705849.84</v>
      </c>
      <c r="U38" s="17">
        <v>8075628.2999999998</v>
      </c>
      <c r="V38" s="17">
        <v>140490.42000000001</v>
      </c>
      <c r="W38" s="18">
        <v>0</v>
      </c>
      <c r="X38" s="16">
        <v>6408894.2000000002</v>
      </c>
      <c r="Y38" s="44">
        <v>188736.66666666669</v>
      </c>
      <c r="Z38" s="17">
        <v>6279245.1299999999</v>
      </c>
      <c r="AA38" s="17">
        <v>6283745.1299999999</v>
      </c>
      <c r="AB38" s="17">
        <v>125149.07</v>
      </c>
      <c r="AC38" s="17">
        <v>527105.84</v>
      </c>
      <c r="AD38" s="17">
        <v>6408894.2000000002</v>
      </c>
      <c r="AE38" s="17">
        <v>283034.86</v>
      </c>
      <c r="AF38" s="19">
        <v>0</v>
      </c>
      <c r="AG38" s="20">
        <v>5030628.16</v>
      </c>
      <c r="AH38" s="14">
        <v>191984</v>
      </c>
      <c r="AI38" s="17">
        <v>5005633.63</v>
      </c>
      <c r="AJ38" s="17">
        <v>5141253.8899999997</v>
      </c>
      <c r="AK38" s="21">
        <v>-110625.73</v>
      </c>
      <c r="AL38" s="17">
        <v>422933.32</v>
      </c>
      <c r="AM38" s="17">
        <v>5030628.16</v>
      </c>
      <c r="AN38" s="17">
        <v>304267.11</v>
      </c>
      <c r="AO38" s="19">
        <v>0</v>
      </c>
      <c r="AP38" s="20">
        <v>3685021.13</v>
      </c>
      <c r="AQ38" s="14">
        <v>190167</v>
      </c>
      <c r="AR38" s="17">
        <v>3704086.4</v>
      </c>
      <c r="AS38" s="17">
        <v>3709222.4</v>
      </c>
      <c r="AT38" s="21">
        <v>-24201.27</v>
      </c>
      <c r="AU38" s="17">
        <v>463386.92</v>
      </c>
      <c r="AV38" s="17">
        <v>3685021.13</v>
      </c>
      <c r="AW38" s="17">
        <v>235272.4</v>
      </c>
      <c r="AX38" s="19">
        <v>0</v>
      </c>
    </row>
    <row r="39" spans="1:50" x14ac:dyDescent="0.25">
      <c r="A39" s="12">
        <v>268</v>
      </c>
      <c r="B39" s="13" t="s">
        <v>47</v>
      </c>
      <c r="C39" s="14" t="s">
        <v>184</v>
      </c>
      <c r="D39" s="14" t="s">
        <v>159</v>
      </c>
      <c r="E39" s="15" t="s">
        <v>144</v>
      </c>
      <c r="F39" s="16">
        <v>20515261.829999998</v>
      </c>
      <c r="G39" s="14">
        <v>98687</v>
      </c>
      <c r="H39" s="17">
        <v>20212777.719999999</v>
      </c>
      <c r="I39" s="17">
        <v>20420530.899999999</v>
      </c>
      <c r="J39" s="17">
        <v>94730.93</v>
      </c>
      <c r="K39" s="17">
        <v>750459.97</v>
      </c>
      <c r="L39" s="17">
        <v>20515261.829999998</v>
      </c>
      <c r="M39" s="17">
        <v>2310638.17</v>
      </c>
      <c r="N39" s="18">
        <v>1218291.6599999999</v>
      </c>
      <c r="O39" s="16">
        <v>13312972.539999999</v>
      </c>
      <c r="P39" s="44">
        <v>101233.33333333334</v>
      </c>
      <c r="Q39" s="17">
        <v>14026055.859999999</v>
      </c>
      <c r="R39" s="17">
        <v>14347682.16</v>
      </c>
      <c r="S39" s="21">
        <v>-1034709.62</v>
      </c>
      <c r="T39" s="17">
        <v>79610.67</v>
      </c>
      <c r="U39" s="17">
        <v>13312972.539999999</v>
      </c>
      <c r="V39" s="17">
        <v>1750618.9</v>
      </c>
      <c r="W39" s="18">
        <v>1388444.76</v>
      </c>
      <c r="X39" s="16">
        <v>11290277.34</v>
      </c>
      <c r="Y39" s="44">
        <v>103779.66666666666</v>
      </c>
      <c r="Z39" s="17">
        <v>10742003.58</v>
      </c>
      <c r="AA39" s="17">
        <v>11351507.41</v>
      </c>
      <c r="AB39" s="21">
        <v>-61230.07</v>
      </c>
      <c r="AC39" s="17">
        <v>449540.16</v>
      </c>
      <c r="AD39" s="17">
        <v>11290277.34</v>
      </c>
      <c r="AE39" s="17">
        <v>1117878.3</v>
      </c>
      <c r="AF39" s="19">
        <v>1636753.98</v>
      </c>
      <c r="AG39" s="20">
        <v>9341720.0899999999</v>
      </c>
      <c r="AH39" s="14">
        <v>106326</v>
      </c>
      <c r="AI39" s="17">
        <v>8709751.6999999993</v>
      </c>
      <c r="AJ39" s="17">
        <v>8784319.75</v>
      </c>
      <c r="AK39" s="17">
        <v>557400.34</v>
      </c>
      <c r="AL39" s="17">
        <v>1045539.71</v>
      </c>
      <c r="AM39" s="17">
        <v>9341720.0899999999</v>
      </c>
      <c r="AN39" s="17">
        <v>1203019.95</v>
      </c>
      <c r="AO39" s="19">
        <v>2068544.79</v>
      </c>
      <c r="AP39" s="20">
        <v>8450089.8800000008</v>
      </c>
      <c r="AQ39" s="14">
        <v>105597</v>
      </c>
      <c r="AR39" s="30">
        <v>7479817.3700000001</v>
      </c>
      <c r="AS39" s="31">
        <v>7479817.3700000001</v>
      </c>
      <c r="AT39" s="17">
        <v>970272.51</v>
      </c>
      <c r="AU39" s="17">
        <v>757172.06</v>
      </c>
      <c r="AV39" s="17">
        <v>8450089.8800000008</v>
      </c>
      <c r="AW39" s="17">
        <v>1878432.18</v>
      </c>
      <c r="AX39" s="19">
        <v>2579099.46</v>
      </c>
    </row>
    <row r="40" spans="1:50" x14ac:dyDescent="0.25">
      <c r="A40" s="12">
        <v>269</v>
      </c>
      <c r="B40" s="13" t="s">
        <v>48</v>
      </c>
      <c r="C40" s="14" t="s">
        <v>185</v>
      </c>
      <c r="D40" s="14" t="s">
        <v>159</v>
      </c>
      <c r="E40" s="15" t="s">
        <v>144</v>
      </c>
      <c r="F40" s="16">
        <v>35328019.270000003</v>
      </c>
      <c r="G40" s="14">
        <v>117618</v>
      </c>
      <c r="H40" s="17">
        <v>33674995.280000001</v>
      </c>
      <c r="I40" s="17">
        <v>33686820.280000001</v>
      </c>
      <c r="J40" s="17">
        <v>1641198.99</v>
      </c>
      <c r="K40" s="17">
        <v>7711145.6900000004</v>
      </c>
      <c r="L40" s="17">
        <v>35328019.270000003</v>
      </c>
      <c r="M40" s="17">
        <v>3043786.87</v>
      </c>
      <c r="N40" s="18">
        <v>0</v>
      </c>
      <c r="O40" s="16">
        <v>31113077.510000002</v>
      </c>
      <c r="P40" s="44">
        <v>117643</v>
      </c>
      <c r="Q40" s="17">
        <v>31127588.68</v>
      </c>
      <c r="R40" s="17">
        <v>31132128.68</v>
      </c>
      <c r="S40" s="21">
        <v>-19051.169999999998</v>
      </c>
      <c r="T40" s="17">
        <v>5352494.1500000004</v>
      </c>
      <c r="U40" s="17">
        <v>31113077.510000002</v>
      </c>
      <c r="V40" s="17">
        <v>2556790.6</v>
      </c>
      <c r="W40" s="18">
        <v>0</v>
      </c>
      <c r="X40" s="16">
        <v>27179888.41</v>
      </c>
      <c r="Y40" s="44">
        <v>117668</v>
      </c>
      <c r="Z40" s="17">
        <v>26859740.440000001</v>
      </c>
      <c r="AA40" s="17">
        <v>26861600.440000001</v>
      </c>
      <c r="AB40" s="17">
        <v>318287.96999999997</v>
      </c>
      <c r="AC40" s="17">
        <v>4648806.62</v>
      </c>
      <c r="AD40" s="17">
        <v>27179888.41</v>
      </c>
      <c r="AE40" s="17">
        <v>2147635.4900000002</v>
      </c>
      <c r="AF40" s="19">
        <v>0</v>
      </c>
      <c r="AG40" s="20">
        <v>25446789.379999999</v>
      </c>
      <c r="AH40" s="14">
        <v>117693</v>
      </c>
      <c r="AI40" s="17">
        <v>24176462.449999999</v>
      </c>
      <c r="AJ40" s="17">
        <v>24180560.809999999</v>
      </c>
      <c r="AK40" s="17">
        <v>1266228.57</v>
      </c>
      <c r="AL40" s="17">
        <v>3568316.99</v>
      </c>
      <c r="AM40" s="17">
        <v>25446789.379999999</v>
      </c>
      <c r="AN40" s="17">
        <v>2076950.46</v>
      </c>
      <c r="AO40" s="19">
        <v>0</v>
      </c>
      <c r="AP40" s="26"/>
      <c r="AQ40" s="14">
        <v>117600</v>
      </c>
      <c r="AR40" s="22"/>
      <c r="AS40" s="22"/>
      <c r="AT40" s="22"/>
      <c r="AU40" s="17">
        <v>2369421.02</v>
      </c>
      <c r="AV40" s="22"/>
      <c r="AW40" s="17">
        <v>1811136.28</v>
      </c>
      <c r="AX40" s="19">
        <v>0</v>
      </c>
    </row>
    <row r="41" spans="1:50" x14ac:dyDescent="0.25">
      <c r="A41" s="12">
        <v>270</v>
      </c>
      <c r="B41" s="13" t="s">
        <v>49</v>
      </c>
      <c r="C41" s="14" t="s">
        <v>186</v>
      </c>
      <c r="D41" s="14" t="s">
        <v>159</v>
      </c>
      <c r="E41" s="15" t="s">
        <v>144</v>
      </c>
      <c r="F41" s="16">
        <v>1152761.31</v>
      </c>
      <c r="G41" s="14">
        <v>573475</v>
      </c>
      <c r="H41" s="17">
        <v>1233259.6499999999</v>
      </c>
      <c r="I41" s="17">
        <v>1353072.8</v>
      </c>
      <c r="J41" s="21">
        <v>-200311.49</v>
      </c>
      <c r="K41" s="17">
        <v>159967.15</v>
      </c>
      <c r="L41" s="17">
        <v>1152761.31</v>
      </c>
      <c r="M41" s="17">
        <v>12973.63</v>
      </c>
      <c r="N41" s="18">
        <v>0</v>
      </c>
      <c r="O41" s="16">
        <v>595404.37</v>
      </c>
      <c r="P41" s="44">
        <v>579872.33333333314</v>
      </c>
      <c r="Q41" s="17">
        <v>713204.59</v>
      </c>
      <c r="R41" s="17">
        <v>945404.59</v>
      </c>
      <c r="S41" s="21">
        <v>-350000.22</v>
      </c>
      <c r="T41" s="17">
        <v>378687.58</v>
      </c>
      <c r="U41" s="17">
        <v>595404.37</v>
      </c>
      <c r="V41" s="17">
        <v>11654.05</v>
      </c>
      <c r="W41" s="18">
        <v>0</v>
      </c>
      <c r="X41" s="16">
        <v>2236761.06</v>
      </c>
      <c r="Y41" s="44">
        <v>586269.66666666686</v>
      </c>
      <c r="Z41" s="17">
        <v>353785.15</v>
      </c>
      <c r="AA41" s="17">
        <v>2570155.15</v>
      </c>
      <c r="AB41" s="21">
        <v>-333394.09000000003</v>
      </c>
      <c r="AC41" s="17">
        <v>700107.07</v>
      </c>
      <c r="AD41" s="17">
        <v>736761.06</v>
      </c>
      <c r="AE41" s="17">
        <v>15106.67</v>
      </c>
      <c r="AF41" s="19">
        <v>0</v>
      </c>
      <c r="AG41" s="20">
        <v>631195.28</v>
      </c>
      <c r="AH41" s="14">
        <v>592667</v>
      </c>
      <c r="AI41" s="17">
        <v>312721.71000000002</v>
      </c>
      <c r="AJ41" s="17">
        <v>312721.71000000002</v>
      </c>
      <c r="AK41" s="17">
        <v>318473.57</v>
      </c>
      <c r="AL41" s="17">
        <v>582950.39</v>
      </c>
      <c r="AM41" s="17">
        <v>631195.28</v>
      </c>
      <c r="AN41" s="17">
        <v>38211.230000000003</v>
      </c>
      <c r="AO41" s="19">
        <v>0</v>
      </c>
      <c r="AP41" s="20">
        <v>523111.32</v>
      </c>
      <c r="AQ41" s="14">
        <v>589505</v>
      </c>
      <c r="AR41" s="17">
        <v>275089.28999999998</v>
      </c>
      <c r="AS41" s="17">
        <v>333177.74</v>
      </c>
      <c r="AT41" s="17">
        <v>189933.58</v>
      </c>
      <c r="AU41" s="17">
        <v>241821.92</v>
      </c>
      <c r="AV41" s="17">
        <v>523111.32</v>
      </c>
      <c r="AW41" s="17">
        <v>21038.880000000001</v>
      </c>
      <c r="AX41" s="19">
        <v>0</v>
      </c>
    </row>
    <row r="42" spans="1:50" x14ac:dyDescent="0.25">
      <c r="A42" s="12">
        <v>272</v>
      </c>
      <c r="B42" s="13" t="s">
        <v>50</v>
      </c>
      <c r="C42" s="14" t="s">
        <v>187</v>
      </c>
      <c r="D42" s="14" t="s">
        <v>159</v>
      </c>
      <c r="E42" s="15" t="s">
        <v>144</v>
      </c>
      <c r="F42" s="26"/>
      <c r="G42" s="14">
        <v>106590</v>
      </c>
      <c r="H42" s="26"/>
      <c r="I42" s="26"/>
      <c r="J42" s="26"/>
      <c r="K42" s="26"/>
      <c r="L42" s="26"/>
      <c r="M42" s="26"/>
      <c r="N42" s="26"/>
      <c r="O42" s="16">
        <v>37900916.93</v>
      </c>
      <c r="P42" s="44">
        <v>106609.66666666667</v>
      </c>
      <c r="Q42" s="17">
        <v>37258230.469999999</v>
      </c>
      <c r="R42" s="17">
        <v>37334819.829999998</v>
      </c>
      <c r="S42" s="17">
        <v>566097.1</v>
      </c>
      <c r="T42" s="17">
        <v>905551.68</v>
      </c>
      <c r="U42" s="17">
        <v>37900916.93</v>
      </c>
      <c r="V42" s="17">
        <v>222182.82</v>
      </c>
      <c r="W42" s="18">
        <v>527849.26</v>
      </c>
      <c r="X42" s="16">
        <v>30103148.550000001</v>
      </c>
      <c r="Y42" s="44">
        <v>106629.33333333333</v>
      </c>
      <c r="Z42" s="17">
        <v>30233064.219999999</v>
      </c>
      <c r="AA42" s="17">
        <v>30568953.550000001</v>
      </c>
      <c r="AB42" s="21">
        <v>-465805</v>
      </c>
      <c r="AC42" s="17">
        <v>479019.72</v>
      </c>
      <c r="AD42" s="17">
        <v>30045048.550000001</v>
      </c>
      <c r="AE42" s="17">
        <v>314087.34999999998</v>
      </c>
      <c r="AF42" s="19">
        <v>618671.6</v>
      </c>
      <c r="AG42" s="20">
        <v>24009324.329999998</v>
      </c>
      <c r="AH42" s="14">
        <v>106649</v>
      </c>
      <c r="AI42" s="17">
        <v>23672002.460000001</v>
      </c>
      <c r="AJ42" s="17">
        <v>23758297.41</v>
      </c>
      <c r="AK42" s="17">
        <v>251026.92</v>
      </c>
      <c r="AL42" s="17">
        <v>801124.27</v>
      </c>
      <c r="AM42" s="17">
        <v>24009324.329999998</v>
      </c>
      <c r="AN42" s="17">
        <v>224829.77</v>
      </c>
      <c r="AO42" s="19">
        <v>675032.79</v>
      </c>
      <c r="AP42" s="26"/>
      <c r="AQ42" s="14">
        <v>105815</v>
      </c>
      <c r="AR42" s="22"/>
      <c r="AS42" s="22"/>
      <c r="AT42" s="22"/>
      <c r="AU42" s="17">
        <v>910070.98</v>
      </c>
      <c r="AV42" s="22"/>
      <c r="AW42" s="17">
        <v>472097.11</v>
      </c>
      <c r="AX42" s="19">
        <v>740876.34</v>
      </c>
    </row>
    <row r="43" spans="1:50" ht="25.5" x14ac:dyDescent="0.25">
      <c r="A43" s="12">
        <v>273</v>
      </c>
      <c r="B43" s="13" t="s">
        <v>51</v>
      </c>
      <c r="C43" s="14" t="s">
        <v>188</v>
      </c>
      <c r="D43" s="14" t="s">
        <v>159</v>
      </c>
      <c r="E43" s="15" t="s">
        <v>144</v>
      </c>
      <c r="F43" s="16">
        <v>384363298.94999999</v>
      </c>
      <c r="G43" s="14">
        <v>1643187</v>
      </c>
      <c r="H43" s="17">
        <v>389993267.63999999</v>
      </c>
      <c r="I43" s="17">
        <v>390053096.42000002</v>
      </c>
      <c r="J43" s="21">
        <v>-5689797.4699999997</v>
      </c>
      <c r="K43" s="17">
        <v>25990.79</v>
      </c>
      <c r="L43" s="17">
        <v>384363298.94999999</v>
      </c>
      <c r="M43" s="17">
        <v>15284087.720000001</v>
      </c>
      <c r="N43" s="18">
        <v>2770124.76</v>
      </c>
      <c r="O43" s="16">
        <v>318169567.05000001</v>
      </c>
      <c r="P43" s="44">
        <v>1654637.666666667</v>
      </c>
      <c r="Q43" s="17">
        <v>316729459.91000003</v>
      </c>
      <c r="R43" s="17">
        <v>316862535.31999999</v>
      </c>
      <c r="S43" s="17">
        <v>1307031.73</v>
      </c>
      <c r="T43" s="17">
        <v>199654.34</v>
      </c>
      <c r="U43" s="17">
        <v>318169567.05000001</v>
      </c>
      <c r="V43" s="17">
        <v>4922990.33</v>
      </c>
      <c r="W43" s="18">
        <v>2770124.76</v>
      </c>
      <c r="X43" s="16">
        <v>258478011.40000001</v>
      </c>
      <c r="Y43" s="44">
        <v>1666088.333333333</v>
      </c>
      <c r="Z43" s="17">
        <v>256882297.47</v>
      </c>
      <c r="AA43" s="17">
        <v>257686530.40000001</v>
      </c>
      <c r="AB43" s="17">
        <v>791481</v>
      </c>
      <c r="AC43" s="17">
        <v>216539.1</v>
      </c>
      <c r="AD43" s="17">
        <v>258478011.40000001</v>
      </c>
      <c r="AE43" s="17">
        <v>3733478.18</v>
      </c>
      <c r="AF43" s="19">
        <v>0</v>
      </c>
      <c r="AG43" s="20">
        <v>165450469.31</v>
      </c>
      <c r="AH43" s="14">
        <v>1677539</v>
      </c>
      <c r="AI43" s="17">
        <v>162609012.68000001</v>
      </c>
      <c r="AJ43" s="17">
        <v>163967833.21000001</v>
      </c>
      <c r="AK43" s="17">
        <v>1482636.1</v>
      </c>
      <c r="AL43" s="17">
        <v>20267.66</v>
      </c>
      <c r="AM43" s="17">
        <v>165450469.31</v>
      </c>
      <c r="AN43" s="17">
        <v>3461181.71</v>
      </c>
      <c r="AO43" s="19">
        <v>0</v>
      </c>
      <c r="AP43" s="20">
        <v>111255882.28</v>
      </c>
      <c r="AQ43" s="14">
        <v>1656922</v>
      </c>
      <c r="AR43" s="17">
        <v>110277971.89</v>
      </c>
      <c r="AS43" s="17">
        <v>110289739.77</v>
      </c>
      <c r="AT43" s="17">
        <v>966142.51</v>
      </c>
      <c r="AU43" s="17">
        <v>20267.66</v>
      </c>
      <c r="AV43" s="17">
        <v>111255882.28</v>
      </c>
      <c r="AW43" s="17">
        <v>3461181.71</v>
      </c>
      <c r="AX43" s="19">
        <v>0</v>
      </c>
    </row>
    <row r="44" spans="1:50" x14ac:dyDescent="0.25">
      <c r="A44" s="12">
        <v>274</v>
      </c>
      <c r="B44" s="13" t="s">
        <v>52</v>
      </c>
      <c r="C44" s="14" t="s">
        <v>189</v>
      </c>
      <c r="D44" s="14" t="s">
        <v>159</v>
      </c>
      <c r="E44" s="15" t="s">
        <v>144</v>
      </c>
      <c r="F44" s="16">
        <v>34479462.600000001</v>
      </c>
      <c r="G44" s="14">
        <v>306840</v>
      </c>
      <c r="H44" s="17">
        <f>34132161.88+186197.07</f>
        <v>34318358.950000003</v>
      </c>
      <c r="I44" s="17">
        <v>35026513.710000001</v>
      </c>
      <c r="J44" s="21">
        <v>-547051.11</v>
      </c>
      <c r="K44" s="17">
        <v>824731.67</v>
      </c>
      <c r="L44" s="17">
        <v>34144403.280000001</v>
      </c>
      <c r="M44" s="17">
        <v>1831197.88</v>
      </c>
      <c r="N44" s="18">
        <v>440839.47</v>
      </c>
      <c r="O44" s="16">
        <v>51378656.020000003</v>
      </c>
      <c r="P44" s="44">
        <v>310459.99999999994</v>
      </c>
      <c r="Q44" s="17">
        <f>49846637.19+623588.26</f>
        <v>50470225.449999996</v>
      </c>
      <c r="R44" s="17">
        <v>50553207.130000003</v>
      </c>
      <c r="S44" s="17">
        <v>825448.89</v>
      </c>
      <c r="T44" s="17">
        <v>1760081.45</v>
      </c>
      <c r="U44" s="17">
        <v>51277156.020000003</v>
      </c>
      <c r="V44" s="17">
        <v>1229870.26</v>
      </c>
      <c r="W44" s="18">
        <v>485961.01</v>
      </c>
      <c r="X44" s="25"/>
      <c r="Y44" s="44">
        <v>314080.00000000006</v>
      </c>
      <c r="Z44" s="22"/>
      <c r="AA44" s="22"/>
      <c r="AB44" s="22"/>
      <c r="AC44" s="17">
        <v>311123.12</v>
      </c>
      <c r="AD44" s="22"/>
      <c r="AE44" s="17">
        <v>1668366.47</v>
      </c>
      <c r="AF44" s="19">
        <v>198392.69</v>
      </c>
      <c r="AG44" s="20">
        <v>31000473.120000001</v>
      </c>
      <c r="AH44" s="14">
        <v>317700</v>
      </c>
      <c r="AI44" s="17">
        <f>28127227.51+3006456.45</f>
        <v>31133683.960000001</v>
      </c>
      <c r="AJ44" s="17">
        <v>31181983.960000001</v>
      </c>
      <c r="AK44" s="21">
        <v>-181510.84</v>
      </c>
      <c r="AL44" s="17">
        <v>797025.84</v>
      </c>
      <c r="AM44" s="17">
        <v>31000473.120000001</v>
      </c>
      <c r="AN44" s="17">
        <v>2699060.97</v>
      </c>
      <c r="AO44" s="19">
        <v>0</v>
      </c>
      <c r="AP44" s="20">
        <v>26027124.809999999</v>
      </c>
      <c r="AQ44" s="14">
        <v>316157</v>
      </c>
      <c r="AR44" s="17">
        <f>19580443.93+5739192.89</f>
        <v>25319636.82</v>
      </c>
      <c r="AS44" s="17">
        <v>25424071.920000002</v>
      </c>
      <c r="AT44" s="17">
        <v>603052.89</v>
      </c>
      <c r="AU44" s="17">
        <v>978536.68</v>
      </c>
      <c r="AV44" s="17">
        <v>25902724.809999999</v>
      </c>
      <c r="AW44" s="17">
        <v>462948.51</v>
      </c>
      <c r="AX44" s="19">
        <v>67932.639999999999</v>
      </c>
    </row>
    <row r="45" spans="1:50" x14ac:dyDescent="0.25">
      <c r="A45" s="12">
        <v>275</v>
      </c>
      <c r="B45" s="13" t="s">
        <v>53</v>
      </c>
      <c r="C45" s="14" t="s">
        <v>190</v>
      </c>
      <c r="D45" s="14" t="s">
        <v>159</v>
      </c>
      <c r="E45" s="15" t="s">
        <v>144</v>
      </c>
      <c r="F45" s="25"/>
      <c r="G45" s="14">
        <v>360324</v>
      </c>
      <c r="H45" s="26"/>
      <c r="I45" s="26"/>
      <c r="J45" s="26"/>
      <c r="K45" s="26"/>
      <c r="L45" s="26"/>
      <c r="M45" s="26"/>
      <c r="N45" s="26"/>
      <c r="O45" s="16">
        <v>9889475.5099999998</v>
      </c>
      <c r="P45" s="44">
        <v>358981.33333333331</v>
      </c>
      <c r="Q45" s="17">
        <v>5643417.1699999999</v>
      </c>
      <c r="R45" s="17">
        <v>8339376.5700000003</v>
      </c>
      <c r="S45" s="17">
        <v>1550098.94</v>
      </c>
      <c r="T45" s="26"/>
      <c r="U45" s="17">
        <v>9889475.5099999998</v>
      </c>
      <c r="V45" s="26"/>
      <c r="W45" s="32"/>
      <c r="X45" s="16">
        <v>6748113.0899999999</v>
      </c>
      <c r="Y45" s="44">
        <v>357638.66666666669</v>
      </c>
      <c r="Z45" s="17">
        <v>4654090.54</v>
      </c>
      <c r="AA45" s="17">
        <v>5209885.63</v>
      </c>
      <c r="AB45" s="17">
        <v>1538227.46</v>
      </c>
      <c r="AC45" s="26"/>
      <c r="AD45" s="17">
        <v>6748113.0899999999</v>
      </c>
      <c r="AE45" s="26"/>
      <c r="AF45" s="33"/>
      <c r="AG45" s="20">
        <v>2934524.22</v>
      </c>
      <c r="AH45" s="14">
        <v>356296</v>
      </c>
      <c r="AI45" s="17">
        <v>2815552.84</v>
      </c>
      <c r="AJ45" s="17">
        <v>2827494.35</v>
      </c>
      <c r="AK45" s="17">
        <v>107029.87</v>
      </c>
      <c r="AL45" s="26"/>
      <c r="AM45" s="17">
        <v>2934524.22</v>
      </c>
      <c r="AN45" s="26"/>
      <c r="AO45" s="33"/>
      <c r="AP45" s="20">
        <v>2537805.58</v>
      </c>
      <c r="AQ45" s="14">
        <v>354266</v>
      </c>
      <c r="AR45" s="17">
        <v>2501573.87</v>
      </c>
      <c r="AS45" s="16">
        <v>2501573.87</v>
      </c>
      <c r="AT45" s="17">
        <v>36231.71</v>
      </c>
      <c r="AU45" s="17">
        <v>321014.73</v>
      </c>
      <c r="AV45" s="17">
        <v>2537805.58</v>
      </c>
      <c r="AW45" s="17">
        <v>64626.8</v>
      </c>
      <c r="AX45" s="19">
        <v>0</v>
      </c>
    </row>
    <row r="46" spans="1:50" ht="25.5" x14ac:dyDescent="0.25">
      <c r="A46" s="12">
        <v>276</v>
      </c>
      <c r="B46" s="13" t="s">
        <v>54</v>
      </c>
      <c r="C46" s="14" t="s">
        <v>191</v>
      </c>
      <c r="D46" s="14" t="s">
        <v>159</v>
      </c>
      <c r="E46" s="15" t="s">
        <v>144</v>
      </c>
      <c r="F46" s="26"/>
      <c r="G46" s="14">
        <v>254874</v>
      </c>
      <c r="H46" s="26"/>
      <c r="I46" s="26"/>
      <c r="J46" s="26"/>
      <c r="K46" s="17">
        <v>406535.21</v>
      </c>
      <c r="L46" s="26"/>
      <c r="M46" s="17">
        <v>2382.6</v>
      </c>
      <c r="N46" s="18">
        <v>0</v>
      </c>
      <c r="O46" s="26"/>
      <c r="P46" s="44">
        <v>255452</v>
      </c>
      <c r="Q46" s="26"/>
      <c r="R46" s="26"/>
      <c r="S46" s="26"/>
      <c r="T46" s="17">
        <v>260318.04</v>
      </c>
      <c r="U46" s="26"/>
      <c r="V46" s="17">
        <v>1230.45</v>
      </c>
      <c r="W46" s="18">
        <v>0</v>
      </c>
      <c r="X46" s="26"/>
      <c r="Y46" s="44">
        <v>256030</v>
      </c>
      <c r="Z46" s="26"/>
      <c r="AA46" s="26"/>
      <c r="AB46" s="26"/>
      <c r="AC46" s="17">
        <v>260318.04</v>
      </c>
      <c r="AD46" s="26"/>
      <c r="AE46" s="17">
        <v>1230.45</v>
      </c>
      <c r="AF46" s="19">
        <v>0</v>
      </c>
      <c r="AG46" s="20">
        <v>187830.58</v>
      </c>
      <c r="AH46" s="14">
        <v>256608</v>
      </c>
      <c r="AI46" s="17">
        <v>136813.09</v>
      </c>
      <c r="AJ46" s="17">
        <v>136813.09</v>
      </c>
      <c r="AK46" s="17">
        <v>51017.49</v>
      </c>
      <c r="AL46" s="17">
        <v>104787.04</v>
      </c>
      <c r="AM46" s="17">
        <v>182798.88</v>
      </c>
      <c r="AN46" s="17">
        <v>0</v>
      </c>
      <c r="AO46" s="19">
        <v>0</v>
      </c>
      <c r="AP46" s="26"/>
      <c r="AQ46" s="14">
        <v>256247</v>
      </c>
      <c r="AR46" s="26"/>
      <c r="AS46" s="26"/>
      <c r="AT46" s="26"/>
      <c r="AU46" s="26"/>
      <c r="AV46" s="26"/>
      <c r="AW46" s="26"/>
      <c r="AX46" s="26"/>
    </row>
    <row r="47" spans="1:50" x14ac:dyDescent="0.25">
      <c r="A47" s="12">
        <v>277</v>
      </c>
      <c r="B47" s="13" t="s">
        <v>55</v>
      </c>
      <c r="C47" s="14" t="s">
        <v>192</v>
      </c>
      <c r="D47" s="14" t="s">
        <v>159</v>
      </c>
      <c r="E47" s="15" t="s">
        <v>144</v>
      </c>
      <c r="F47" s="16">
        <v>7406250.9199999999</v>
      </c>
      <c r="G47" s="14">
        <v>936049</v>
      </c>
      <c r="H47" s="17">
        <v>6813854.7699999996</v>
      </c>
      <c r="I47" s="17">
        <v>7053395.2599999998</v>
      </c>
      <c r="J47" s="17">
        <v>352855.66</v>
      </c>
      <c r="K47" s="17">
        <v>1487145.96</v>
      </c>
      <c r="L47" s="17">
        <v>7406250.9199999999</v>
      </c>
      <c r="M47" s="17">
        <v>108325.64</v>
      </c>
      <c r="N47" s="18">
        <v>0</v>
      </c>
      <c r="O47" s="16">
        <v>5925168.8399999999</v>
      </c>
      <c r="P47" s="44">
        <v>929133</v>
      </c>
      <c r="Q47" s="17">
        <v>5572552.8899999997</v>
      </c>
      <c r="R47" s="17">
        <v>5669712.7199999997</v>
      </c>
      <c r="S47" s="17">
        <v>255456.12</v>
      </c>
      <c r="T47" s="17">
        <v>1443238.92</v>
      </c>
      <c r="U47" s="17">
        <v>5925168.8399999999</v>
      </c>
      <c r="V47" s="17">
        <v>424806.39</v>
      </c>
      <c r="W47" s="18">
        <v>0</v>
      </c>
      <c r="X47" s="16">
        <v>8253555.1399999997</v>
      </c>
      <c r="Y47" s="44">
        <v>922217</v>
      </c>
      <c r="Z47" s="17">
        <v>4680508.97</v>
      </c>
      <c r="AA47" s="17">
        <v>7913758.9699999997</v>
      </c>
      <c r="AB47" s="17">
        <v>339796.17</v>
      </c>
      <c r="AC47" s="17">
        <v>1153766.8700000001</v>
      </c>
      <c r="AD47" s="17">
        <v>5021055.1399999997</v>
      </c>
      <c r="AE47" s="17">
        <v>384294.26</v>
      </c>
      <c r="AF47" s="19">
        <v>0</v>
      </c>
      <c r="AG47" s="20">
        <v>2873447.66</v>
      </c>
      <c r="AH47" s="14">
        <v>915301</v>
      </c>
      <c r="AI47" s="17">
        <v>2974029.02</v>
      </c>
      <c r="AJ47" s="17">
        <v>3499929.02</v>
      </c>
      <c r="AK47" s="21">
        <v>-626481.36</v>
      </c>
      <c r="AL47" s="17">
        <v>708844.85</v>
      </c>
      <c r="AM47" s="17">
        <v>2803947.66</v>
      </c>
      <c r="AN47" s="17">
        <v>289223.48</v>
      </c>
      <c r="AO47" s="19">
        <v>0</v>
      </c>
      <c r="AP47" s="20">
        <v>2545368.4300000002</v>
      </c>
      <c r="AQ47" s="14">
        <v>906034</v>
      </c>
      <c r="AR47" s="17">
        <v>2394581.31</v>
      </c>
      <c r="AS47" s="17">
        <v>2396650.41</v>
      </c>
      <c r="AT47" s="17">
        <v>148718.01999999999</v>
      </c>
      <c r="AU47" s="17">
        <v>1079930.45</v>
      </c>
      <c r="AV47" s="17">
        <v>2545368.4300000002</v>
      </c>
      <c r="AW47" s="17">
        <v>38714</v>
      </c>
      <c r="AX47" s="19">
        <v>0</v>
      </c>
    </row>
    <row r="48" spans="1:50" x14ac:dyDescent="0.25">
      <c r="A48" s="12">
        <v>278</v>
      </c>
      <c r="B48" s="13" t="s">
        <v>56</v>
      </c>
      <c r="C48" s="14" t="s">
        <v>193</v>
      </c>
      <c r="D48" s="14" t="s">
        <v>159</v>
      </c>
      <c r="E48" s="15" t="s">
        <v>144</v>
      </c>
      <c r="F48" s="16">
        <v>12087659.5</v>
      </c>
      <c r="G48" s="14">
        <v>3043922</v>
      </c>
      <c r="H48" s="17">
        <v>12269206.449999999</v>
      </c>
      <c r="I48" s="17">
        <v>12269206.449999999</v>
      </c>
      <c r="J48" s="21">
        <v>-181546.95</v>
      </c>
      <c r="K48" s="17">
        <v>1740153.33</v>
      </c>
      <c r="L48" s="17">
        <v>12087659.5</v>
      </c>
      <c r="M48" s="17">
        <v>13563.66</v>
      </c>
      <c r="N48" s="18">
        <v>0</v>
      </c>
      <c r="O48" s="16">
        <v>10667110.16</v>
      </c>
      <c r="P48" s="44">
        <v>3065162.0000000005</v>
      </c>
      <c r="Q48" s="17">
        <v>9579052.9900000002</v>
      </c>
      <c r="R48" s="17">
        <v>9697010.9900000002</v>
      </c>
      <c r="S48" s="17">
        <v>970099.17</v>
      </c>
      <c r="T48" s="17">
        <v>1467226.64</v>
      </c>
      <c r="U48" s="17">
        <v>10667110.16</v>
      </c>
      <c r="V48" s="17">
        <v>19923.919999999998</v>
      </c>
      <c r="W48" s="18">
        <v>0</v>
      </c>
      <c r="X48" s="16">
        <v>9341159.2699999996</v>
      </c>
      <c r="Y48" s="44">
        <v>3086401.9999999995</v>
      </c>
      <c r="Z48" s="17">
        <v>6485425.7599999998</v>
      </c>
      <c r="AA48" s="17">
        <v>9742112.7599999998</v>
      </c>
      <c r="AB48" s="21">
        <v>-400953.49</v>
      </c>
      <c r="AC48" s="17">
        <v>794656.55</v>
      </c>
      <c r="AD48" s="17">
        <v>6108659.2699999996</v>
      </c>
      <c r="AE48" s="17">
        <v>16611.28</v>
      </c>
      <c r="AF48" s="19">
        <v>0</v>
      </c>
      <c r="AG48" s="20">
        <v>6413566.4699999997</v>
      </c>
      <c r="AH48" s="14">
        <v>3107642</v>
      </c>
      <c r="AI48" s="17">
        <v>6833947.4800000004</v>
      </c>
      <c r="AJ48" s="17">
        <v>6980052.5700000003</v>
      </c>
      <c r="AK48" s="21">
        <v>-566486.1</v>
      </c>
      <c r="AL48" s="17">
        <v>1437019.85</v>
      </c>
      <c r="AM48" s="17">
        <v>6413566.4699999997</v>
      </c>
      <c r="AN48" s="17">
        <v>114974.11</v>
      </c>
      <c r="AO48" s="19">
        <v>0</v>
      </c>
      <c r="AP48" s="20">
        <v>5347857.1100000003</v>
      </c>
      <c r="AQ48" s="14">
        <v>3077629</v>
      </c>
      <c r="AR48" s="17">
        <v>5439628.04</v>
      </c>
      <c r="AS48" s="17">
        <v>5475785.9400000004</v>
      </c>
      <c r="AT48" s="21">
        <v>-127928.83</v>
      </c>
      <c r="AU48" s="17">
        <v>1246448.04</v>
      </c>
      <c r="AV48" s="17">
        <v>5347857.1100000003</v>
      </c>
      <c r="AW48" s="17">
        <v>103508.97</v>
      </c>
      <c r="AX48" s="19">
        <v>0</v>
      </c>
    </row>
    <row r="49" spans="1:50" x14ac:dyDescent="0.25">
      <c r="A49" s="12">
        <v>279</v>
      </c>
      <c r="B49" s="13" t="s">
        <v>57</v>
      </c>
      <c r="C49" s="14" t="s">
        <v>194</v>
      </c>
      <c r="D49" s="14" t="s">
        <v>159</v>
      </c>
      <c r="E49" s="15" t="s">
        <v>144</v>
      </c>
      <c r="F49" s="16">
        <v>9297471.1799999997</v>
      </c>
      <c r="G49" s="14">
        <v>2789011</v>
      </c>
      <c r="H49" s="17">
        <v>10303429.41</v>
      </c>
      <c r="I49" s="17">
        <v>10412429.41</v>
      </c>
      <c r="J49" s="21">
        <v>-1114958.23</v>
      </c>
      <c r="K49" s="17">
        <v>4758888.49</v>
      </c>
      <c r="L49" s="17">
        <v>8971446.3900000006</v>
      </c>
      <c r="M49" s="17">
        <v>654325.47</v>
      </c>
      <c r="N49" s="18">
        <v>0</v>
      </c>
      <c r="O49" s="16">
        <v>10576189.41</v>
      </c>
      <c r="P49" s="44">
        <v>2801023.333333333</v>
      </c>
      <c r="Q49" s="17">
        <v>8420922.5700000003</v>
      </c>
      <c r="R49" s="17">
        <v>8455607.5899999999</v>
      </c>
      <c r="S49" s="17">
        <v>2120581.8199999998</v>
      </c>
      <c r="T49" s="17">
        <v>6012805.3499999996</v>
      </c>
      <c r="U49" s="17">
        <v>10381855.91</v>
      </c>
      <c r="V49" s="17">
        <v>719435.24</v>
      </c>
      <c r="W49" s="18">
        <v>0</v>
      </c>
      <c r="X49" s="16">
        <v>12852058.42</v>
      </c>
      <c r="Y49" s="44">
        <v>2813035.6666666665</v>
      </c>
      <c r="Z49" s="17">
        <v>8501530.6899999995</v>
      </c>
      <c r="AA49" s="17">
        <v>11799386.83</v>
      </c>
      <c r="AB49" s="17">
        <v>1052671.5900000001</v>
      </c>
      <c r="AC49" s="17">
        <v>3553440.37</v>
      </c>
      <c r="AD49" s="17">
        <v>9448596.1199999992</v>
      </c>
      <c r="AE49" s="17">
        <v>1314258.6399999999</v>
      </c>
      <c r="AF49" s="19">
        <v>0</v>
      </c>
      <c r="AG49" s="20">
        <v>9516420.1799999997</v>
      </c>
      <c r="AH49" s="14">
        <v>2825048</v>
      </c>
      <c r="AI49" s="17">
        <v>9037624.0800000001</v>
      </c>
      <c r="AJ49" s="17">
        <v>9270479.0199999996</v>
      </c>
      <c r="AK49" s="17">
        <v>245941.16</v>
      </c>
      <c r="AL49" s="17">
        <v>1998488.73</v>
      </c>
      <c r="AM49" s="17">
        <v>9316547.9800000004</v>
      </c>
      <c r="AN49" s="17">
        <v>956402.83</v>
      </c>
      <c r="AO49" s="19">
        <v>0</v>
      </c>
      <c r="AP49" s="20">
        <v>15946522.99</v>
      </c>
      <c r="AQ49" s="14">
        <v>2807712</v>
      </c>
      <c r="AR49" s="17">
        <v>20768299.300000001</v>
      </c>
      <c r="AS49" s="17">
        <v>20769184.300000001</v>
      </c>
      <c r="AT49" s="21">
        <v>-4822661.3099999996</v>
      </c>
      <c r="AU49" s="17">
        <v>3117020.41</v>
      </c>
      <c r="AV49" s="17">
        <v>15856912.710000001</v>
      </c>
      <c r="AW49" s="17">
        <v>2034703.99</v>
      </c>
      <c r="AX49" s="19">
        <v>0</v>
      </c>
    </row>
    <row r="50" spans="1:50" ht="25.5" x14ac:dyDescent="0.25">
      <c r="A50" s="12">
        <v>281</v>
      </c>
      <c r="B50" s="13" t="s">
        <v>58</v>
      </c>
      <c r="C50" s="14" t="s">
        <v>195</v>
      </c>
      <c r="D50" s="14" t="s">
        <v>159</v>
      </c>
      <c r="E50" s="15" t="s">
        <v>144</v>
      </c>
      <c r="F50" s="16">
        <v>1346118.94</v>
      </c>
      <c r="G50" s="14">
        <v>1159902</v>
      </c>
      <c r="H50" s="17">
        <v>1086435.6499999999</v>
      </c>
      <c r="I50" s="17">
        <v>1086435.6499999999</v>
      </c>
      <c r="J50" s="17">
        <v>259683.29</v>
      </c>
      <c r="K50" s="17">
        <v>528050.93000000005</v>
      </c>
      <c r="L50" s="17">
        <v>1346118.94</v>
      </c>
      <c r="M50" s="17">
        <v>80376.42</v>
      </c>
      <c r="N50" s="18">
        <v>0</v>
      </c>
      <c r="O50" s="16">
        <v>3805107.7</v>
      </c>
      <c r="P50" s="44">
        <v>1168913.3333333333</v>
      </c>
      <c r="Q50" s="17">
        <v>844541.4</v>
      </c>
      <c r="R50" s="17">
        <v>3634591.4</v>
      </c>
      <c r="S50" s="17">
        <v>170516.3</v>
      </c>
      <c r="T50" s="17">
        <v>296766.44</v>
      </c>
      <c r="U50" s="17">
        <v>1015057.7</v>
      </c>
      <c r="V50" s="17">
        <v>108775.22</v>
      </c>
      <c r="W50" s="18">
        <v>0</v>
      </c>
      <c r="X50" s="16">
        <v>1700737.01</v>
      </c>
      <c r="Y50" s="44">
        <v>1177924.6666666667</v>
      </c>
      <c r="Z50" s="17">
        <v>662553.37</v>
      </c>
      <c r="AA50" s="17">
        <v>1729603.02</v>
      </c>
      <c r="AB50" s="21">
        <v>-28866.01</v>
      </c>
      <c r="AC50" s="17">
        <v>238170.47</v>
      </c>
      <c r="AD50" s="17">
        <v>637787.01</v>
      </c>
      <c r="AE50" s="17">
        <v>103248.15</v>
      </c>
      <c r="AF50" s="19">
        <v>27983.32</v>
      </c>
      <c r="AG50" s="20">
        <v>1000924.4</v>
      </c>
      <c r="AH50" s="14">
        <v>1186936</v>
      </c>
      <c r="AI50" s="17">
        <v>511152.73</v>
      </c>
      <c r="AJ50" s="17">
        <v>841152.73</v>
      </c>
      <c r="AK50" s="17">
        <v>159771.67000000001</v>
      </c>
      <c r="AL50" s="17">
        <v>392281.28</v>
      </c>
      <c r="AM50" s="17">
        <v>670924.4</v>
      </c>
      <c r="AN50" s="17">
        <v>83442.95</v>
      </c>
      <c r="AO50" s="19">
        <v>27983.32</v>
      </c>
      <c r="AP50" s="20">
        <v>377200</v>
      </c>
      <c r="AQ50" s="14">
        <v>1172450</v>
      </c>
      <c r="AR50" s="17">
        <v>409548.09</v>
      </c>
      <c r="AS50" s="17">
        <v>411437.74</v>
      </c>
      <c r="AT50" s="21">
        <v>-34237.74</v>
      </c>
      <c r="AU50" s="17">
        <v>117.41</v>
      </c>
      <c r="AV50" s="17">
        <v>377200</v>
      </c>
      <c r="AW50" s="17">
        <v>83919.47</v>
      </c>
      <c r="AX50" s="19">
        <v>27983.32</v>
      </c>
    </row>
    <row r="51" spans="1:50" x14ac:dyDescent="0.25">
      <c r="A51" s="12">
        <v>311</v>
      </c>
      <c r="B51" s="13" t="s">
        <v>59</v>
      </c>
      <c r="C51" s="14" t="s">
        <v>196</v>
      </c>
      <c r="D51" s="14" t="s">
        <v>159</v>
      </c>
      <c r="E51" s="15" t="s">
        <v>144</v>
      </c>
      <c r="F51" s="16">
        <v>16992524.989999998</v>
      </c>
      <c r="G51" s="14">
        <v>143774</v>
      </c>
      <c r="H51" s="17">
        <v>17018285.379999999</v>
      </c>
      <c r="I51" s="17">
        <v>17113435.379999999</v>
      </c>
      <c r="J51" s="21">
        <v>-120910.39</v>
      </c>
      <c r="K51" s="17">
        <v>962833.09</v>
      </c>
      <c r="L51" s="17">
        <v>16992524.989999998</v>
      </c>
      <c r="M51" s="17">
        <v>1144.22</v>
      </c>
      <c r="N51" s="18">
        <v>0</v>
      </c>
      <c r="O51" s="16">
        <v>15143320.220000001</v>
      </c>
      <c r="P51" s="44">
        <v>141412.33333333331</v>
      </c>
      <c r="Q51" s="17">
        <v>15191301.76</v>
      </c>
      <c r="R51" s="17">
        <v>15196575.76</v>
      </c>
      <c r="S51" s="21">
        <v>-53255.54</v>
      </c>
      <c r="T51" s="17">
        <v>1083133.56</v>
      </c>
      <c r="U51" s="17">
        <v>15143320.220000001</v>
      </c>
      <c r="V51" s="17">
        <v>0</v>
      </c>
      <c r="W51" s="18">
        <v>0</v>
      </c>
      <c r="X51" s="16">
        <v>10349458.01</v>
      </c>
      <c r="Y51" s="44">
        <v>139050.66666666669</v>
      </c>
      <c r="Z51" s="17">
        <v>10072760.18</v>
      </c>
      <c r="AA51" s="17">
        <v>10075670.18</v>
      </c>
      <c r="AB51" s="17">
        <v>273787.83</v>
      </c>
      <c r="AC51" s="17">
        <v>1136389.1000000001</v>
      </c>
      <c r="AD51" s="17">
        <v>10349458.01</v>
      </c>
      <c r="AE51" s="17">
        <v>0</v>
      </c>
      <c r="AF51" s="19">
        <v>0</v>
      </c>
      <c r="AG51" s="20">
        <v>9240625.2899999991</v>
      </c>
      <c r="AH51" s="14">
        <v>136689</v>
      </c>
      <c r="AI51" s="17">
        <v>8723563.7799999993</v>
      </c>
      <c r="AJ51" s="17">
        <v>8723563.7799999993</v>
      </c>
      <c r="AK51" s="17">
        <v>517061.51</v>
      </c>
      <c r="AL51" s="17">
        <v>863398.44</v>
      </c>
      <c r="AM51" s="17">
        <v>9240625.2899999991</v>
      </c>
      <c r="AN51" s="17">
        <v>797.17</v>
      </c>
      <c r="AO51" s="19">
        <v>0</v>
      </c>
      <c r="AP51" s="20">
        <v>8255681.3700000001</v>
      </c>
      <c r="AQ51" s="14">
        <v>136117</v>
      </c>
      <c r="AR51" s="17">
        <v>8701475.0299999993</v>
      </c>
      <c r="AS51" s="17">
        <v>8702855.0299999993</v>
      </c>
      <c r="AT51" s="21">
        <v>-447173.66</v>
      </c>
      <c r="AU51" s="17">
        <v>345715.38</v>
      </c>
      <c r="AV51" s="17">
        <v>8255681.3700000001</v>
      </c>
      <c r="AW51" s="17">
        <v>793.6</v>
      </c>
      <c r="AX51" s="19">
        <v>0</v>
      </c>
    </row>
    <row r="52" spans="1:50" ht="25.5" x14ac:dyDescent="0.25">
      <c r="A52" s="12">
        <v>312</v>
      </c>
      <c r="B52" s="13" t="s">
        <v>60</v>
      </c>
      <c r="C52" s="14" t="s">
        <v>197</v>
      </c>
      <c r="D52" s="14" t="s">
        <v>159</v>
      </c>
      <c r="E52" s="15" t="s">
        <v>144</v>
      </c>
      <c r="F52" s="16">
        <v>6271959.1299999999</v>
      </c>
      <c r="G52" s="14">
        <v>565733</v>
      </c>
      <c r="H52" s="17">
        <v>888692.34</v>
      </c>
      <c r="I52" s="17">
        <v>5171133.38</v>
      </c>
      <c r="J52" s="17">
        <v>1100825.75</v>
      </c>
      <c r="K52" s="17">
        <v>2371434.17</v>
      </c>
      <c r="L52" s="17">
        <v>1348937.07</v>
      </c>
      <c r="M52" s="17">
        <v>62928.94</v>
      </c>
      <c r="N52" s="18">
        <v>0</v>
      </c>
      <c r="O52" s="16">
        <v>12435144.869999999</v>
      </c>
      <c r="P52" s="44">
        <v>566338.33333333314</v>
      </c>
      <c r="Q52" s="17">
        <v>678211.2</v>
      </c>
      <c r="R52" s="17">
        <v>12441365.720000001</v>
      </c>
      <c r="S52" s="21">
        <v>-6220.85</v>
      </c>
      <c r="T52" s="17">
        <v>3799502.88</v>
      </c>
      <c r="U52" s="17">
        <v>2224383.12</v>
      </c>
      <c r="V52" s="17">
        <v>23466.95</v>
      </c>
      <c r="W52" s="18">
        <v>0</v>
      </c>
      <c r="X52" s="16">
        <v>1241858.1100000001</v>
      </c>
      <c r="Y52" s="44">
        <v>566943.66666666686</v>
      </c>
      <c r="Z52" s="17">
        <v>582681.15</v>
      </c>
      <c r="AA52" s="17">
        <v>1121961.1499999999</v>
      </c>
      <c r="AB52" s="17">
        <v>119896.96000000001</v>
      </c>
      <c r="AC52" s="17">
        <v>324501.61</v>
      </c>
      <c r="AD52" s="17">
        <v>704358.11</v>
      </c>
      <c r="AE52" s="17">
        <v>38080.79</v>
      </c>
      <c r="AF52" s="19">
        <v>0</v>
      </c>
      <c r="AG52" s="26"/>
      <c r="AH52" s="14">
        <v>567549</v>
      </c>
      <c r="AI52" s="26"/>
      <c r="AJ52" s="26"/>
      <c r="AK52" s="26"/>
      <c r="AL52" s="17">
        <v>203917.51</v>
      </c>
      <c r="AM52" s="26"/>
      <c r="AN52" s="17">
        <v>38080.79</v>
      </c>
      <c r="AO52" s="19">
        <v>0</v>
      </c>
      <c r="AP52" s="20">
        <v>5399824.5800000001</v>
      </c>
      <c r="AQ52" s="14">
        <v>564561</v>
      </c>
      <c r="AR52" s="17">
        <v>407236.85</v>
      </c>
      <c r="AS52" s="17">
        <v>13327253.5</v>
      </c>
      <c r="AT52" s="21">
        <v>-7927428.9199999999</v>
      </c>
      <c r="AU52" s="17">
        <v>3199643.11</v>
      </c>
      <c r="AV52" s="17">
        <v>411699.24</v>
      </c>
      <c r="AW52" s="17">
        <v>923023.71</v>
      </c>
      <c r="AX52" s="19"/>
    </row>
    <row r="53" spans="1:50" x14ac:dyDescent="0.25">
      <c r="A53" s="12">
        <v>313</v>
      </c>
      <c r="B53" s="13" t="s">
        <v>61</v>
      </c>
      <c r="C53" s="14" t="s">
        <v>198</v>
      </c>
      <c r="D53" s="14" t="s">
        <v>159</v>
      </c>
      <c r="E53" s="15" t="s">
        <v>144</v>
      </c>
      <c r="F53" s="16">
        <v>2565047.5699999998</v>
      </c>
      <c r="G53" s="14">
        <v>818697</v>
      </c>
      <c r="H53" s="17">
        <v>2263704.62</v>
      </c>
      <c r="I53" s="17">
        <v>2263704.62</v>
      </c>
      <c r="J53" s="17">
        <v>301342.95</v>
      </c>
      <c r="K53" s="17">
        <v>573328.80000000005</v>
      </c>
      <c r="L53" s="17">
        <v>2565047.5699999998</v>
      </c>
      <c r="M53" s="17">
        <v>6837.24</v>
      </c>
      <c r="N53" s="18">
        <v>0</v>
      </c>
      <c r="O53" s="16">
        <v>4672750.58</v>
      </c>
      <c r="P53" s="44">
        <v>820337</v>
      </c>
      <c r="Q53" s="17">
        <v>1163345.57</v>
      </c>
      <c r="R53" s="17">
        <v>4407715.6900000004</v>
      </c>
      <c r="S53" s="17">
        <v>265034.89</v>
      </c>
      <c r="T53" s="17">
        <v>267059.59000000003</v>
      </c>
      <c r="U53" s="17">
        <v>1440250.58</v>
      </c>
      <c r="V53" s="17">
        <v>37796.519999999997</v>
      </c>
      <c r="W53" s="18">
        <v>0</v>
      </c>
      <c r="X53" s="16">
        <v>294979.67</v>
      </c>
      <c r="Y53" s="44">
        <v>821977</v>
      </c>
      <c r="Z53" s="17">
        <v>288609.21999999997</v>
      </c>
      <c r="AA53" s="17">
        <v>288609.21999999997</v>
      </c>
      <c r="AB53" s="17">
        <v>6370.45</v>
      </c>
      <c r="AC53" s="17">
        <v>22739.62</v>
      </c>
      <c r="AD53" s="17">
        <v>294979.67</v>
      </c>
      <c r="AE53" s="17">
        <v>19866.349999999999</v>
      </c>
      <c r="AF53" s="19">
        <v>0</v>
      </c>
      <c r="AG53" s="20">
        <v>0</v>
      </c>
      <c r="AH53" s="14">
        <v>823617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9">
        <v>0</v>
      </c>
      <c r="AP53" s="20">
        <v>0</v>
      </c>
      <c r="AQ53" s="14">
        <v>816698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9">
        <v>0</v>
      </c>
    </row>
    <row r="54" spans="1:50" x14ac:dyDescent="0.25">
      <c r="A54" s="12">
        <v>314</v>
      </c>
      <c r="B54" s="13" t="s">
        <v>62</v>
      </c>
      <c r="C54" s="14" t="s">
        <v>199</v>
      </c>
      <c r="D54" s="14" t="s">
        <v>159</v>
      </c>
      <c r="E54" s="15" t="s">
        <v>144</v>
      </c>
      <c r="F54" s="16">
        <v>2354761.9300000002</v>
      </c>
      <c r="G54" s="14">
        <v>94964</v>
      </c>
      <c r="H54" s="17">
        <v>2339187.21</v>
      </c>
      <c r="I54" s="17">
        <v>2339187.21</v>
      </c>
      <c r="J54" s="17">
        <v>15574.72</v>
      </c>
      <c r="K54" s="17">
        <v>1043720.45</v>
      </c>
      <c r="L54" s="17">
        <v>2354761.9300000002</v>
      </c>
      <c r="M54" s="17">
        <v>1612.92</v>
      </c>
      <c r="N54" s="18">
        <v>0</v>
      </c>
      <c r="O54" s="16">
        <v>2763340.78</v>
      </c>
      <c r="P54" s="44">
        <v>93305.666666666672</v>
      </c>
      <c r="Q54" s="17">
        <v>2236434.96</v>
      </c>
      <c r="R54" s="17">
        <v>2236434.96</v>
      </c>
      <c r="S54" s="17">
        <v>526905.81999999995</v>
      </c>
      <c r="T54" s="17">
        <v>1176990.29</v>
      </c>
      <c r="U54" s="17">
        <v>2763340.78</v>
      </c>
      <c r="V54" s="17">
        <v>610.11</v>
      </c>
      <c r="W54" s="18">
        <v>0</v>
      </c>
      <c r="X54" s="16">
        <v>2045514.34</v>
      </c>
      <c r="Y54" s="44">
        <v>91647.333333333328</v>
      </c>
      <c r="Z54" s="17">
        <v>2443710.9</v>
      </c>
      <c r="AA54" s="17">
        <v>2443710.9</v>
      </c>
      <c r="AB54" s="21">
        <f>X54-AA54</f>
        <v>-398196.55999999982</v>
      </c>
      <c r="AC54" s="17">
        <v>692751.66</v>
      </c>
      <c r="AD54" s="17">
        <v>2045514.34</v>
      </c>
      <c r="AE54" s="17">
        <v>4475.29</v>
      </c>
      <c r="AF54" s="19">
        <v>0</v>
      </c>
      <c r="AG54" s="20">
        <v>1467063.92</v>
      </c>
      <c r="AH54" s="14">
        <v>89989</v>
      </c>
      <c r="AI54" s="17">
        <v>991531.32</v>
      </c>
      <c r="AJ54" s="17">
        <v>991531.32</v>
      </c>
      <c r="AK54" s="17">
        <v>475532.6</v>
      </c>
      <c r="AL54" s="17">
        <v>876292.25</v>
      </c>
      <c r="AM54" s="17">
        <v>1467063.92</v>
      </c>
      <c r="AN54" s="17">
        <v>0</v>
      </c>
      <c r="AO54" s="19">
        <v>0</v>
      </c>
      <c r="AP54" s="20">
        <v>669372.97</v>
      </c>
      <c r="AQ54" s="14">
        <v>90468</v>
      </c>
      <c r="AR54" s="17">
        <v>280604.14</v>
      </c>
      <c r="AS54" s="17">
        <v>280604.14</v>
      </c>
      <c r="AT54" s="17">
        <v>388768.83</v>
      </c>
      <c r="AU54" s="17">
        <v>451414.13</v>
      </c>
      <c r="AV54" s="17">
        <v>669372.97</v>
      </c>
      <c r="AW54" s="17">
        <v>0</v>
      </c>
      <c r="AX54" s="19">
        <v>0</v>
      </c>
    </row>
    <row r="55" spans="1:50" x14ac:dyDescent="0.25">
      <c r="A55" s="12">
        <v>316</v>
      </c>
      <c r="B55" s="13" t="s">
        <v>63</v>
      </c>
      <c r="C55" s="14" t="s">
        <v>200</v>
      </c>
      <c r="D55" s="14" t="s">
        <v>146</v>
      </c>
      <c r="E55" s="15" t="s">
        <v>144</v>
      </c>
      <c r="F55" s="16">
        <f>37877647.75+4607076.06</f>
        <v>42484723.810000002</v>
      </c>
      <c r="G55" s="14">
        <v>788727</v>
      </c>
      <c r="H55" s="17">
        <v>36780675.259999998</v>
      </c>
      <c r="I55" s="17">
        <v>37764982.079999998</v>
      </c>
      <c r="J55" s="17">
        <v>4719741.7300000004</v>
      </c>
      <c r="K55" s="17">
        <v>17950167.899999999</v>
      </c>
      <c r="L55" s="17">
        <v>37877647.75</v>
      </c>
      <c r="M55" s="17">
        <v>1505675.93</v>
      </c>
      <c r="N55" s="18">
        <v>0</v>
      </c>
      <c r="O55" s="16">
        <f>35654468.94+5331373.08</f>
        <v>40985842.019999996</v>
      </c>
      <c r="P55" s="44">
        <v>789576</v>
      </c>
      <c r="Q55" s="17">
        <v>31680453.609999999</v>
      </c>
      <c r="R55" s="17">
        <v>33577031.960000001</v>
      </c>
      <c r="S55" s="17">
        <v>7408810.0599999996</v>
      </c>
      <c r="T55" s="17">
        <v>18707737.629999999</v>
      </c>
      <c r="U55" s="17">
        <v>34083140.469999999</v>
      </c>
      <c r="V55" s="17">
        <v>2475174.25</v>
      </c>
      <c r="W55" s="18">
        <v>0</v>
      </c>
      <c r="X55" s="16">
        <f>29510280.59+3134154.84</f>
        <v>32644435.43</v>
      </c>
      <c r="Y55" s="44">
        <v>790425</v>
      </c>
      <c r="Z55" s="17">
        <v>26870894</v>
      </c>
      <c r="AA55" s="17">
        <v>27293664.68</v>
      </c>
      <c r="AB55" s="17">
        <v>5350770.75</v>
      </c>
      <c r="AC55" s="17">
        <v>15560828.699999999</v>
      </c>
      <c r="AD55" s="17">
        <v>29510280.59</v>
      </c>
      <c r="AE55" s="17">
        <v>2353747.14</v>
      </c>
      <c r="AF55" s="19">
        <v>0</v>
      </c>
      <c r="AG55" s="20">
        <f>28111874.86+5238296.92</f>
        <v>33350171.780000001</v>
      </c>
      <c r="AH55" s="14">
        <v>791274</v>
      </c>
      <c r="AI55" s="17">
        <v>24877994.210000001</v>
      </c>
      <c r="AJ55" s="17">
        <v>25314976.41</v>
      </c>
      <c r="AK55" s="17">
        <v>8035195.3700000001</v>
      </c>
      <c r="AL55" s="17">
        <v>11882946.369999999</v>
      </c>
      <c r="AM55" s="17">
        <v>28111874.859999999</v>
      </c>
      <c r="AN55" s="17">
        <v>793174.39</v>
      </c>
      <c r="AO55" s="19">
        <v>0</v>
      </c>
      <c r="AP55" s="20">
        <f>28868111.89+1646309.18</f>
        <v>30514421.07</v>
      </c>
      <c r="AQ55" s="14">
        <v>787738</v>
      </c>
      <c r="AR55" s="17">
        <v>25255402.449999999</v>
      </c>
      <c r="AS55" s="17">
        <v>25307329.760000002</v>
      </c>
      <c r="AT55" s="17">
        <v>5207091.3099999996</v>
      </c>
      <c r="AU55" s="17">
        <v>8651107.9199999999</v>
      </c>
      <c r="AV55" s="17">
        <v>28624611.890000001</v>
      </c>
      <c r="AW55" s="17">
        <v>823534.96</v>
      </c>
      <c r="AX55" s="19">
        <v>0</v>
      </c>
    </row>
    <row r="56" spans="1:50" ht="25.5" x14ac:dyDescent="0.25">
      <c r="A56" s="12">
        <v>318</v>
      </c>
      <c r="B56" s="13" t="s">
        <v>64</v>
      </c>
      <c r="C56" s="14" t="s">
        <v>201</v>
      </c>
      <c r="D56" s="14" t="s">
        <v>146</v>
      </c>
      <c r="E56" s="15" t="s">
        <v>144</v>
      </c>
      <c r="F56" s="16">
        <f>85347124.54+9020438.3</f>
        <v>94367562.840000004</v>
      </c>
      <c r="G56" s="14">
        <v>2360243</v>
      </c>
      <c r="H56" s="17">
        <v>85725931.209999993</v>
      </c>
      <c r="I56" s="17">
        <v>88940646.730000004</v>
      </c>
      <c r="J56" s="17">
        <v>5426916.1100000003</v>
      </c>
      <c r="K56" s="17">
        <v>15249978.42</v>
      </c>
      <c r="L56" s="17">
        <v>85305124.540000007</v>
      </c>
      <c r="M56" s="17">
        <v>4577864.28</v>
      </c>
      <c r="N56" s="18">
        <v>0</v>
      </c>
      <c r="O56" s="16">
        <f>78403355.05+6875553.39</f>
        <v>85278908.439999998</v>
      </c>
      <c r="P56" s="44">
        <v>2370196.9999999995</v>
      </c>
      <c r="Q56" s="17">
        <v>74511332.560000002</v>
      </c>
      <c r="R56" s="17">
        <v>75471912.049999997</v>
      </c>
      <c r="S56" s="17">
        <v>9806996.3900000006</v>
      </c>
      <c r="T56" s="17">
        <v>17092892.129999999</v>
      </c>
      <c r="U56" s="17">
        <v>78151018.359999999</v>
      </c>
      <c r="V56" s="17">
        <v>3250822.27</v>
      </c>
      <c r="W56" s="18">
        <v>0</v>
      </c>
      <c r="X56" s="16">
        <f>67945385.67+5008878.51</f>
        <v>72954264.180000007</v>
      </c>
      <c r="Y56" s="44">
        <v>2380151.0000000005</v>
      </c>
      <c r="Z56" s="17">
        <v>54914137.390000001</v>
      </c>
      <c r="AA56" s="17">
        <v>64782079.82</v>
      </c>
      <c r="AB56" s="17">
        <v>8172184.3600000003</v>
      </c>
      <c r="AC56" s="17">
        <v>12261974.289999999</v>
      </c>
      <c r="AD56" s="17">
        <v>53979930.909999996</v>
      </c>
      <c r="AE56" s="17">
        <v>1658113.38</v>
      </c>
      <c r="AF56" s="19">
        <v>0</v>
      </c>
      <c r="AG56" s="20">
        <f>40267369.42+4440875.09</f>
        <v>44708244.510000005</v>
      </c>
      <c r="AH56" s="14">
        <v>2390105</v>
      </c>
      <c r="AI56" s="17">
        <v>41499843.810000002</v>
      </c>
      <c r="AJ56" s="17">
        <v>42521874.049999997</v>
      </c>
      <c r="AK56" s="17">
        <v>2186370.46</v>
      </c>
      <c r="AL56" s="17">
        <v>6743897.1100000003</v>
      </c>
      <c r="AM56" s="17">
        <v>39512894.420000002</v>
      </c>
      <c r="AN56" s="17">
        <v>293785.78999999998</v>
      </c>
      <c r="AO56" s="19">
        <v>0</v>
      </c>
      <c r="AP56" s="20">
        <f>44792777.75+1134901.95</f>
        <v>45927679.700000003</v>
      </c>
      <c r="AQ56" s="14">
        <v>2380306</v>
      </c>
      <c r="AR56" s="17">
        <v>39183871.090000004</v>
      </c>
      <c r="AS56" s="17">
        <v>39671973.560000002</v>
      </c>
      <c r="AT56" s="17">
        <v>6255706.1399999997</v>
      </c>
      <c r="AU56" s="17">
        <v>8441225.4299999997</v>
      </c>
      <c r="AV56" s="17">
        <v>44678343.5</v>
      </c>
      <c r="AW56" s="17">
        <v>129289.74</v>
      </c>
      <c r="AX56" s="19">
        <v>0</v>
      </c>
    </row>
    <row r="57" spans="1:50" ht="25.5" x14ac:dyDescent="0.25">
      <c r="A57" s="12">
        <v>319</v>
      </c>
      <c r="B57" s="13" t="s">
        <v>65</v>
      </c>
      <c r="C57" s="14" t="s">
        <v>202</v>
      </c>
      <c r="D57" s="14" t="s">
        <v>146</v>
      </c>
      <c r="E57" s="15" t="s">
        <v>144</v>
      </c>
      <c r="F57" s="16">
        <v>74270010.390000001</v>
      </c>
      <c r="G57" s="14">
        <v>2881476</v>
      </c>
      <c r="H57" s="17">
        <v>67517441.280000001</v>
      </c>
      <c r="I57" s="17">
        <v>71049117.359999999</v>
      </c>
      <c r="J57" s="17">
        <v>3220893.03</v>
      </c>
      <c r="K57" s="17">
        <v>14338620.26</v>
      </c>
      <c r="L57" s="17">
        <v>74240010.390000001</v>
      </c>
      <c r="M57" s="17">
        <v>1584509.99</v>
      </c>
      <c r="N57" s="18">
        <v>20985534.98</v>
      </c>
      <c r="O57" s="16">
        <v>62109548.219999999</v>
      </c>
      <c r="P57" s="44">
        <v>2864294.6666666674</v>
      </c>
      <c r="Q57" s="17">
        <v>51045897.740000002</v>
      </c>
      <c r="R57" s="17">
        <v>53249025.960000001</v>
      </c>
      <c r="S57" s="17">
        <v>8860522.2599999998</v>
      </c>
      <c r="T57" s="17">
        <v>10806049.529999999</v>
      </c>
      <c r="U57" s="17">
        <v>61971979.93</v>
      </c>
      <c r="V57" s="17">
        <v>13645139.199999999</v>
      </c>
      <c r="W57" s="18">
        <v>0</v>
      </c>
      <c r="X57" s="16">
        <v>53278034.799999997</v>
      </c>
      <c r="Y57" s="44">
        <v>2847113.3333333326</v>
      </c>
      <c r="Z57" s="17">
        <v>52433862.93</v>
      </c>
      <c r="AA57" s="17">
        <v>54781765.659999996</v>
      </c>
      <c r="AB57" s="21">
        <v>-1503730.86</v>
      </c>
      <c r="AC57" s="17">
        <v>1006527.46</v>
      </c>
      <c r="AD57" s="17">
        <v>53270319.799999997</v>
      </c>
      <c r="AE57" s="21">
        <v>-1010770.77</v>
      </c>
      <c r="AF57" s="43">
        <v>-23455.99</v>
      </c>
      <c r="AG57" s="20">
        <v>43627836.640000001</v>
      </c>
      <c r="AH57" s="14">
        <v>2829932</v>
      </c>
      <c r="AI57" s="17">
        <v>46087285.780000001</v>
      </c>
      <c r="AJ57" s="17">
        <v>47717433.82</v>
      </c>
      <c r="AK57" s="21">
        <v>-4089597.18</v>
      </c>
      <c r="AL57" s="17">
        <v>289455.21000000002</v>
      </c>
      <c r="AM57" s="17">
        <v>43500236.640000001</v>
      </c>
      <c r="AN57" s="21">
        <v>-1477542.11</v>
      </c>
      <c r="AO57" s="43">
        <v>-23455.99</v>
      </c>
      <c r="AP57" s="20">
        <v>47490557.359999999</v>
      </c>
      <c r="AQ57" s="14">
        <v>2815483</v>
      </c>
      <c r="AR57" s="17">
        <v>44052532.649999999</v>
      </c>
      <c r="AS57" s="17">
        <v>45741580.57</v>
      </c>
      <c r="AT57" s="17">
        <v>1748976.79</v>
      </c>
      <c r="AU57" s="17">
        <v>3081107.36</v>
      </c>
      <c r="AV57" s="17">
        <v>47490557.359999999</v>
      </c>
      <c r="AW57" s="21">
        <v>-953140.96</v>
      </c>
      <c r="AX57" s="43">
        <v>-23455.99</v>
      </c>
    </row>
    <row r="58" spans="1:50" x14ac:dyDescent="0.25">
      <c r="A58" s="12">
        <v>325</v>
      </c>
      <c r="B58" s="13" t="s">
        <v>66</v>
      </c>
      <c r="C58" s="14" t="s">
        <v>203</v>
      </c>
      <c r="D58" s="14" t="s">
        <v>157</v>
      </c>
      <c r="E58" s="15" t="s">
        <v>144</v>
      </c>
      <c r="F58" s="16">
        <v>52310185.609999999</v>
      </c>
      <c r="G58" s="14">
        <v>3571473</v>
      </c>
      <c r="H58" s="17">
        <v>52385216.119999997</v>
      </c>
      <c r="I58" s="17">
        <v>53178545.18</v>
      </c>
      <c r="J58" s="21">
        <v>-868359.57</v>
      </c>
      <c r="K58" s="17">
        <v>3649498.08</v>
      </c>
      <c r="L58" s="17">
        <v>52310185.609999999</v>
      </c>
      <c r="M58" s="17">
        <v>3230720.2</v>
      </c>
      <c r="N58" s="18">
        <v>86036.38</v>
      </c>
      <c r="O58" s="16">
        <v>42876290.640000001</v>
      </c>
      <c r="P58" s="44">
        <v>3598554.333333333</v>
      </c>
      <c r="Q58" s="17">
        <v>44964618.549999997</v>
      </c>
      <c r="R58" s="17">
        <v>46748235.32</v>
      </c>
      <c r="S58" s="21">
        <v>-3871944.68</v>
      </c>
      <c r="T58" s="17">
        <v>4119120.21</v>
      </c>
      <c r="U58" s="17">
        <v>42876290.640000001</v>
      </c>
      <c r="V58" s="17">
        <v>2619101.33</v>
      </c>
      <c r="W58" s="18">
        <v>86036.38</v>
      </c>
      <c r="X58" s="16">
        <v>41781419</v>
      </c>
      <c r="Y58" s="44">
        <v>3625635.666666667</v>
      </c>
      <c r="Z58" s="17">
        <v>39699027.619999997</v>
      </c>
      <c r="AA58" s="17">
        <v>42561197.07</v>
      </c>
      <c r="AB58" s="21">
        <v>-779778.07</v>
      </c>
      <c r="AC58" s="17">
        <v>6722962.2300000004</v>
      </c>
      <c r="AD58" s="17">
        <v>39782429.060000002</v>
      </c>
      <c r="AE58" s="17">
        <v>1676503.57</v>
      </c>
      <c r="AF58" s="19">
        <v>86036.38</v>
      </c>
      <c r="AG58" s="20">
        <v>34204834.5</v>
      </c>
      <c r="AH58" s="14">
        <v>3652717</v>
      </c>
      <c r="AI58" s="17">
        <v>30721839.870000001</v>
      </c>
      <c r="AJ58" s="17">
        <v>30949527.359999999</v>
      </c>
      <c r="AK58" s="17">
        <v>3255307.14</v>
      </c>
      <c r="AL58" s="17">
        <v>5262834.0999999996</v>
      </c>
      <c r="AM58" s="17">
        <v>34204834.5</v>
      </c>
      <c r="AN58" s="17">
        <v>1269238.74</v>
      </c>
      <c r="AO58" s="19">
        <v>0</v>
      </c>
      <c r="AP58" s="20">
        <v>25621158.960000001</v>
      </c>
      <c r="AQ58" s="14">
        <v>3637487</v>
      </c>
      <c r="AR58" s="17">
        <v>24431449.129999999</v>
      </c>
      <c r="AS58" s="17">
        <v>24437468.129999999</v>
      </c>
      <c r="AT58" s="17">
        <v>1183690.83</v>
      </c>
      <c r="AU58" s="17">
        <v>2188208.17</v>
      </c>
      <c r="AV58" s="17">
        <v>25621158.960000001</v>
      </c>
      <c r="AW58" s="17">
        <v>2488354.67</v>
      </c>
      <c r="AX58" s="19">
        <v>30597.27</v>
      </c>
    </row>
    <row r="59" spans="1:50" x14ac:dyDescent="0.25">
      <c r="A59" s="12">
        <v>326</v>
      </c>
      <c r="B59" s="13" t="s">
        <v>67</v>
      </c>
      <c r="C59" s="14" t="s">
        <v>204</v>
      </c>
      <c r="D59" s="14" t="s">
        <v>159</v>
      </c>
      <c r="E59" s="15" t="s">
        <v>144</v>
      </c>
      <c r="F59" s="16">
        <v>27051912.559999999</v>
      </c>
      <c r="G59" s="14">
        <v>1128248</v>
      </c>
      <c r="H59" s="17">
        <v>29947380.039999999</v>
      </c>
      <c r="I59" s="17">
        <v>29947380.039999999</v>
      </c>
      <c r="J59" s="21">
        <v>-2895467.48</v>
      </c>
      <c r="K59" s="17">
        <v>2605171.84</v>
      </c>
      <c r="L59" s="17">
        <v>27051912.559999999</v>
      </c>
      <c r="M59" s="17">
        <v>2429622.23</v>
      </c>
      <c r="N59" s="18">
        <v>0</v>
      </c>
      <c r="O59" s="16">
        <v>26659449.93</v>
      </c>
      <c r="P59" s="44">
        <v>1127034</v>
      </c>
      <c r="Q59" s="17">
        <v>25792389.829999998</v>
      </c>
      <c r="R59" s="17">
        <v>25793819.829999998</v>
      </c>
      <c r="S59" s="21">
        <v>865630.1</v>
      </c>
      <c r="T59" s="17">
        <v>4581634.8099999996</v>
      </c>
      <c r="U59" s="17">
        <v>26659449.93</v>
      </c>
      <c r="V59" s="17">
        <v>2161014.15</v>
      </c>
      <c r="W59" s="18">
        <v>0</v>
      </c>
      <c r="X59" s="16">
        <v>22724765.02</v>
      </c>
      <c r="Y59" s="44">
        <v>1125820</v>
      </c>
      <c r="Z59" s="17">
        <v>23862244.449999999</v>
      </c>
      <c r="AA59" s="17">
        <v>23905506.449999999</v>
      </c>
      <c r="AB59" s="21">
        <v>-1180741.43</v>
      </c>
      <c r="AC59" s="17">
        <v>3683774.88</v>
      </c>
      <c r="AD59" s="17">
        <v>22724765.02</v>
      </c>
      <c r="AE59" s="17">
        <v>2134362.7000000002</v>
      </c>
      <c r="AF59" s="19">
        <v>0</v>
      </c>
      <c r="AG59" s="20">
        <v>22746634.550000001</v>
      </c>
      <c r="AH59" s="14">
        <v>1124606</v>
      </c>
      <c r="AI59" s="17">
        <v>21247276.690000001</v>
      </c>
      <c r="AJ59" s="17">
        <v>21247276.690000001</v>
      </c>
      <c r="AK59" s="17">
        <v>1499357.86</v>
      </c>
      <c r="AL59" s="17">
        <v>4464597.6900000004</v>
      </c>
      <c r="AM59" s="17">
        <v>22746634.550000001</v>
      </c>
      <c r="AN59" s="17">
        <v>1734444.08</v>
      </c>
      <c r="AO59" s="19">
        <v>0</v>
      </c>
      <c r="AP59" s="20">
        <v>21448263.859999999</v>
      </c>
      <c r="AQ59" s="14">
        <v>1114287</v>
      </c>
      <c r="AR59" s="17">
        <v>20752869.890000001</v>
      </c>
      <c r="AS59" s="17">
        <v>20763957.550000001</v>
      </c>
      <c r="AT59" s="17">
        <v>684306.31</v>
      </c>
      <c r="AU59" s="17">
        <v>2935193.65</v>
      </c>
      <c r="AV59" s="17">
        <v>21448263.859999999</v>
      </c>
      <c r="AW59" s="17">
        <v>1706700.21</v>
      </c>
      <c r="AX59" s="19">
        <v>0</v>
      </c>
    </row>
    <row r="60" spans="1:50" x14ac:dyDescent="0.25">
      <c r="A60" s="13">
        <v>44</v>
      </c>
      <c r="B60" s="13" t="s">
        <v>68</v>
      </c>
      <c r="C60" s="13" t="s">
        <v>205</v>
      </c>
      <c r="D60" s="13" t="s">
        <v>206</v>
      </c>
      <c r="E60" s="13" t="s">
        <v>207</v>
      </c>
      <c r="F60" s="17">
        <v>72934095.430000007</v>
      </c>
      <c r="G60" s="44">
        <v>217325</v>
      </c>
      <c r="H60" s="17">
        <v>71488602.310000002</v>
      </c>
      <c r="I60" s="17">
        <v>71521965.75</v>
      </c>
      <c r="J60" s="17">
        <v>1412129.68</v>
      </c>
      <c r="K60" s="17">
        <v>4018162.35</v>
      </c>
      <c r="L60" s="17">
        <v>72934095.430000007</v>
      </c>
      <c r="M60" s="17">
        <v>123185.95</v>
      </c>
      <c r="N60" s="17">
        <v>0</v>
      </c>
      <c r="O60" s="17">
        <v>53098610.549999997</v>
      </c>
      <c r="P60" s="44">
        <v>218429.33333333337</v>
      </c>
      <c r="Q60" s="17">
        <v>56755081.490000002</v>
      </c>
      <c r="R60" s="17">
        <v>56775232.469999999</v>
      </c>
      <c r="S60" s="21">
        <v>-3676621.92</v>
      </c>
      <c r="T60" s="17">
        <v>2838526.57</v>
      </c>
      <c r="U60" s="17">
        <v>53098610.549999997</v>
      </c>
      <c r="V60" s="17">
        <v>190967.39</v>
      </c>
      <c r="W60" s="17">
        <v>0</v>
      </c>
      <c r="X60" s="17">
        <v>50964897.950000003</v>
      </c>
      <c r="Y60" s="44">
        <v>219533.66666666663</v>
      </c>
      <c r="Z60" s="17">
        <v>48717595.109999999</v>
      </c>
      <c r="AA60" s="17">
        <v>49001623.030000001</v>
      </c>
      <c r="AB60" s="17">
        <v>1963274.92</v>
      </c>
      <c r="AC60" s="17">
        <v>5720284.0300000003</v>
      </c>
      <c r="AD60" s="17">
        <v>50964897.950000003</v>
      </c>
      <c r="AE60" s="17">
        <v>78712.34</v>
      </c>
      <c r="AF60" s="17">
        <v>0</v>
      </c>
      <c r="AG60" s="17">
        <v>39516325.759999998</v>
      </c>
      <c r="AH60" s="44">
        <v>220638</v>
      </c>
      <c r="AI60" s="17">
        <v>38063117.240000002</v>
      </c>
      <c r="AJ60" s="17">
        <v>39342520.640000001</v>
      </c>
      <c r="AK60" s="17">
        <v>173805.12</v>
      </c>
      <c r="AL60" s="17">
        <v>4075358.76</v>
      </c>
      <c r="AM60" s="17">
        <v>39516325.759999998</v>
      </c>
      <c r="AN60" s="17">
        <v>66630.37</v>
      </c>
      <c r="AO60" s="17">
        <v>0</v>
      </c>
      <c r="AP60" s="17">
        <v>35371047.960000001</v>
      </c>
      <c r="AQ60" s="44">
        <v>221429</v>
      </c>
      <c r="AR60" s="17">
        <v>34677467.369999997</v>
      </c>
      <c r="AS60" s="17">
        <v>34690961.369999997</v>
      </c>
      <c r="AT60" s="17">
        <v>680086.59</v>
      </c>
      <c r="AU60" s="17">
        <v>3740108.1</v>
      </c>
      <c r="AV60" s="17">
        <v>35371047.960000001</v>
      </c>
      <c r="AW60" s="17">
        <v>122510.18</v>
      </c>
      <c r="AX60" s="17">
        <v>0</v>
      </c>
    </row>
    <row r="61" spans="1:50" x14ac:dyDescent="0.25">
      <c r="A61" s="13">
        <v>45</v>
      </c>
      <c r="B61" s="13" t="s">
        <v>69</v>
      </c>
      <c r="C61" s="13" t="s">
        <v>208</v>
      </c>
      <c r="D61" s="13" t="s">
        <v>206</v>
      </c>
      <c r="E61" s="13" t="s">
        <v>207</v>
      </c>
      <c r="F61" s="17">
        <v>160382188.41999999</v>
      </c>
      <c r="G61" s="44">
        <v>705893</v>
      </c>
      <c r="H61" s="17">
        <v>156343516.09</v>
      </c>
      <c r="I61" s="17">
        <v>157449009.90000001</v>
      </c>
      <c r="J61" s="17">
        <v>2933178.52</v>
      </c>
      <c r="K61" s="17">
        <v>7918927.0899999999</v>
      </c>
      <c r="L61" s="17">
        <v>160382188.41999999</v>
      </c>
      <c r="M61" s="17">
        <v>18395.580000000002</v>
      </c>
      <c r="N61" s="17">
        <v>0</v>
      </c>
      <c r="O61" s="17">
        <v>125109323.7</v>
      </c>
      <c r="P61" s="44">
        <v>694293.33333333349</v>
      </c>
      <c r="Q61" s="17">
        <v>128909639.22</v>
      </c>
      <c r="R61" s="17">
        <v>129455007.41</v>
      </c>
      <c r="S61" s="21">
        <v>-4345683.71</v>
      </c>
      <c r="T61" s="17">
        <v>7603007.0499999998</v>
      </c>
      <c r="U61" s="17">
        <v>125109323.7</v>
      </c>
      <c r="V61" s="17">
        <v>1796093.87</v>
      </c>
      <c r="W61" s="17">
        <v>0</v>
      </c>
      <c r="X61" s="17">
        <v>96128995.890000001</v>
      </c>
      <c r="Y61" s="44">
        <v>682693.66666666651</v>
      </c>
      <c r="Z61" s="17">
        <v>96682893.989999995</v>
      </c>
      <c r="AA61" s="17">
        <v>96837919.230000004</v>
      </c>
      <c r="AB61" s="21">
        <v>-708923.34</v>
      </c>
      <c r="AC61" s="17">
        <v>8068707.3700000001</v>
      </c>
      <c r="AD61" s="17">
        <v>96128995.890000001</v>
      </c>
      <c r="AE61" s="21">
        <v>-243238.5</v>
      </c>
      <c r="AF61" s="17">
        <v>0</v>
      </c>
      <c r="AG61" s="17">
        <v>61471576.219999999</v>
      </c>
      <c r="AH61" s="44">
        <v>671094</v>
      </c>
      <c r="AI61" s="17">
        <v>57624064.310000002</v>
      </c>
      <c r="AJ61" s="17">
        <v>60378436.770000003</v>
      </c>
      <c r="AK61" s="17">
        <v>1093139.45</v>
      </c>
      <c r="AL61" s="17">
        <v>5001573.1900000004</v>
      </c>
      <c r="AM61" s="17">
        <v>61079690.960000001</v>
      </c>
      <c r="AN61" s="17">
        <v>112414.02</v>
      </c>
      <c r="AO61" s="17">
        <v>0</v>
      </c>
      <c r="AP61" s="17">
        <v>46186787.810000002</v>
      </c>
      <c r="AQ61" s="44">
        <v>662968</v>
      </c>
      <c r="AR61" s="17">
        <v>42204902.590000004</v>
      </c>
      <c r="AS61" s="17">
        <v>43083318.020000003</v>
      </c>
      <c r="AT61" s="17">
        <v>3103469.79</v>
      </c>
      <c r="AU61" s="17">
        <v>4566059.78</v>
      </c>
      <c r="AV61" s="17">
        <v>45884433.829999998</v>
      </c>
      <c r="AW61" s="17">
        <v>4791036.8</v>
      </c>
      <c r="AX61" s="17">
        <v>0</v>
      </c>
    </row>
    <row r="62" spans="1:50" x14ac:dyDescent="0.25">
      <c r="A62" s="13">
        <v>47</v>
      </c>
      <c r="B62" s="13" t="s">
        <v>70</v>
      </c>
      <c r="C62" s="13" t="s">
        <v>209</v>
      </c>
      <c r="D62" s="13" t="s">
        <v>206</v>
      </c>
      <c r="E62" s="13" t="s">
        <v>207</v>
      </c>
      <c r="F62" s="17">
        <v>312822814.81</v>
      </c>
      <c r="G62" s="44">
        <v>10098629</v>
      </c>
      <c r="H62" s="17">
        <v>281388137.38999999</v>
      </c>
      <c r="I62" s="17">
        <v>281415497.38999999</v>
      </c>
      <c r="J62" s="17">
        <v>31407317.420000002</v>
      </c>
      <c r="K62" s="17">
        <v>216397002.25</v>
      </c>
      <c r="L62" s="17">
        <v>312822814.81</v>
      </c>
      <c r="M62" s="17">
        <v>12597</v>
      </c>
      <c r="N62" s="17">
        <v>0</v>
      </c>
      <c r="O62" s="22"/>
      <c r="P62" s="44">
        <v>10004637</v>
      </c>
      <c r="Q62" s="22"/>
      <c r="R62" s="22"/>
      <c r="S62" s="22"/>
      <c r="T62" s="22"/>
      <c r="U62" s="22"/>
      <c r="V62" s="22"/>
      <c r="W62" s="22"/>
      <c r="X62" s="22"/>
      <c r="Y62" s="44">
        <v>9910644.9999999981</v>
      </c>
      <c r="Z62" s="22"/>
      <c r="AA62" s="22"/>
      <c r="AB62" s="22"/>
      <c r="AC62" s="22"/>
      <c r="AD62" s="22"/>
      <c r="AE62" s="22"/>
      <c r="AF62" s="22"/>
      <c r="AG62" s="45">
        <v>199957040.56999999</v>
      </c>
      <c r="AH62" s="44">
        <v>9816653</v>
      </c>
      <c r="AI62" s="17">
        <v>219154142.80000001</v>
      </c>
      <c r="AJ62" s="17">
        <v>219204051.19</v>
      </c>
      <c r="AK62" s="21">
        <v>-19247010.620000001</v>
      </c>
      <c r="AL62" s="17">
        <v>114124479</v>
      </c>
      <c r="AM62" s="17">
        <v>199957040.56999999</v>
      </c>
      <c r="AN62" s="17">
        <v>0</v>
      </c>
      <c r="AO62" s="17">
        <v>0</v>
      </c>
      <c r="AP62" s="17">
        <v>227550369</v>
      </c>
      <c r="AQ62" s="44">
        <v>9745601</v>
      </c>
      <c r="AR62" s="17">
        <v>175284601</v>
      </c>
      <c r="AS62" s="17">
        <v>175802912</v>
      </c>
      <c r="AT62" s="17">
        <v>51747457</v>
      </c>
      <c r="AU62" s="17">
        <v>115902.58</v>
      </c>
      <c r="AV62" s="17">
        <v>227550369</v>
      </c>
      <c r="AW62" s="17">
        <v>0</v>
      </c>
      <c r="AX62" s="17">
        <v>0</v>
      </c>
    </row>
    <row r="63" spans="1:50" x14ac:dyDescent="0.25">
      <c r="A63" s="13">
        <v>48</v>
      </c>
      <c r="B63" s="13" t="s">
        <v>71</v>
      </c>
      <c r="C63" s="13" t="s">
        <v>210</v>
      </c>
      <c r="D63" s="13" t="s">
        <v>206</v>
      </c>
      <c r="E63" s="13" t="s">
        <v>207</v>
      </c>
      <c r="F63" s="17">
        <v>5713015.3600000003</v>
      </c>
      <c r="G63" s="44">
        <v>312589</v>
      </c>
      <c r="H63" s="17">
        <v>6562466.3700000001</v>
      </c>
      <c r="I63" s="17">
        <v>6562276.3700000001</v>
      </c>
      <c r="J63" s="17">
        <v>849261.01</v>
      </c>
      <c r="K63" s="17">
        <v>12580087.880000001</v>
      </c>
      <c r="L63" s="17">
        <v>5713015.3600000003</v>
      </c>
      <c r="M63" s="17">
        <v>9554845.8399999999</v>
      </c>
      <c r="N63" s="17">
        <v>0.99</v>
      </c>
      <c r="O63" s="17">
        <v>4299827.2000000002</v>
      </c>
      <c r="P63" s="44">
        <v>309240.66666666663</v>
      </c>
      <c r="Q63" s="17">
        <v>1421562.11</v>
      </c>
      <c r="R63" s="17">
        <v>1421562.11</v>
      </c>
      <c r="S63" s="17">
        <v>2878265.09</v>
      </c>
      <c r="T63" s="17">
        <v>6407151.2000000002</v>
      </c>
      <c r="U63" s="17">
        <v>4299827.2000000002</v>
      </c>
      <c r="V63" s="17">
        <v>5686272.6200000001</v>
      </c>
      <c r="W63" s="17">
        <v>0.99</v>
      </c>
      <c r="X63" s="17">
        <v>5235838.53</v>
      </c>
      <c r="Y63" s="44">
        <v>305892.33333333337</v>
      </c>
      <c r="Z63" s="17">
        <v>964687.76</v>
      </c>
      <c r="AA63" s="17">
        <v>964687.76</v>
      </c>
      <c r="AB63" s="17">
        <v>4271150.7699999996</v>
      </c>
      <c r="AC63" s="17">
        <v>8068949.3300000001</v>
      </c>
      <c r="AD63" s="17">
        <v>5235838.53</v>
      </c>
      <c r="AE63" s="17">
        <v>2658356.7999999998</v>
      </c>
      <c r="AF63" s="17">
        <v>0.99</v>
      </c>
      <c r="AG63" s="46">
        <v>6857377.2300000004</v>
      </c>
      <c r="AH63" s="44">
        <v>302544</v>
      </c>
      <c r="AI63" s="17">
        <v>7050510.54</v>
      </c>
      <c r="AJ63" s="17">
        <v>7050510.54</v>
      </c>
      <c r="AK63" s="21">
        <v>-193133.31</v>
      </c>
      <c r="AL63" s="17">
        <v>11059962.789999999</v>
      </c>
      <c r="AM63" s="17">
        <v>6857377.2300000004</v>
      </c>
      <c r="AN63" s="17">
        <v>1068249.01</v>
      </c>
      <c r="AO63" s="17">
        <v>0.99</v>
      </c>
      <c r="AP63" s="17">
        <v>5142523.3600000003</v>
      </c>
      <c r="AQ63" s="44">
        <v>299824</v>
      </c>
      <c r="AR63" s="17">
        <v>2313831.5299999998</v>
      </c>
      <c r="AS63" s="17">
        <v>2313831.5299999998</v>
      </c>
      <c r="AT63" s="17">
        <v>2828691.83</v>
      </c>
      <c r="AU63" s="17">
        <v>8659915.6999999993</v>
      </c>
      <c r="AV63" s="17">
        <v>5142523.3600000003</v>
      </c>
      <c r="AW63" s="17">
        <v>566344.57999999996</v>
      </c>
      <c r="AX63" s="17">
        <v>51376.97</v>
      </c>
    </row>
    <row r="64" spans="1:50" x14ac:dyDescent="0.25">
      <c r="A64" s="13">
        <v>49</v>
      </c>
      <c r="B64" s="13" t="s">
        <v>72</v>
      </c>
      <c r="C64" s="13" t="s">
        <v>211</v>
      </c>
      <c r="D64" s="13" t="s">
        <v>206</v>
      </c>
      <c r="E64" s="13" t="s">
        <v>207</v>
      </c>
      <c r="F64" s="17">
        <v>6853022.7699999996</v>
      </c>
      <c r="G64" s="44">
        <v>189229</v>
      </c>
      <c r="H64" s="17">
        <v>2814951.48</v>
      </c>
      <c r="I64" s="17">
        <v>3333418.84</v>
      </c>
      <c r="J64" s="17">
        <v>3519603.93</v>
      </c>
      <c r="K64" s="17">
        <v>3535546.8</v>
      </c>
      <c r="L64" s="17">
        <v>6521099.3300000001</v>
      </c>
      <c r="M64" s="21">
        <v>-356698.84</v>
      </c>
      <c r="N64" s="17">
        <v>10140.69</v>
      </c>
      <c r="O64" s="17">
        <v>40686388.450000003</v>
      </c>
      <c r="P64" s="44">
        <v>187243.66666666669</v>
      </c>
      <c r="Q64" s="17">
        <v>41614263.280000001</v>
      </c>
      <c r="R64" s="17">
        <v>43316442.030000001</v>
      </c>
      <c r="S64" s="21">
        <v>-2630053.58</v>
      </c>
      <c r="T64" s="17">
        <v>2991169.77</v>
      </c>
      <c r="U64" s="17">
        <v>39931428.030000001</v>
      </c>
      <c r="V64" s="17">
        <v>630713.93000000005</v>
      </c>
      <c r="W64" s="17">
        <v>10140.69</v>
      </c>
      <c r="X64" s="17">
        <v>4193224.2</v>
      </c>
      <c r="Y64" s="44">
        <v>185258.33333333331</v>
      </c>
      <c r="Z64" s="17">
        <v>2844814.25</v>
      </c>
      <c r="AA64" s="17">
        <v>3000501.5</v>
      </c>
      <c r="AB64" s="17">
        <v>1192722.7</v>
      </c>
      <c r="AC64" s="17">
        <v>4689161.54</v>
      </c>
      <c r="AD64" s="17">
        <v>3839709.2</v>
      </c>
      <c r="AE64" s="17">
        <v>543667.66</v>
      </c>
      <c r="AF64" s="17">
        <v>24171.38</v>
      </c>
      <c r="AG64" s="17">
        <v>22057731.899999999</v>
      </c>
      <c r="AH64" s="44">
        <v>183273</v>
      </c>
      <c r="AI64" s="17">
        <v>21879725.469999999</v>
      </c>
      <c r="AJ64" s="17">
        <v>22254544.719999999</v>
      </c>
      <c r="AK64" s="21">
        <v>-196812.82</v>
      </c>
      <c r="AL64" s="17">
        <v>2678733.27</v>
      </c>
      <c r="AM64" s="17">
        <v>22030374.899999999</v>
      </c>
      <c r="AN64" s="17">
        <v>475688.95</v>
      </c>
      <c r="AO64" s="17">
        <v>30836.32</v>
      </c>
      <c r="AP64" s="17">
        <v>17675943.879999999</v>
      </c>
      <c r="AQ64" s="44">
        <v>183002</v>
      </c>
      <c r="AR64" s="17">
        <v>15944867.32</v>
      </c>
      <c r="AS64" s="17">
        <v>16859873.969999999</v>
      </c>
      <c r="AT64" s="17">
        <v>816069.91</v>
      </c>
      <c r="AU64" s="17">
        <v>2828303.51</v>
      </c>
      <c r="AV64" s="17">
        <v>17102570.960000001</v>
      </c>
      <c r="AW64" s="17">
        <v>363373.53</v>
      </c>
      <c r="AX64" s="17">
        <v>47656.24</v>
      </c>
    </row>
    <row r="65" spans="1:50" ht="25.5" x14ac:dyDescent="0.25">
      <c r="A65" s="13">
        <v>56</v>
      </c>
      <c r="B65" s="13" t="s">
        <v>73</v>
      </c>
      <c r="C65" s="13" t="s">
        <v>212</v>
      </c>
      <c r="D65" s="13" t="s">
        <v>213</v>
      </c>
      <c r="E65" s="13" t="s">
        <v>207</v>
      </c>
      <c r="F65" s="22"/>
      <c r="G65" s="44">
        <v>485529</v>
      </c>
      <c r="H65" s="22"/>
      <c r="I65" s="22"/>
      <c r="J65" s="22"/>
      <c r="K65" s="22"/>
      <c r="L65" s="22"/>
      <c r="M65" s="22"/>
      <c r="N65" s="22"/>
      <c r="O65" s="22"/>
      <c r="P65" s="44">
        <v>481310.00000000017</v>
      </c>
      <c r="Q65" s="22"/>
      <c r="R65" s="22"/>
      <c r="S65" s="22"/>
      <c r="T65" s="22"/>
      <c r="U65" s="22"/>
      <c r="V65" s="22"/>
      <c r="W65" s="22"/>
      <c r="X65" s="22"/>
      <c r="Y65" s="44">
        <v>477090.99999999983</v>
      </c>
      <c r="Z65" s="22"/>
      <c r="AA65" s="22"/>
      <c r="AB65" s="22"/>
      <c r="AC65" s="22"/>
      <c r="AD65" s="22"/>
      <c r="AE65" s="22"/>
      <c r="AF65" s="22"/>
      <c r="AG65" s="17">
        <v>64038632.460000001</v>
      </c>
      <c r="AH65" s="44">
        <v>472872</v>
      </c>
      <c r="AI65" s="17">
        <v>63900992.509999998</v>
      </c>
      <c r="AJ65" s="17">
        <v>64092721.060000002</v>
      </c>
      <c r="AK65" s="21">
        <v>-54088.6</v>
      </c>
      <c r="AL65" s="17">
        <v>6899526.2699999996</v>
      </c>
      <c r="AM65" s="17">
        <v>63952230.93</v>
      </c>
      <c r="AN65" s="17">
        <v>5176989.0599999996</v>
      </c>
      <c r="AO65" s="17">
        <v>0</v>
      </c>
      <c r="AP65" s="17"/>
      <c r="AQ65" s="44">
        <v>472006</v>
      </c>
      <c r="AR65" s="17"/>
      <c r="AS65" s="17"/>
      <c r="AT65" s="17"/>
      <c r="AU65" s="17"/>
      <c r="AV65" s="17"/>
      <c r="AW65" s="17"/>
      <c r="AX65" s="17"/>
    </row>
    <row r="66" spans="1:50" x14ac:dyDescent="0.25">
      <c r="A66" s="13">
        <v>57</v>
      </c>
      <c r="B66" s="13" t="s">
        <v>74</v>
      </c>
      <c r="C66" s="13" t="s">
        <v>214</v>
      </c>
      <c r="D66" s="13" t="s">
        <v>213</v>
      </c>
      <c r="E66" s="13" t="s">
        <v>207</v>
      </c>
      <c r="F66" s="22"/>
      <c r="G66" s="44">
        <v>212287</v>
      </c>
      <c r="H66" s="22"/>
      <c r="I66" s="22"/>
      <c r="J66" s="22"/>
      <c r="K66" s="22"/>
      <c r="L66" s="22"/>
      <c r="M66" s="22"/>
      <c r="N66" s="22"/>
      <c r="O66" s="17">
        <v>13766337.01</v>
      </c>
      <c r="P66" s="44">
        <v>210150</v>
      </c>
      <c r="Q66" s="17">
        <v>13671423.99</v>
      </c>
      <c r="R66" s="17">
        <v>13671423.99</v>
      </c>
      <c r="S66" s="17">
        <v>94913.02</v>
      </c>
      <c r="T66" s="17">
        <v>1129696.73</v>
      </c>
      <c r="U66" s="17">
        <v>13766337.01</v>
      </c>
      <c r="V66" s="17">
        <v>511969.23</v>
      </c>
      <c r="W66" s="17">
        <v>0</v>
      </c>
      <c r="X66" s="22"/>
      <c r="Y66" s="44">
        <v>208013</v>
      </c>
      <c r="Z66" s="22"/>
      <c r="AA66" s="22"/>
      <c r="AB66" s="22"/>
      <c r="AC66" s="22"/>
      <c r="AD66" s="22"/>
      <c r="AE66" s="22"/>
      <c r="AF66" s="22"/>
      <c r="AG66" s="22"/>
      <c r="AH66" s="44">
        <v>205876</v>
      </c>
      <c r="AI66" s="22"/>
      <c r="AJ66" s="22"/>
      <c r="AK66" s="22"/>
      <c r="AL66" s="22"/>
      <c r="AM66" s="22"/>
      <c r="AN66" s="22"/>
      <c r="AO66" s="22"/>
      <c r="AP66" s="17">
        <v>8642901.2699999996</v>
      </c>
      <c r="AQ66" s="44">
        <v>207133</v>
      </c>
      <c r="AR66" s="17">
        <v>8944918.0600000005</v>
      </c>
      <c r="AS66" s="17">
        <v>8961028.0600000005</v>
      </c>
      <c r="AT66" s="21">
        <v>-318126.78999999998</v>
      </c>
      <c r="AU66" s="17">
        <v>2006838.12</v>
      </c>
      <c r="AV66" s="17">
        <v>8642901.2699999996</v>
      </c>
      <c r="AW66" s="17">
        <v>656405.25</v>
      </c>
      <c r="AX66" s="17">
        <v>0</v>
      </c>
    </row>
    <row r="67" spans="1:50" x14ac:dyDescent="0.25">
      <c r="A67" s="13">
        <v>61</v>
      </c>
      <c r="B67" s="13" t="s">
        <v>75</v>
      </c>
      <c r="C67" s="13" t="s">
        <v>215</v>
      </c>
      <c r="D67" s="13" t="s">
        <v>213</v>
      </c>
      <c r="E67" s="13" t="s">
        <v>207</v>
      </c>
      <c r="F67" s="17">
        <v>16630495.66</v>
      </c>
      <c r="G67" s="44">
        <v>78108</v>
      </c>
      <c r="H67" s="17">
        <v>16126988.470000001</v>
      </c>
      <c r="I67" s="17">
        <v>16226886.810000001</v>
      </c>
      <c r="J67" s="17">
        <v>403608.85</v>
      </c>
      <c r="K67" s="17">
        <v>892148.92</v>
      </c>
      <c r="L67" s="17">
        <v>16630495.66</v>
      </c>
      <c r="M67" s="17">
        <v>739125.3</v>
      </c>
      <c r="N67" s="17">
        <v>0</v>
      </c>
      <c r="O67" s="17">
        <v>14014498.869999999</v>
      </c>
      <c r="P67" s="44">
        <v>80729</v>
      </c>
      <c r="Q67" s="17">
        <v>13931645.710000001</v>
      </c>
      <c r="R67" s="17">
        <v>13939619.710000001</v>
      </c>
      <c r="S67" s="17">
        <v>74879.16</v>
      </c>
      <c r="T67" s="17">
        <v>1080377.26</v>
      </c>
      <c r="U67" s="17">
        <v>14014498.869999999</v>
      </c>
      <c r="V67" s="17">
        <v>1398722.78</v>
      </c>
      <c r="W67" s="17">
        <v>0</v>
      </c>
      <c r="X67" s="17">
        <v>10834667.07</v>
      </c>
      <c r="Y67" s="44">
        <v>81308</v>
      </c>
      <c r="Z67" s="17">
        <v>10519455.609999999</v>
      </c>
      <c r="AA67" s="17">
        <v>10519455.609999999</v>
      </c>
      <c r="AB67" s="17">
        <v>315211.46000000002</v>
      </c>
      <c r="AC67" s="17">
        <v>576241.42000000004</v>
      </c>
      <c r="AD67" s="17">
        <v>10834667.07</v>
      </c>
      <c r="AE67" s="17">
        <v>1031929.26</v>
      </c>
      <c r="AF67" s="17">
        <v>0</v>
      </c>
      <c r="AG67" s="17">
        <v>8990788.6600000001</v>
      </c>
      <c r="AH67" s="44">
        <v>76371</v>
      </c>
      <c r="AI67" s="17">
        <v>8558387.4100000001</v>
      </c>
      <c r="AJ67" s="17">
        <v>8560193.4100000001</v>
      </c>
      <c r="AK67" s="17">
        <v>430595.25</v>
      </c>
      <c r="AL67" s="17">
        <v>895971.97</v>
      </c>
      <c r="AM67" s="17">
        <v>8990788.6600000001</v>
      </c>
      <c r="AN67" s="17">
        <v>1638779.2</v>
      </c>
      <c r="AO67" s="17">
        <v>0</v>
      </c>
      <c r="AP67" s="17">
        <v>8248071.3799999999</v>
      </c>
      <c r="AQ67" s="44">
        <v>76622</v>
      </c>
      <c r="AR67" s="17">
        <v>7547236.2699999996</v>
      </c>
      <c r="AS67" s="17">
        <v>7549662.2699999996</v>
      </c>
      <c r="AT67" s="17">
        <v>698409.11</v>
      </c>
      <c r="AU67" s="17">
        <v>839005.06</v>
      </c>
      <c r="AV67" s="17">
        <v>8248071.3799999999</v>
      </c>
      <c r="AW67" s="17">
        <v>1973834.4</v>
      </c>
      <c r="AX67" s="17">
        <v>0</v>
      </c>
    </row>
    <row r="68" spans="1:50" ht="25.5" x14ac:dyDescent="0.25">
      <c r="A68" s="13">
        <v>66</v>
      </c>
      <c r="B68" s="13" t="s">
        <v>76</v>
      </c>
      <c r="C68" s="13" t="s">
        <v>216</v>
      </c>
      <c r="D68" s="13" t="s">
        <v>217</v>
      </c>
      <c r="E68" s="13" t="s">
        <v>207</v>
      </c>
      <c r="F68" s="22"/>
      <c r="G68" s="44">
        <v>1358098</v>
      </c>
      <c r="H68" s="22"/>
      <c r="I68" s="22"/>
      <c r="J68" s="22"/>
      <c r="K68" s="22"/>
      <c r="L68" s="22"/>
      <c r="M68" s="22"/>
      <c r="N68" s="22"/>
      <c r="O68" s="22"/>
      <c r="P68" s="44">
        <v>1329017.3333333337</v>
      </c>
      <c r="Q68" s="22"/>
      <c r="R68" s="22"/>
      <c r="S68" s="22"/>
      <c r="T68" s="22"/>
      <c r="U68" s="22"/>
      <c r="V68" s="22"/>
      <c r="W68" s="22"/>
      <c r="X68" s="22"/>
      <c r="Y68" s="44">
        <v>1299936.6666666663</v>
      </c>
      <c r="Z68" s="22"/>
      <c r="AA68" s="22"/>
      <c r="AB68" s="22"/>
      <c r="AC68" s="22"/>
      <c r="AD68" s="22"/>
      <c r="AE68" s="22"/>
      <c r="AF68" s="22"/>
      <c r="AG68" s="17">
        <v>15141877.039999999</v>
      </c>
      <c r="AH68" s="44">
        <v>1270856</v>
      </c>
      <c r="AI68" s="17">
        <v>15440751.550000001</v>
      </c>
      <c r="AJ68" s="17">
        <v>15489890.449999999</v>
      </c>
      <c r="AK68" s="21">
        <v>-348013.41</v>
      </c>
      <c r="AL68" s="17">
        <v>3495330.18</v>
      </c>
      <c r="AM68" s="17">
        <v>15141877.039999999</v>
      </c>
      <c r="AN68" s="17">
        <v>238407.78</v>
      </c>
      <c r="AO68" s="17">
        <v>158593.75</v>
      </c>
      <c r="AP68" s="17">
        <v>15674377.91</v>
      </c>
      <c r="AQ68" s="44">
        <v>1252644</v>
      </c>
      <c r="AR68" s="17">
        <v>14050307.51</v>
      </c>
      <c r="AS68" s="17">
        <v>14094287.4</v>
      </c>
      <c r="AT68" s="17">
        <v>1580090.51</v>
      </c>
      <c r="AU68" s="17">
        <v>3759889.99</v>
      </c>
      <c r="AV68" s="17">
        <v>15674377.91</v>
      </c>
      <c r="AW68" s="17">
        <v>283769.63</v>
      </c>
      <c r="AX68" s="17">
        <v>155956.97</v>
      </c>
    </row>
    <row r="69" spans="1:50" ht="25.5" x14ac:dyDescent="0.25">
      <c r="A69" s="13">
        <v>213</v>
      </c>
      <c r="B69" s="13" t="s">
        <v>77</v>
      </c>
      <c r="C69" s="13" t="s">
        <v>218</v>
      </c>
      <c r="D69" s="13" t="s">
        <v>206</v>
      </c>
      <c r="E69" s="13" t="s">
        <v>207</v>
      </c>
      <c r="F69" s="17">
        <v>51489381.420000002</v>
      </c>
      <c r="G69" s="44">
        <v>174873</v>
      </c>
      <c r="H69" s="17">
        <v>48929893.840000004</v>
      </c>
      <c r="I69" s="17">
        <v>48929893.840000004</v>
      </c>
      <c r="J69" s="17">
        <v>2559487.58</v>
      </c>
      <c r="K69" s="17">
        <v>8843786.2799999993</v>
      </c>
      <c r="L69" s="17">
        <v>51489381.420000002</v>
      </c>
      <c r="M69" s="17">
        <v>219401.36</v>
      </c>
      <c r="N69" s="17">
        <v>0</v>
      </c>
      <c r="O69" s="17">
        <v>38689639.619999997</v>
      </c>
      <c r="P69" s="44">
        <v>173923.66666666666</v>
      </c>
      <c r="Q69" s="17">
        <v>37195177.460000001</v>
      </c>
      <c r="R69" s="17">
        <v>37266577.460000001</v>
      </c>
      <c r="S69" s="17">
        <v>1423062.1599999964</v>
      </c>
      <c r="T69" s="17">
        <v>6501071.79</v>
      </c>
      <c r="U69" s="17">
        <v>38689639.619999997</v>
      </c>
      <c r="V69" s="17">
        <v>436519.67999999999</v>
      </c>
      <c r="W69" s="17">
        <v>0</v>
      </c>
      <c r="X69" s="22"/>
      <c r="Y69" s="44">
        <v>172974.33333333334</v>
      </c>
      <c r="Z69" s="22"/>
      <c r="AA69" s="22"/>
      <c r="AB69" s="22"/>
      <c r="AC69" s="22"/>
      <c r="AD69" s="22"/>
      <c r="AE69" s="22"/>
      <c r="AF69" s="22"/>
      <c r="AG69" s="22"/>
      <c r="AH69" s="44">
        <v>172025</v>
      </c>
      <c r="AI69" s="22"/>
      <c r="AJ69" s="22"/>
      <c r="AK69" s="22"/>
      <c r="AL69" s="22"/>
      <c r="AM69" s="22"/>
      <c r="AN69" s="22"/>
      <c r="AO69" s="22"/>
      <c r="AP69" s="22"/>
      <c r="AQ69" s="44">
        <v>171034</v>
      </c>
      <c r="AR69" s="22"/>
      <c r="AS69" s="22"/>
      <c r="AT69" s="22"/>
      <c r="AU69" s="22"/>
      <c r="AV69" s="22"/>
      <c r="AW69" s="22"/>
      <c r="AX69" s="22"/>
    </row>
    <row r="70" spans="1:50" x14ac:dyDescent="0.25">
      <c r="A70" s="13">
        <v>216</v>
      </c>
      <c r="B70" s="13" t="s">
        <v>78</v>
      </c>
      <c r="C70" s="13" t="s">
        <v>219</v>
      </c>
      <c r="D70" s="13" t="s">
        <v>206</v>
      </c>
      <c r="E70" s="13" t="s">
        <v>207</v>
      </c>
      <c r="F70" s="22"/>
      <c r="G70" s="44">
        <v>391300</v>
      </c>
      <c r="H70" s="22"/>
      <c r="I70" s="22"/>
      <c r="J70" s="22"/>
      <c r="K70" s="22"/>
      <c r="L70" s="22"/>
      <c r="M70" s="22"/>
      <c r="N70" s="22"/>
      <c r="O70" s="22"/>
      <c r="P70" s="44">
        <v>391857.33333333337</v>
      </c>
      <c r="Q70" s="22"/>
      <c r="R70" s="22"/>
      <c r="S70" s="22"/>
      <c r="T70" s="22"/>
      <c r="U70" s="22"/>
      <c r="V70" s="22"/>
      <c r="W70" s="22"/>
      <c r="X70" s="17">
        <v>31689724.41</v>
      </c>
      <c r="Y70" s="44">
        <v>392414.66666666663</v>
      </c>
      <c r="Z70" s="17">
        <v>34059666.43</v>
      </c>
      <c r="AA70" s="17">
        <v>34719960.130000003</v>
      </c>
      <c r="AB70" s="21">
        <v>-3030235.7200000025</v>
      </c>
      <c r="AC70" s="17">
        <v>5158238.46</v>
      </c>
      <c r="AD70" s="17">
        <v>31689724.41</v>
      </c>
      <c r="AE70" s="17">
        <v>195747.18</v>
      </c>
      <c r="AF70" s="17">
        <v>2037.94</v>
      </c>
      <c r="AG70" s="17">
        <v>24707015.289999999</v>
      </c>
      <c r="AH70" s="44">
        <v>392972</v>
      </c>
      <c r="AI70" s="17">
        <v>23028805.93</v>
      </c>
      <c r="AJ70" s="17">
        <v>23483723.82</v>
      </c>
      <c r="AK70" s="17">
        <v>1223291.47</v>
      </c>
      <c r="AL70" s="17">
        <v>4575007.3899999997</v>
      </c>
      <c r="AM70" s="17">
        <v>24707015.289999999</v>
      </c>
      <c r="AN70" s="21">
        <v>-86999.89</v>
      </c>
      <c r="AO70" s="17">
        <v>2037.94</v>
      </c>
      <c r="AP70" s="17">
        <v>20899230.960000001</v>
      </c>
      <c r="AQ70" s="44">
        <v>389991</v>
      </c>
      <c r="AR70" s="17">
        <v>19100050.050000001</v>
      </c>
      <c r="AS70" s="17">
        <v>19459126.870000001</v>
      </c>
      <c r="AT70" s="17">
        <v>1440104.09</v>
      </c>
      <c r="AU70" s="17">
        <v>2165697.25</v>
      </c>
      <c r="AV70" s="17">
        <v>20898497.829999998</v>
      </c>
      <c r="AW70" s="17">
        <v>210249.59</v>
      </c>
      <c r="AX70" s="17">
        <v>2037.94</v>
      </c>
    </row>
    <row r="71" spans="1:50" x14ac:dyDescent="0.25">
      <c r="A71" s="13">
        <v>217</v>
      </c>
      <c r="B71" s="13" t="s">
        <v>79</v>
      </c>
      <c r="C71" s="13" t="s">
        <v>220</v>
      </c>
      <c r="D71" s="13" t="s">
        <v>206</v>
      </c>
      <c r="E71" s="13" t="s">
        <v>207</v>
      </c>
      <c r="F71" s="17">
        <v>9258582.8000000007</v>
      </c>
      <c r="G71" s="44">
        <v>282324</v>
      </c>
      <c r="H71" s="17">
        <v>6422442.2699999996</v>
      </c>
      <c r="I71" s="17">
        <v>6427446.96</v>
      </c>
      <c r="J71" s="17">
        <v>2831135.84</v>
      </c>
      <c r="K71" s="17">
        <v>8195234.3200000003</v>
      </c>
      <c r="L71" s="17">
        <v>9258582.8000000007</v>
      </c>
      <c r="M71" s="17">
        <v>197639.88</v>
      </c>
      <c r="N71" s="17">
        <v>11401.61</v>
      </c>
      <c r="O71" s="17">
        <v>5124022.33</v>
      </c>
      <c r="P71" s="44">
        <v>279324.66666666663</v>
      </c>
      <c r="Q71" s="17">
        <v>5081576.93</v>
      </c>
      <c r="R71" s="17">
        <v>5116244.74</v>
      </c>
      <c r="S71" s="17">
        <v>7777.59</v>
      </c>
      <c r="T71" s="17">
        <v>7158104.5899999999</v>
      </c>
      <c r="U71" s="17">
        <v>5124022.33</v>
      </c>
      <c r="V71" s="17">
        <v>820093.6</v>
      </c>
      <c r="W71" s="17">
        <v>11401.61</v>
      </c>
      <c r="X71" s="17">
        <v>5066312.5999999996</v>
      </c>
      <c r="Y71" s="44">
        <v>276325.33333333337</v>
      </c>
      <c r="Z71" s="17">
        <v>2061799.9</v>
      </c>
      <c r="AA71" s="17">
        <v>2061799.9</v>
      </c>
      <c r="AB71" s="17">
        <v>3004512.7</v>
      </c>
      <c r="AC71" s="17">
        <v>8895156.1799999997</v>
      </c>
      <c r="AD71" s="17">
        <v>5066312.5999999996</v>
      </c>
      <c r="AE71" s="17">
        <v>889477.47</v>
      </c>
      <c r="AF71" s="17">
        <v>11401.61</v>
      </c>
      <c r="AG71" s="17"/>
      <c r="AH71" s="44">
        <v>273326</v>
      </c>
      <c r="AI71" s="17"/>
      <c r="AJ71" s="17"/>
      <c r="AK71" s="17"/>
      <c r="AL71" s="17"/>
      <c r="AM71" s="17"/>
      <c r="AN71" s="17"/>
      <c r="AO71" s="17"/>
      <c r="AP71" s="17"/>
      <c r="AQ71" s="44">
        <v>272749</v>
      </c>
      <c r="AR71" s="17"/>
      <c r="AS71" s="17"/>
      <c r="AT71" s="17"/>
      <c r="AU71" s="17"/>
      <c r="AV71" s="17"/>
      <c r="AW71" s="17"/>
      <c r="AX71" s="17"/>
    </row>
    <row r="72" spans="1:50" ht="25.5" x14ac:dyDescent="0.25">
      <c r="A72" s="13">
        <v>220</v>
      </c>
      <c r="B72" s="13" t="s">
        <v>80</v>
      </c>
      <c r="C72" s="13" t="s">
        <v>221</v>
      </c>
      <c r="D72" s="13" t="s">
        <v>206</v>
      </c>
      <c r="E72" s="13" t="s">
        <v>207</v>
      </c>
      <c r="F72" s="22"/>
      <c r="G72" s="44">
        <v>14075</v>
      </c>
      <c r="H72" s="22"/>
      <c r="I72" s="22"/>
      <c r="J72" s="22"/>
      <c r="K72" s="22"/>
      <c r="L72" s="22"/>
      <c r="M72" s="22"/>
      <c r="N72" s="22"/>
      <c r="O72" s="17">
        <v>1100536.19</v>
      </c>
      <c r="P72" s="44">
        <v>13908</v>
      </c>
      <c r="Q72" s="17">
        <v>1078147.01</v>
      </c>
      <c r="R72" s="17">
        <v>1078147.01</v>
      </c>
      <c r="S72" s="17">
        <v>22389.18</v>
      </c>
      <c r="T72" s="17">
        <v>144031.66</v>
      </c>
      <c r="U72" s="17">
        <v>1100536.19</v>
      </c>
      <c r="V72" s="17">
        <v>51562.5</v>
      </c>
      <c r="W72" s="17">
        <v>0</v>
      </c>
      <c r="X72" s="17">
        <v>537453.07999999996</v>
      </c>
      <c r="Y72" s="44">
        <v>13741</v>
      </c>
      <c r="Z72" s="17">
        <v>568771.82999999996</v>
      </c>
      <c r="AA72" s="17">
        <v>568771.82999999996</v>
      </c>
      <c r="AB72" s="21">
        <v>-31318.75</v>
      </c>
      <c r="AC72" s="17">
        <v>154266.76</v>
      </c>
      <c r="AD72" s="17">
        <v>537453.07999999996</v>
      </c>
      <c r="AE72" s="17">
        <v>119622.84</v>
      </c>
      <c r="AF72" s="17">
        <v>0</v>
      </c>
      <c r="AG72" s="17">
        <v>0</v>
      </c>
      <c r="AH72" s="44">
        <v>13574</v>
      </c>
      <c r="AI72" s="17">
        <v>458702.25</v>
      </c>
      <c r="AJ72" s="17">
        <v>458702.25</v>
      </c>
      <c r="AK72" s="21">
        <v>-458702.25</v>
      </c>
      <c r="AL72" s="17">
        <v>154305.51999999999</v>
      </c>
      <c r="AM72" s="17">
        <v>0</v>
      </c>
      <c r="AN72" s="17">
        <v>20102.919999999998</v>
      </c>
      <c r="AO72" s="17">
        <v>0</v>
      </c>
      <c r="AP72" s="17">
        <v>485880.41</v>
      </c>
      <c r="AQ72" s="44">
        <v>13662</v>
      </c>
      <c r="AR72" s="17">
        <v>0</v>
      </c>
      <c r="AS72" s="17">
        <v>0</v>
      </c>
      <c r="AT72" s="17">
        <v>85880.41</v>
      </c>
      <c r="AU72" s="17">
        <v>109831.87</v>
      </c>
      <c r="AV72" s="17">
        <v>485880.41</v>
      </c>
      <c r="AW72" s="17">
        <v>8046.02</v>
      </c>
      <c r="AX72" s="17">
        <v>0</v>
      </c>
    </row>
    <row r="73" spans="1:50" ht="38.25" x14ac:dyDescent="0.25">
      <c r="A73" s="13">
        <v>223</v>
      </c>
      <c r="B73" s="13" t="s">
        <v>81</v>
      </c>
      <c r="C73" s="13" t="s">
        <v>222</v>
      </c>
      <c r="D73" s="13" t="s">
        <v>206</v>
      </c>
      <c r="E73" s="13" t="s">
        <v>207</v>
      </c>
      <c r="F73" s="17">
        <v>665969.16</v>
      </c>
      <c r="G73" s="44">
        <v>481191</v>
      </c>
      <c r="H73" s="17">
        <v>535217.39</v>
      </c>
      <c r="I73" s="17">
        <v>539317.39</v>
      </c>
      <c r="J73" s="17">
        <v>126651.77</v>
      </c>
      <c r="K73" s="17">
        <v>176841.60000000001</v>
      </c>
      <c r="L73" s="17">
        <v>665969.16</v>
      </c>
      <c r="M73" s="17">
        <v>0</v>
      </c>
      <c r="N73" s="17">
        <v>0</v>
      </c>
      <c r="O73" s="17">
        <v>1059793.5</v>
      </c>
      <c r="P73" s="44">
        <v>473301</v>
      </c>
      <c r="Q73" s="17">
        <v>966779.1</v>
      </c>
      <c r="R73" s="17">
        <v>978743.1</v>
      </c>
      <c r="S73" s="17">
        <v>81050.399999999994</v>
      </c>
      <c r="T73" s="17">
        <v>53654.83</v>
      </c>
      <c r="U73" s="17">
        <v>1059793.5</v>
      </c>
      <c r="V73" s="17">
        <v>3465.4</v>
      </c>
      <c r="W73" s="17">
        <v>0</v>
      </c>
      <c r="X73" s="17">
        <v>1379752.22</v>
      </c>
      <c r="Y73" s="44">
        <v>465411</v>
      </c>
      <c r="Z73" s="17">
        <v>1406834.01</v>
      </c>
      <c r="AA73" s="17">
        <v>1411033.01</v>
      </c>
      <c r="AB73" s="21">
        <v>-31280.79</v>
      </c>
      <c r="AC73" s="17">
        <v>1140.52</v>
      </c>
      <c r="AD73" s="17">
        <v>1379752.22</v>
      </c>
      <c r="AE73" s="17">
        <v>32001.49</v>
      </c>
      <c r="AF73" s="17">
        <v>0</v>
      </c>
      <c r="AG73" s="17">
        <v>1032599.05</v>
      </c>
      <c r="AH73" s="44">
        <v>457521</v>
      </c>
      <c r="AI73" s="17">
        <v>1054544.48</v>
      </c>
      <c r="AJ73" s="17">
        <v>1054544.48</v>
      </c>
      <c r="AK73" s="21">
        <v>-21945.43</v>
      </c>
      <c r="AL73" s="17">
        <v>35205.81</v>
      </c>
      <c r="AM73" s="17">
        <v>1032599.05</v>
      </c>
      <c r="AN73" s="17">
        <v>38128.04</v>
      </c>
      <c r="AO73" s="17">
        <v>0</v>
      </c>
      <c r="AP73" s="17">
        <v>728299.19</v>
      </c>
      <c r="AQ73" s="44">
        <v>459083</v>
      </c>
      <c r="AR73" s="17">
        <v>828327.45</v>
      </c>
      <c r="AS73" s="17">
        <v>828327.45</v>
      </c>
      <c r="AT73" s="21">
        <v>-100028.26</v>
      </c>
      <c r="AU73" s="17">
        <v>24000.6</v>
      </c>
      <c r="AV73" s="17">
        <v>728299.19</v>
      </c>
      <c r="AW73" s="17">
        <v>4977.3999999999996</v>
      </c>
      <c r="AX73" s="17">
        <v>0</v>
      </c>
    </row>
    <row r="74" spans="1:50" ht="25.5" x14ac:dyDescent="0.25">
      <c r="A74" s="13">
        <v>225</v>
      </c>
      <c r="B74" s="13" t="s">
        <v>82</v>
      </c>
      <c r="C74" s="13" t="s">
        <v>223</v>
      </c>
      <c r="D74" s="13" t="s">
        <v>206</v>
      </c>
      <c r="E74" s="13" t="s">
        <v>207</v>
      </c>
      <c r="F74" s="17">
        <v>73219586.519999996</v>
      </c>
      <c r="G74" s="44">
        <v>438166</v>
      </c>
      <c r="H74" s="17">
        <v>70593315.170000002</v>
      </c>
      <c r="I74" s="17">
        <v>70784106.849999994</v>
      </c>
      <c r="J74" s="17">
        <v>2435479.67</v>
      </c>
      <c r="K74" s="17">
        <v>6838366.1600000001</v>
      </c>
      <c r="L74" s="17">
        <v>73219586.519999996</v>
      </c>
      <c r="M74" s="17">
        <v>4396321.8899999997</v>
      </c>
      <c r="N74" s="17">
        <v>0</v>
      </c>
      <c r="O74" s="17">
        <v>40681694.729999997</v>
      </c>
      <c r="P74" s="44">
        <v>436727.66666666674</v>
      </c>
      <c r="Q74" s="17">
        <v>43191810.68</v>
      </c>
      <c r="R74" s="17">
        <v>43445823.93</v>
      </c>
      <c r="S74" s="21">
        <v>-2764129.2</v>
      </c>
      <c r="T74" s="17">
        <v>4284916.59</v>
      </c>
      <c r="U74" s="17">
        <v>40681694.729999997</v>
      </c>
      <c r="V74" s="17">
        <v>2722990.18</v>
      </c>
      <c r="W74" s="17">
        <v>0</v>
      </c>
      <c r="X74" s="17">
        <v>6234697.1500000004</v>
      </c>
      <c r="Y74" s="44">
        <v>435289.33333333326</v>
      </c>
      <c r="Z74" s="17">
        <v>4711952.0599999996</v>
      </c>
      <c r="AA74" s="17">
        <v>4769492.0599999996</v>
      </c>
      <c r="AB74" s="17">
        <v>1465205.09</v>
      </c>
      <c r="AC74" s="17">
        <v>1980846.52</v>
      </c>
      <c r="AD74" s="17">
        <v>6234697.1500000004</v>
      </c>
      <c r="AE74" s="17">
        <v>420798.8</v>
      </c>
      <c r="AF74" s="17">
        <v>0</v>
      </c>
      <c r="AG74" s="17"/>
      <c r="AH74" s="44">
        <v>433851</v>
      </c>
      <c r="AI74" s="22"/>
      <c r="AJ74" s="22"/>
      <c r="AK74" s="22"/>
      <c r="AL74" s="22"/>
      <c r="AM74" s="22"/>
      <c r="AN74" s="22"/>
      <c r="AO74" s="22"/>
      <c r="AP74" s="22"/>
      <c r="AQ74" s="44">
        <v>432931</v>
      </c>
      <c r="AR74" s="22"/>
      <c r="AS74" s="22"/>
      <c r="AT74" s="22"/>
      <c r="AU74" s="22"/>
      <c r="AV74" s="22"/>
      <c r="AW74" s="22"/>
      <c r="AX74" s="22"/>
    </row>
    <row r="75" spans="1:50" x14ac:dyDescent="0.25">
      <c r="A75" s="13">
        <v>226</v>
      </c>
      <c r="B75" s="13" t="s">
        <v>83</v>
      </c>
      <c r="C75" s="13" t="s">
        <v>224</v>
      </c>
      <c r="D75" s="13" t="s">
        <v>206</v>
      </c>
      <c r="E75" s="13" t="s">
        <v>207</v>
      </c>
      <c r="F75" s="17">
        <v>39809675.939999998</v>
      </c>
      <c r="G75" s="44">
        <v>841896</v>
      </c>
      <c r="H75" s="17">
        <v>39889622.93</v>
      </c>
      <c r="I75" s="17">
        <v>40115592.93</v>
      </c>
      <c r="J75" s="21">
        <v>-305916.99</v>
      </c>
      <c r="K75" s="17">
        <v>3647574.79</v>
      </c>
      <c r="L75" s="17">
        <v>39809675.939999998</v>
      </c>
      <c r="M75" s="17">
        <v>373647.53</v>
      </c>
      <c r="N75" s="17">
        <v>0</v>
      </c>
      <c r="O75" s="17">
        <v>19001770.649999999</v>
      </c>
      <c r="P75" s="44">
        <v>840870.66666666663</v>
      </c>
      <c r="Q75" s="17">
        <v>21502558.16</v>
      </c>
      <c r="R75" s="17">
        <v>21509382.66</v>
      </c>
      <c r="S75" s="21">
        <v>-2507612.0100000016</v>
      </c>
      <c r="T75" s="17">
        <v>5174301.9800000004</v>
      </c>
      <c r="U75" s="17">
        <v>19001770.649999999</v>
      </c>
      <c r="V75" s="17">
        <v>292085.15999999997</v>
      </c>
      <c r="W75" s="17">
        <v>0</v>
      </c>
      <c r="X75" s="17">
        <v>3145085.04</v>
      </c>
      <c r="Y75" s="44">
        <v>839845.33333333337</v>
      </c>
      <c r="Z75" s="17">
        <v>1742412.88</v>
      </c>
      <c r="AA75" s="17">
        <v>1742412.88</v>
      </c>
      <c r="AB75" s="17">
        <v>1402672.16</v>
      </c>
      <c r="AC75" s="17">
        <v>3867811.07</v>
      </c>
      <c r="AD75" s="17">
        <v>3145085.04</v>
      </c>
      <c r="AE75" s="17">
        <v>278812.08</v>
      </c>
      <c r="AF75" s="17">
        <v>0</v>
      </c>
      <c r="AG75" s="17">
        <v>1174000.82</v>
      </c>
      <c r="AH75" s="44">
        <v>838820</v>
      </c>
      <c r="AI75" s="17">
        <v>1254427.52</v>
      </c>
      <c r="AJ75" s="17">
        <v>1254427.52</v>
      </c>
      <c r="AK75" s="21">
        <v>-80426.7</v>
      </c>
      <c r="AL75" s="17">
        <v>1250903.79</v>
      </c>
      <c r="AM75" s="17">
        <v>1174000.82</v>
      </c>
      <c r="AN75" s="17">
        <v>46140.13</v>
      </c>
      <c r="AO75" s="47">
        <v>0</v>
      </c>
      <c r="AQ75" s="44">
        <v>832374</v>
      </c>
      <c r="AR75" s="22"/>
      <c r="AS75" s="22"/>
      <c r="AT75" s="22"/>
      <c r="AU75" s="22"/>
      <c r="AV75" s="22"/>
      <c r="AW75" s="22"/>
      <c r="AX75" s="22"/>
    </row>
    <row r="76" spans="1:50" x14ac:dyDescent="0.25">
      <c r="A76" s="13">
        <v>227</v>
      </c>
      <c r="B76" s="13" t="s">
        <v>84</v>
      </c>
      <c r="C76" s="13" t="s">
        <v>225</v>
      </c>
      <c r="D76" s="13" t="s">
        <v>206</v>
      </c>
      <c r="E76" s="13" t="s">
        <v>207</v>
      </c>
      <c r="F76" s="17">
        <v>36735332.82</v>
      </c>
      <c r="G76" s="44">
        <v>167738</v>
      </c>
      <c r="H76" s="17">
        <v>34996485.149999999</v>
      </c>
      <c r="I76" s="17">
        <v>35035515.219999999</v>
      </c>
      <c r="J76" s="17">
        <v>1699817.6000000015</v>
      </c>
      <c r="K76" s="17">
        <v>2982991.93</v>
      </c>
      <c r="L76" s="17">
        <v>36456640.859999999</v>
      </c>
      <c r="M76" s="17">
        <v>98699.92</v>
      </c>
      <c r="N76" s="17">
        <v>0</v>
      </c>
      <c r="O76" s="17">
        <v>27160879.109999999</v>
      </c>
      <c r="P76" s="44">
        <v>170887.33333333334</v>
      </c>
      <c r="Q76" s="17">
        <v>27126825.780000001</v>
      </c>
      <c r="R76" s="17">
        <v>27202865.93</v>
      </c>
      <c r="S76" s="21">
        <v>-41986.820000000298</v>
      </c>
      <c r="T76" s="17">
        <v>1646785.2</v>
      </c>
      <c r="U76" s="17">
        <v>27085133.109999999</v>
      </c>
      <c r="V76" s="17">
        <v>476844.06</v>
      </c>
      <c r="W76" s="17">
        <v>0</v>
      </c>
      <c r="X76" s="22"/>
      <c r="Y76" s="44">
        <v>174036.66666666666</v>
      </c>
      <c r="Z76" s="22"/>
      <c r="AA76" s="22"/>
      <c r="AB76" s="22"/>
      <c r="AC76" s="22"/>
      <c r="AD76" s="22"/>
      <c r="AE76" s="22"/>
      <c r="AF76" s="22"/>
      <c r="AG76" s="22"/>
      <c r="AH76" s="44">
        <v>177186</v>
      </c>
      <c r="AI76" s="22"/>
      <c r="AJ76" s="22"/>
      <c r="AK76" s="22"/>
      <c r="AL76" s="22"/>
      <c r="AM76" s="22"/>
      <c r="AN76" s="22"/>
      <c r="AO76" s="22"/>
      <c r="AP76" s="22"/>
      <c r="AQ76" s="44">
        <v>176074</v>
      </c>
      <c r="AR76" s="22"/>
      <c r="AS76" s="22"/>
      <c r="AT76" s="22"/>
      <c r="AU76" s="22"/>
      <c r="AV76" s="22"/>
      <c r="AW76" s="22"/>
      <c r="AX76" s="22"/>
    </row>
    <row r="77" spans="1:50" x14ac:dyDescent="0.25">
      <c r="A77" s="13">
        <v>229</v>
      </c>
      <c r="B77" s="13" t="s">
        <v>85</v>
      </c>
      <c r="C77" s="13" t="s">
        <v>226</v>
      </c>
      <c r="D77" s="13" t="s">
        <v>206</v>
      </c>
      <c r="E77" s="13" t="s">
        <v>207</v>
      </c>
      <c r="F77" s="17">
        <v>34275504.390000001</v>
      </c>
      <c r="G77" s="44">
        <v>165037</v>
      </c>
      <c r="H77" s="17">
        <v>34800210.149999999</v>
      </c>
      <c r="I77" s="17">
        <v>34829502.530000001</v>
      </c>
      <c r="J77" s="21">
        <v>-553998.14</v>
      </c>
      <c r="K77" s="17">
        <v>2830380.72</v>
      </c>
      <c r="L77" s="17">
        <v>34275504.390000001</v>
      </c>
      <c r="M77" s="17">
        <v>9714.9699999999993</v>
      </c>
      <c r="N77" s="17">
        <v>0</v>
      </c>
      <c r="O77" s="17">
        <v>30619604.02</v>
      </c>
      <c r="P77" s="44">
        <v>169730.33333333331</v>
      </c>
      <c r="Q77" s="17">
        <v>30900456.59</v>
      </c>
      <c r="R77" s="17">
        <v>31022225.760000002</v>
      </c>
      <c r="S77" s="21">
        <v>-402621.74</v>
      </c>
      <c r="T77" s="17">
        <v>3208917.57</v>
      </c>
      <c r="U77" s="17">
        <v>30619604.02</v>
      </c>
      <c r="V77" s="17">
        <v>21615.34</v>
      </c>
      <c r="W77" s="17">
        <v>0</v>
      </c>
      <c r="X77" s="17">
        <v>22974552.09</v>
      </c>
      <c r="Y77" s="44">
        <v>174423.66666666669</v>
      </c>
      <c r="Z77" s="17">
        <v>21681698.739999998</v>
      </c>
      <c r="AA77" s="17">
        <v>21826785.440000001</v>
      </c>
      <c r="AB77" s="17">
        <v>1147766.6499999999</v>
      </c>
      <c r="AC77" s="17">
        <v>3214847.25</v>
      </c>
      <c r="AD77" s="17">
        <v>22974552.09</v>
      </c>
      <c r="AE77" s="17">
        <v>6937.16</v>
      </c>
      <c r="AF77" s="17">
        <v>0</v>
      </c>
      <c r="AG77" s="17">
        <v>16570646.220000001</v>
      </c>
      <c r="AH77" s="44">
        <v>179117</v>
      </c>
      <c r="AI77" s="17">
        <v>16247553.85</v>
      </c>
      <c r="AJ77" s="17">
        <v>16305217.380000001</v>
      </c>
      <c r="AK77" s="17">
        <v>265428.84000000003</v>
      </c>
      <c r="AL77" s="17">
        <v>2416522.5499999998</v>
      </c>
      <c r="AM77" s="17">
        <v>16570646.220000001</v>
      </c>
      <c r="AN77" s="17">
        <v>140</v>
      </c>
      <c r="AO77" s="17">
        <v>0</v>
      </c>
      <c r="AP77" s="22"/>
      <c r="AQ77" s="44">
        <v>178227</v>
      </c>
      <c r="AR77" s="22"/>
      <c r="AS77" s="22"/>
      <c r="AT77" s="22"/>
      <c r="AU77" s="22"/>
      <c r="AV77" s="22"/>
      <c r="AW77" s="22"/>
      <c r="AX77" s="22"/>
    </row>
    <row r="78" spans="1:50" x14ac:dyDescent="0.25">
      <c r="A78" s="13">
        <v>230</v>
      </c>
      <c r="B78" s="13" t="s">
        <v>86</v>
      </c>
      <c r="C78" s="13" t="s">
        <v>227</v>
      </c>
      <c r="D78" s="13" t="s">
        <v>206</v>
      </c>
      <c r="E78" s="13" t="s">
        <v>207</v>
      </c>
      <c r="F78" s="17">
        <v>348969.83</v>
      </c>
      <c r="G78" s="44">
        <v>29255</v>
      </c>
      <c r="H78" s="17">
        <v>354466.17</v>
      </c>
      <c r="I78" s="17">
        <v>354466.17</v>
      </c>
      <c r="J78" s="21">
        <v>-5496.34</v>
      </c>
      <c r="K78" s="17">
        <v>3895.95</v>
      </c>
      <c r="L78" s="17">
        <v>348969.83</v>
      </c>
      <c r="M78" s="21">
        <v>-1900.49</v>
      </c>
      <c r="N78" s="17">
        <v>0</v>
      </c>
      <c r="O78" s="17">
        <v>394808.68</v>
      </c>
      <c r="P78" s="44">
        <v>29307</v>
      </c>
      <c r="Q78" s="17">
        <v>391007.15</v>
      </c>
      <c r="R78" s="17">
        <v>400932.15</v>
      </c>
      <c r="S78" s="21">
        <v>-6123.47</v>
      </c>
      <c r="T78" s="17">
        <v>9135.42</v>
      </c>
      <c r="U78" s="17">
        <v>394808.68</v>
      </c>
      <c r="V78" s="17">
        <v>0</v>
      </c>
      <c r="W78" s="17">
        <v>0</v>
      </c>
      <c r="X78" s="17">
        <v>266066.15999999997</v>
      </c>
      <c r="Y78" s="44">
        <v>29359</v>
      </c>
      <c r="Z78" s="17">
        <v>272108.73</v>
      </c>
      <c r="AA78" s="17">
        <v>272108.73</v>
      </c>
      <c r="AB78" s="21">
        <v>-6042.57</v>
      </c>
      <c r="AC78" s="17">
        <v>15258.89</v>
      </c>
      <c r="AD78" s="17">
        <v>266066.15999999997</v>
      </c>
      <c r="AE78" s="17">
        <v>0</v>
      </c>
      <c r="AF78" s="17">
        <v>0</v>
      </c>
      <c r="AG78" s="17">
        <v>254003.96</v>
      </c>
      <c r="AH78" s="44">
        <v>29411</v>
      </c>
      <c r="AI78" s="17">
        <v>232468.11</v>
      </c>
      <c r="AJ78" s="17">
        <v>243512.11</v>
      </c>
      <c r="AK78" s="17">
        <v>10491.85</v>
      </c>
      <c r="AL78" s="17">
        <v>21301.46</v>
      </c>
      <c r="AM78" s="17">
        <v>254003.96</v>
      </c>
      <c r="AN78" s="17">
        <v>0</v>
      </c>
      <c r="AO78" s="17">
        <v>0</v>
      </c>
      <c r="AP78" s="17">
        <v>223481.22</v>
      </c>
      <c r="AQ78" s="44">
        <v>29363</v>
      </c>
      <c r="AR78" s="17">
        <v>237651.69</v>
      </c>
      <c r="AS78" s="17">
        <v>242953.09</v>
      </c>
      <c r="AT78" s="21">
        <v>-19471.87</v>
      </c>
      <c r="AU78" s="17">
        <v>19471.87</v>
      </c>
      <c r="AV78" s="17">
        <v>223481.22</v>
      </c>
      <c r="AW78" s="17">
        <v>0</v>
      </c>
      <c r="AX78" s="17">
        <v>0</v>
      </c>
    </row>
    <row r="79" spans="1:50" x14ac:dyDescent="0.25">
      <c r="A79" s="13">
        <v>231</v>
      </c>
      <c r="B79" s="13" t="s">
        <v>87</v>
      </c>
      <c r="C79" s="13" t="s">
        <v>228</v>
      </c>
      <c r="D79" s="13" t="s">
        <v>206</v>
      </c>
      <c r="E79" s="13" t="s">
        <v>207</v>
      </c>
      <c r="F79" s="17">
        <v>20924422.600000001</v>
      </c>
      <c r="G79" s="44">
        <v>139056</v>
      </c>
      <c r="H79" s="17">
        <v>20401563.809999999</v>
      </c>
      <c r="I79" s="17">
        <v>20623415.809999999</v>
      </c>
      <c r="J79" s="17">
        <v>301006.78999999998</v>
      </c>
      <c r="K79" s="17">
        <v>764335.59</v>
      </c>
      <c r="L79" s="17">
        <v>20924422.600000001</v>
      </c>
      <c r="M79" s="17">
        <v>584.46</v>
      </c>
      <c r="N79" s="17">
        <v>0</v>
      </c>
      <c r="O79" s="31">
        <v>15423760.85</v>
      </c>
      <c r="P79" s="44">
        <v>134089.33333333331</v>
      </c>
      <c r="Q79" s="31">
        <v>15602130.029999999</v>
      </c>
      <c r="R79" s="31">
        <v>15622853.93</v>
      </c>
      <c r="S79" s="40">
        <v>-199093.08000000007</v>
      </c>
      <c r="T79" s="31">
        <v>314729.37</v>
      </c>
      <c r="U79" s="31">
        <v>15423760.85</v>
      </c>
      <c r="V79" s="31">
        <v>418.43</v>
      </c>
      <c r="W79" s="31">
        <v>0</v>
      </c>
      <c r="X79" s="17">
        <v>11850884.119999999</v>
      </c>
      <c r="Y79" s="44">
        <v>129122.66666666667</v>
      </c>
      <c r="Z79" s="31">
        <v>11727883.26</v>
      </c>
      <c r="AA79" s="31">
        <v>11745976.26</v>
      </c>
      <c r="AB79" s="31">
        <v>104907.86</v>
      </c>
      <c r="AC79" s="31">
        <v>517030.1</v>
      </c>
      <c r="AD79" s="31">
        <v>11850884.119999999</v>
      </c>
      <c r="AE79" s="31">
        <v>0</v>
      </c>
      <c r="AF79" s="31">
        <v>0</v>
      </c>
      <c r="AG79" s="17">
        <v>9164982.7699999996</v>
      </c>
      <c r="AH79" s="44">
        <v>124156</v>
      </c>
      <c r="AI79" s="17">
        <v>9327708.7799999993</v>
      </c>
      <c r="AJ79" s="17">
        <v>9352438.7799999993</v>
      </c>
      <c r="AK79" s="21">
        <v>-187456.01</v>
      </c>
      <c r="AL79" s="17">
        <v>381342.96</v>
      </c>
      <c r="AM79" s="17">
        <v>9164982.7699999996</v>
      </c>
      <c r="AN79" s="17">
        <v>2084.84</v>
      </c>
      <c r="AO79" s="17">
        <v>0</v>
      </c>
      <c r="AP79" s="17">
        <v>7384188.3099999996</v>
      </c>
      <c r="AQ79" s="44">
        <v>123299</v>
      </c>
      <c r="AR79" s="17">
        <v>7546193.4000000004</v>
      </c>
      <c r="AS79" s="17">
        <v>7548783.4000000004</v>
      </c>
      <c r="AT79" s="21">
        <v>-164595.09</v>
      </c>
      <c r="AU79" s="17">
        <v>480049.93</v>
      </c>
      <c r="AV79" s="17">
        <v>7384188.3099999996</v>
      </c>
      <c r="AW79" s="17">
        <v>0</v>
      </c>
      <c r="AX79" s="17">
        <v>0</v>
      </c>
    </row>
    <row r="80" spans="1:50" x14ac:dyDescent="0.25">
      <c r="A80" s="13">
        <v>240</v>
      </c>
      <c r="B80" s="13" t="s">
        <v>88</v>
      </c>
      <c r="C80" s="13" t="s">
        <v>229</v>
      </c>
      <c r="D80" s="13" t="s">
        <v>230</v>
      </c>
      <c r="E80" s="13" t="s">
        <v>207</v>
      </c>
      <c r="F80" s="22"/>
      <c r="G80" s="44">
        <v>264069</v>
      </c>
      <c r="H80" s="22"/>
      <c r="I80" s="22"/>
      <c r="J80" s="22"/>
      <c r="K80" s="22"/>
      <c r="L80" s="22"/>
      <c r="M80" s="22"/>
      <c r="N80" s="22"/>
      <c r="O80" s="31">
        <v>18404345.079999998</v>
      </c>
      <c r="P80" s="44">
        <v>259849.66666666663</v>
      </c>
      <c r="Q80" s="31">
        <v>16960003.079999998</v>
      </c>
      <c r="R80" s="31">
        <v>16963699.760000002</v>
      </c>
      <c r="S80" s="31">
        <v>1440645.32</v>
      </c>
      <c r="T80" s="31">
        <v>257233.21</v>
      </c>
      <c r="U80" s="31">
        <v>16832916.510000002</v>
      </c>
      <c r="V80" s="31">
        <v>435085.43</v>
      </c>
      <c r="W80" s="31">
        <v>0</v>
      </c>
      <c r="X80" s="17">
        <v>13860830.279999999</v>
      </c>
      <c r="Y80" s="44">
        <v>255630.33333333337</v>
      </c>
      <c r="Z80" s="31">
        <v>14100536.039999999</v>
      </c>
      <c r="AA80" s="31">
        <v>14112466.85</v>
      </c>
      <c r="AB80" s="31">
        <v>-251636.57</v>
      </c>
      <c r="AC80" s="31">
        <v>832302.71</v>
      </c>
      <c r="AD80" s="31">
        <v>13860830.279999999</v>
      </c>
      <c r="AE80" s="31">
        <v>378091.04</v>
      </c>
      <c r="AF80" s="31">
        <v>0</v>
      </c>
      <c r="AG80" s="17">
        <v>10111500.369999999</v>
      </c>
      <c r="AH80" s="44">
        <v>251411</v>
      </c>
      <c r="AI80" s="17">
        <v>9761386.6699999999</v>
      </c>
      <c r="AJ80" s="17">
        <v>9776036.7100000009</v>
      </c>
      <c r="AK80" s="17">
        <v>335463.65999999997</v>
      </c>
      <c r="AL80" s="17">
        <v>832302.71</v>
      </c>
      <c r="AM80" s="17">
        <v>10111500.369999999</v>
      </c>
      <c r="AN80" s="17">
        <v>378091.04</v>
      </c>
      <c r="AO80" s="17">
        <v>0</v>
      </c>
      <c r="AP80" s="17">
        <v>9321392.2200000007</v>
      </c>
      <c r="AQ80" s="44">
        <v>252081</v>
      </c>
      <c r="AR80" s="17">
        <v>9357122.0399999991</v>
      </c>
      <c r="AS80" s="17">
        <v>9371590.4399999995</v>
      </c>
      <c r="AT80" s="21">
        <v>-50198.22</v>
      </c>
      <c r="AU80" s="17">
        <v>562247.27</v>
      </c>
      <c r="AV80" s="17">
        <v>9321392.2200000007</v>
      </c>
      <c r="AW80" s="17">
        <v>304435.64</v>
      </c>
      <c r="AX80" s="17">
        <v>0</v>
      </c>
    </row>
    <row r="81" spans="1:50" ht="25.5" x14ac:dyDescent="0.25">
      <c r="A81" s="13">
        <v>243</v>
      </c>
      <c r="B81" s="13" t="s">
        <v>89</v>
      </c>
      <c r="C81" s="13" t="s">
        <v>231</v>
      </c>
      <c r="D81" s="13" t="s">
        <v>230</v>
      </c>
      <c r="E81" s="13" t="s">
        <v>207</v>
      </c>
      <c r="F81" s="22"/>
      <c r="G81" s="44">
        <v>74150</v>
      </c>
      <c r="H81" s="22"/>
      <c r="I81" s="22"/>
      <c r="J81" s="22"/>
      <c r="K81" s="22"/>
      <c r="L81" s="22"/>
      <c r="M81" s="22"/>
      <c r="N81" s="22"/>
      <c r="O81" s="22"/>
      <c r="P81" s="44">
        <v>73016.333333333328</v>
      </c>
      <c r="Q81" s="22"/>
      <c r="R81" s="22"/>
      <c r="S81" s="22"/>
      <c r="T81" s="22"/>
      <c r="U81" s="22"/>
      <c r="V81" s="22"/>
      <c r="W81" s="22"/>
      <c r="X81" s="17">
        <v>158386457.66999999</v>
      </c>
      <c r="Y81" s="44">
        <v>71882.666666666672</v>
      </c>
      <c r="Z81" s="17">
        <v>134271669.65000001</v>
      </c>
      <c r="AA81" s="17">
        <v>156516050.13999999</v>
      </c>
      <c r="AB81" s="17">
        <v>1870407.53</v>
      </c>
      <c r="AC81" s="17">
        <v>50848779.109999999</v>
      </c>
      <c r="AD81" s="17">
        <v>155326871.91</v>
      </c>
      <c r="AE81" s="17">
        <v>15191322.279999999</v>
      </c>
      <c r="AF81" s="17">
        <v>116969304.03</v>
      </c>
      <c r="AG81" s="17">
        <v>134078498.76000001</v>
      </c>
      <c r="AH81" s="44">
        <v>70749</v>
      </c>
      <c r="AI81" s="17">
        <v>106315388.78</v>
      </c>
      <c r="AJ81" s="17">
        <v>121303167.75</v>
      </c>
      <c r="AK81" s="17">
        <v>12775331.01</v>
      </c>
      <c r="AL81" s="17">
        <v>52127377.68</v>
      </c>
      <c r="AM81" s="17">
        <v>129895792.70999999</v>
      </c>
      <c r="AN81" s="17">
        <v>10898209.970000001</v>
      </c>
      <c r="AO81" s="17">
        <v>137551312.62</v>
      </c>
      <c r="AP81" s="17">
        <v>20252323.09</v>
      </c>
      <c r="AQ81" s="44">
        <v>71367</v>
      </c>
      <c r="AR81" s="17">
        <v>16472255.029999999</v>
      </c>
      <c r="AS81" s="17">
        <v>16472255.029999999</v>
      </c>
      <c r="AT81" s="17">
        <v>3780068.06</v>
      </c>
      <c r="AU81" s="17">
        <v>6403.39</v>
      </c>
      <c r="AV81" s="17">
        <v>20252323.09</v>
      </c>
      <c r="AW81" s="17">
        <v>19272.96</v>
      </c>
      <c r="AX81" s="49">
        <v>154808806.78</v>
      </c>
    </row>
    <row r="82" spans="1:50" ht="25.5" x14ac:dyDescent="0.25">
      <c r="A82" s="13">
        <v>247</v>
      </c>
      <c r="B82" s="13" t="s">
        <v>90</v>
      </c>
      <c r="C82" s="13" t="s">
        <v>232</v>
      </c>
      <c r="D82" s="13" t="s">
        <v>230</v>
      </c>
      <c r="E82" s="13" t="s">
        <v>207</v>
      </c>
      <c r="F82" s="22"/>
      <c r="G82" s="44">
        <v>127365</v>
      </c>
      <c r="H82" s="22"/>
      <c r="I82" s="22"/>
      <c r="J82" s="22"/>
      <c r="K82" s="22"/>
      <c r="L82" s="22"/>
      <c r="M82" s="22"/>
      <c r="N82" s="22"/>
      <c r="O82" s="22"/>
      <c r="P82" s="44">
        <v>125041</v>
      </c>
      <c r="Q82" s="22"/>
      <c r="R82" s="22"/>
      <c r="S82" s="22"/>
      <c r="T82" s="22"/>
      <c r="U82" s="22"/>
      <c r="V82" s="22"/>
      <c r="W82" s="22"/>
      <c r="X82" s="22"/>
      <c r="Y82" s="44">
        <v>122717</v>
      </c>
      <c r="Z82" s="22"/>
      <c r="AA82" s="22"/>
      <c r="AB82" s="22"/>
      <c r="AC82" s="22"/>
      <c r="AD82" s="22"/>
      <c r="AE82" s="22"/>
      <c r="AF82" s="22"/>
      <c r="AG82" s="17">
        <v>375150.85</v>
      </c>
      <c r="AH82" s="44">
        <v>120393</v>
      </c>
      <c r="AI82" s="17">
        <v>239249.94</v>
      </c>
      <c r="AJ82" s="17">
        <v>456634.88</v>
      </c>
      <c r="AK82" s="21">
        <v>-81484.03</v>
      </c>
      <c r="AL82" s="17">
        <v>965375.68</v>
      </c>
      <c r="AM82" s="17">
        <v>375150.85</v>
      </c>
      <c r="AN82" s="17">
        <v>0</v>
      </c>
      <c r="AO82" s="17">
        <v>0</v>
      </c>
      <c r="AP82" s="17">
        <v>1079445.98</v>
      </c>
      <c r="AQ82" s="44">
        <v>119718</v>
      </c>
      <c r="AR82" s="17">
        <v>237619.86</v>
      </c>
      <c r="AS82" s="17">
        <v>237619.86</v>
      </c>
      <c r="AT82" s="17">
        <v>841826.12</v>
      </c>
      <c r="AU82" s="17">
        <v>1046859.71</v>
      </c>
      <c r="AV82" s="17">
        <v>344542.96</v>
      </c>
      <c r="AW82" s="17">
        <v>0</v>
      </c>
      <c r="AX82" s="17">
        <v>0</v>
      </c>
    </row>
    <row r="83" spans="1:50" x14ac:dyDescent="0.25">
      <c r="A83" s="13">
        <v>248</v>
      </c>
      <c r="B83" s="13" t="s">
        <v>91</v>
      </c>
      <c r="C83" s="13" t="s">
        <v>233</v>
      </c>
      <c r="D83" s="13" t="s">
        <v>230</v>
      </c>
      <c r="E83" s="13" t="s">
        <v>207</v>
      </c>
      <c r="F83" s="22"/>
      <c r="G83" s="44">
        <v>346413</v>
      </c>
      <c r="H83" s="22"/>
      <c r="I83" s="22"/>
      <c r="J83" s="22"/>
      <c r="K83" s="22"/>
      <c r="L83" s="22"/>
      <c r="M83" s="22"/>
      <c r="N83" s="22"/>
      <c r="O83" s="22"/>
      <c r="P83" s="44">
        <v>347684.66666666669</v>
      </c>
      <c r="Q83" s="22"/>
      <c r="R83" s="22"/>
      <c r="S83" s="22"/>
      <c r="T83" s="22"/>
      <c r="U83" s="22"/>
      <c r="V83" s="22"/>
      <c r="W83" s="22"/>
      <c r="X83" s="22"/>
      <c r="Y83" s="44">
        <v>348956.33333333331</v>
      </c>
      <c r="Z83" s="22"/>
      <c r="AA83" s="22"/>
      <c r="AB83" s="22"/>
      <c r="AC83" s="22"/>
      <c r="AD83" s="22"/>
      <c r="AE83" s="22"/>
      <c r="AF83" s="22"/>
      <c r="AG83" s="17">
        <v>65705658.579999998</v>
      </c>
      <c r="AH83" s="44">
        <v>350228</v>
      </c>
      <c r="AI83" s="17">
        <v>64716043.619999997</v>
      </c>
      <c r="AJ83" s="17">
        <v>64736493.049999997</v>
      </c>
      <c r="AK83" s="17">
        <v>969165.53</v>
      </c>
      <c r="AL83" s="17">
        <v>5376049.5800000001</v>
      </c>
      <c r="AM83" s="17">
        <v>65705658.579999998</v>
      </c>
      <c r="AN83" s="17">
        <v>3622929.67</v>
      </c>
      <c r="AO83" s="17">
        <v>0</v>
      </c>
      <c r="AP83" s="17">
        <v>47826683.299999997</v>
      </c>
      <c r="AQ83" s="44">
        <v>347751</v>
      </c>
      <c r="AR83" s="17">
        <v>45110917.729999997</v>
      </c>
      <c r="AS83" s="17">
        <v>45119481.229999997</v>
      </c>
      <c r="AT83" s="17">
        <v>2707202.07</v>
      </c>
      <c r="AU83" s="17">
        <v>4632206.05</v>
      </c>
      <c r="AV83" s="17">
        <v>47826683.299999997</v>
      </c>
      <c r="AW83" s="17">
        <v>3858244.19</v>
      </c>
      <c r="AX83" s="17">
        <v>0</v>
      </c>
    </row>
    <row r="84" spans="1:50" x14ac:dyDescent="0.25">
      <c r="A84" s="13">
        <v>250</v>
      </c>
      <c r="B84" s="13" t="s">
        <v>92</v>
      </c>
      <c r="C84" s="13" t="s">
        <v>234</v>
      </c>
      <c r="D84" s="13" t="s">
        <v>230</v>
      </c>
      <c r="E84" s="13" t="s">
        <v>207</v>
      </c>
      <c r="F84" s="22"/>
      <c r="G84" s="44">
        <v>290403</v>
      </c>
      <c r="H84" s="22"/>
      <c r="I84" s="22"/>
      <c r="J84" s="22"/>
      <c r="K84" s="22"/>
      <c r="L84" s="22"/>
      <c r="M84" s="22"/>
      <c r="N84" s="22"/>
      <c r="O84" s="17">
        <v>1170656.8400000001</v>
      </c>
      <c r="P84" s="44">
        <v>296290.66666666669</v>
      </c>
      <c r="Q84" s="17">
        <v>1009174.14</v>
      </c>
      <c r="R84" s="17">
        <v>1023367.58</v>
      </c>
      <c r="S84" s="17">
        <v>147289.26</v>
      </c>
      <c r="T84" s="17">
        <v>905233.05</v>
      </c>
      <c r="U84" s="17">
        <v>1170656.8400000001</v>
      </c>
      <c r="V84" s="17">
        <v>151692.51999999999</v>
      </c>
      <c r="W84" s="17">
        <v>298879.23</v>
      </c>
      <c r="X84" s="17">
        <v>895896.93</v>
      </c>
      <c r="Y84" s="44">
        <v>302178.33333333331</v>
      </c>
      <c r="Z84" s="17">
        <v>764871.16</v>
      </c>
      <c r="AA84" s="17">
        <v>786271.96</v>
      </c>
      <c r="AB84" s="17">
        <v>109624.97</v>
      </c>
      <c r="AC84" s="17">
        <v>593446.03</v>
      </c>
      <c r="AD84" s="17">
        <v>895896.93</v>
      </c>
      <c r="AE84" s="17">
        <v>91882.26</v>
      </c>
      <c r="AF84" s="17">
        <v>315355.07</v>
      </c>
      <c r="AG84" s="17">
        <v>2072798.11</v>
      </c>
      <c r="AH84" s="44">
        <v>308066</v>
      </c>
      <c r="AI84" s="17">
        <v>2013054.34</v>
      </c>
      <c r="AJ84" s="17">
        <v>2023087.34</v>
      </c>
      <c r="AK84" s="17">
        <v>49710.77</v>
      </c>
      <c r="AL84" s="17">
        <v>510550.72</v>
      </c>
      <c r="AM84" s="17">
        <v>2072798.11</v>
      </c>
      <c r="AN84" s="17">
        <v>186009.05</v>
      </c>
      <c r="AO84" s="17">
        <v>282403.39</v>
      </c>
      <c r="AP84" s="17">
        <v>6304032.5199999996</v>
      </c>
      <c r="AQ84" s="44">
        <v>307273</v>
      </c>
      <c r="AR84" s="17">
        <v>6120295.8700000001</v>
      </c>
      <c r="AS84" s="17">
        <v>6131727.21</v>
      </c>
      <c r="AT84" s="17">
        <v>172295.31</v>
      </c>
      <c r="AU84" s="17">
        <v>408097.96</v>
      </c>
      <c r="AV84" s="17">
        <v>6304032.5199999996</v>
      </c>
      <c r="AW84" s="17">
        <v>235274.02</v>
      </c>
      <c r="AX84" s="17">
        <v>282403.39</v>
      </c>
    </row>
    <row r="85" spans="1:50" x14ac:dyDescent="0.25">
      <c r="A85" s="13">
        <v>254</v>
      </c>
      <c r="B85" s="13" t="s">
        <v>93</v>
      </c>
      <c r="C85" s="13" t="s">
        <v>235</v>
      </c>
      <c r="D85" s="13" t="s">
        <v>217</v>
      </c>
      <c r="E85" s="13" t="s">
        <v>207</v>
      </c>
      <c r="F85" s="22"/>
      <c r="G85" s="44">
        <v>294066</v>
      </c>
      <c r="H85" s="22"/>
      <c r="I85" s="22"/>
      <c r="J85" s="22"/>
      <c r="K85" s="22"/>
      <c r="L85" s="22"/>
      <c r="M85" s="22"/>
      <c r="N85" s="22"/>
      <c r="O85" s="22"/>
      <c r="P85" s="44">
        <v>291997.66666666674</v>
      </c>
      <c r="Q85" s="22"/>
      <c r="R85" s="22"/>
      <c r="S85" s="22"/>
      <c r="T85" s="22"/>
      <c r="U85" s="22"/>
      <c r="V85" s="22"/>
      <c r="W85" s="22"/>
      <c r="X85" s="22"/>
      <c r="Y85" s="44">
        <v>289929.33333333326</v>
      </c>
      <c r="Z85" s="22"/>
      <c r="AA85" s="22"/>
      <c r="AB85" s="22"/>
      <c r="AC85" s="22"/>
      <c r="AD85" s="22"/>
      <c r="AE85" s="22"/>
      <c r="AF85" s="22"/>
      <c r="AG85" s="17">
        <v>5796122.5800000001</v>
      </c>
      <c r="AH85" s="44">
        <v>287861</v>
      </c>
      <c r="AI85" s="17">
        <v>5223606.74</v>
      </c>
      <c r="AJ85" s="17">
        <v>5223976.74</v>
      </c>
      <c r="AK85" s="17">
        <v>572145.84</v>
      </c>
      <c r="AL85" s="17">
        <v>1749733.23</v>
      </c>
      <c r="AM85" s="17">
        <v>5796122.5800000001</v>
      </c>
      <c r="AN85" s="17">
        <v>59832.47</v>
      </c>
      <c r="AO85" s="17">
        <v>8087.02</v>
      </c>
      <c r="AP85" s="17">
        <v>3863275.28</v>
      </c>
      <c r="AQ85" s="44">
        <v>286287</v>
      </c>
      <c r="AR85" s="17">
        <v>4145706.56</v>
      </c>
      <c r="AS85" s="17">
        <v>4145706.56</v>
      </c>
      <c r="AT85" s="21">
        <v>-282431.28000000003</v>
      </c>
      <c r="AU85" s="17">
        <v>701080.13</v>
      </c>
      <c r="AV85" s="17">
        <v>3863275.28</v>
      </c>
      <c r="AW85" s="17">
        <v>25111.68</v>
      </c>
      <c r="AX85" s="17">
        <v>8087.02</v>
      </c>
    </row>
    <row r="86" spans="1:50" x14ac:dyDescent="0.25">
      <c r="A86" s="13">
        <v>302</v>
      </c>
      <c r="B86" s="13" t="s">
        <v>94</v>
      </c>
      <c r="C86" s="13" t="s">
        <v>236</v>
      </c>
      <c r="D86" s="13" t="s">
        <v>206</v>
      </c>
      <c r="E86" s="13" t="s">
        <v>207</v>
      </c>
      <c r="F86" s="17">
        <v>11191857.82</v>
      </c>
      <c r="G86" s="44">
        <v>410246</v>
      </c>
      <c r="H86" s="17">
        <v>4613435.6900000004</v>
      </c>
      <c r="I86" s="17">
        <v>4639105.45</v>
      </c>
      <c r="J86" s="17">
        <v>6552752.3700000001</v>
      </c>
      <c r="K86" s="17">
        <v>11484679.380000001</v>
      </c>
      <c r="L86" s="17">
        <v>11191857.82</v>
      </c>
      <c r="M86" s="17">
        <v>442042.44</v>
      </c>
      <c r="N86" s="17">
        <v>0</v>
      </c>
      <c r="O86" s="17">
        <v>72733253.390000001</v>
      </c>
      <c r="P86" s="44">
        <v>406798.33333333326</v>
      </c>
      <c r="Q86" s="17">
        <v>72064933.180000007</v>
      </c>
      <c r="R86" s="17">
        <v>74190771.939999998</v>
      </c>
      <c r="S86" s="21">
        <v>-1457518.55</v>
      </c>
      <c r="T86" s="17">
        <v>8612823.5299999993</v>
      </c>
      <c r="U86" s="17">
        <v>72064933.180000007</v>
      </c>
      <c r="V86" s="17">
        <v>394096.36</v>
      </c>
      <c r="W86" s="17">
        <v>0</v>
      </c>
      <c r="X86" s="17">
        <v>61551002.649999999</v>
      </c>
      <c r="Y86" s="44">
        <v>403350.66666666674</v>
      </c>
      <c r="Z86" s="17">
        <v>59633910.509999998</v>
      </c>
      <c r="AA86" s="17">
        <v>59763735.960000001</v>
      </c>
      <c r="AB86" s="17">
        <v>1787266.69</v>
      </c>
      <c r="AC86" s="17">
        <v>9920909.8200000003</v>
      </c>
      <c r="AD86" s="17">
        <v>61551002.649999999</v>
      </c>
      <c r="AE86" s="17">
        <v>393157.72</v>
      </c>
      <c r="AF86" s="17">
        <v>0</v>
      </c>
      <c r="AG86" s="22"/>
      <c r="AH86" s="44">
        <v>399903</v>
      </c>
      <c r="AI86" s="22"/>
      <c r="AJ86" s="22"/>
      <c r="AK86" s="22"/>
      <c r="AL86" s="22"/>
      <c r="AM86" s="22"/>
      <c r="AN86" s="22"/>
      <c r="AO86" s="22"/>
      <c r="AP86" s="17">
        <v>36040731.009999998</v>
      </c>
      <c r="AQ86" s="44">
        <v>399401</v>
      </c>
      <c r="AR86" s="17">
        <v>31537474.710000001</v>
      </c>
      <c r="AS86" s="17">
        <v>31674443.59</v>
      </c>
      <c r="AT86" s="17">
        <v>4366287.42</v>
      </c>
      <c r="AU86" s="17">
        <v>8256575</v>
      </c>
      <c r="AV86" s="17">
        <v>34341244.119999997</v>
      </c>
      <c r="AW86" s="17">
        <v>100330.24000000001</v>
      </c>
      <c r="AX86" s="17">
        <v>0</v>
      </c>
    </row>
    <row r="87" spans="1:50" x14ac:dyDescent="0.25">
      <c r="A87" s="13">
        <v>303</v>
      </c>
      <c r="B87" s="13" t="s">
        <v>95</v>
      </c>
      <c r="C87" s="13" t="s">
        <v>237</v>
      </c>
      <c r="D87" s="13" t="s">
        <v>206</v>
      </c>
      <c r="E87" s="13" t="s">
        <v>207</v>
      </c>
      <c r="F87" s="17">
        <v>78857347.629999995</v>
      </c>
      <c r="G87" s="44">
        <v>1012418</v>
      </c>
      <c r="H87" s="17">
        <v>78022943.659999996</v>
      </c>
      <c r="I87" s="17">
        <v>78707373.810000002</v>
      </c>
      <c r="J87" s="17">
        <v>149973.82</v>
      </c>
      <c r="K87" s="17">
        <v>19514196.289999999</v>
      </c>
      <c r="L87" s="17">
        <v>76789370.819999993</v>
      </c>
      <c r="M87" s="17">
        <v>1474973.11</v>
      </c>
      <c r="N87" s="49">
        <v>16277620.01</v>
      </c>
      <c r="O87" s="17">
        <v>69926504.540000007</v>
      </c>
      <c r="P87" s="44">
        <v>1015963.6666666667</v>
      </c>
      <c r="Q87" s="17">
        <v>65567842.539999999</v>
      </c>
      <c r="R87" s="17">
        <v>69098174.609999999</v>
      </c>
      <c r="S87" s="17">
        <v>828329.93</v>
      </c>
      <c r="T87" s="17">
        <v>19889503.719999999</v>
      </c>
      <c r="U87" s="17">
        <v>67650427.840000004</v>
      </c>
      <c r="V87" s="17">
        <v>1306345.3500000001</v>
      </c>
      <c r="W87" s="49">
        <v>16960215.16</v>
      </c>
      <c r="X87" s="17">
        <v>67388451.670000002</v>
      </c>
      <c r="Y87" s="44">
        <v>1019509.3333333333</v>
      </c>
      <c r="Z87" s="17">
        <v>63768338.799999997</v>
      </c>
      <c r="AA87" s="17">
        <v>65549748.159999996</v>
      </c>
      <c r="AB87" s="17">
        <v>1838703.51</v>
      </c>
      <c r="AC87" s="17">
        <v>15376835.210000001</v>
      </c>
      <c r="AD87" s="17">
        <v>66279260.200000003</v>
      </c>
      <c r="AE87" s="17">
        <v>733794.55</v>
      </c>
      <c r="AF87" s="49">
        <v>18033229.640000001</v>
      </c>
      <c r="AG87" s="17">
        <v>68301746.459999993</v>
      </c>
      <c r="AH87" s="44">
        <v>1023055</v>
      </c>
      <c r="AI87" s="17">
        <v>62233984.75</v>
      </c>
      <c r="AJ87" s="17">
        <v>63246783.390000001</v>
      </c>
      <c r="AK87" s="17">
        <v>5054963.07</v>
      </c>
      <c r="AL87" s="17">
        <v>11086248.57</v>
      </c>
      <c r="AM87" s="17">
        <v>68236615.120000005</v>
      </c>
      <c r="AN87" s="17">
        <v>810662.32</v>
      </c>
      <c r="AO87" s="17">
        <v>2823730.57</v>
      </c>
      <c r="AP87" s="17">
        <v>62713000.659999996</v>
      </c>
      <c r="AQ87" s="44">
        <v>1014858</v>
      </c>
      <c r="AR87" s="17">
        <v>59177925</v>
      </c>
      <c r="AS87" s="17">
        <v>59811093</v>
      </c>
      <c r="AT87" s="17">
        <v>2901907</v>
      </c>
      <c r="AU87" s="17">
        <v>7715991</v>
      </c>
      <c r="AV87" s="17">
        <v>62127764.149999999</v>
      </c>
      <c r="AW87" s="17">
        <v>19837</v>
      </c>
      <c r="AX87" s="17">
        <v>2933705</v>
      </c>
    </row>
    <row r="88" spans="1:50" ht="25.5" x14ac:dyDescent="0.25">
      <c r="A88" s="13">
        <v>304</v>
      </c>
      <c r="B88" s="13" t="s">
        <v>96</v>
      </c>
      <c r="C88" s="13" t="s">
        <v>238</v>
      </c>
      <c r="D88" s="13" t="s">
        <v>206</v>
      </c>
      <c r="E88" s="13" t="s">
        <v>207</v>
      </c>
      <c r="F88" s="17">
        <v>15403446.66</v>
      </c>
      <c r="G88" s="44">
        <v>71065</v>
      </c>
      <c r="H88" s="17">
        <v>15016887.199999999</v>
      </c>
      <c r="I88" s="17">
        <v>15041049.699999999</v>
      </c>
      <c r="J88" s="17">
        <v>362396.96</v>
      </c>
      <c r="K88" s="17">
        <v>1123063.44</v>
      </c>
      <c r="L88" s="17">
        <v>15379564.66</v>
      </c>
      <c r="M88" s="17">
        <v>0</v>
      </c>
      <c r="N88" s="17">
        <v>0</v>
      </c>
      <c r="O88" s="17">
        <v>12564662.199999999</v>
      </c>
      <c r="P88" s="44">
        <v>70155.333333333343</v>
      </c>
      <c r="Q88" s="17">
        <v>12796422.890000001</v>
      </c>
      <c r="R88" s="17">
        <v>12798912.890000001</v>
      </c>
      <c r="S88" s="21">
        <v>-234250.69</v>
      </c>
      <c r="T88" s="17">
        <v>1192232.29</v>
      </c>
      <c r="U88" s="17">
        <v>12564662.199999999</v>
      </c>
      <c r="V88" s="17">
        <v>431565.81</v>
      </c>
      <c r="W88" s="17">
        <v>0</v>
      </c>
      <c r="X88" s="17">
        <v>10722279.17</v>
      </c>
      <c r="Y88" s="44">
        <v>69245.666666666672</v>
      </c>
      <c r="Z88" s="17">
        <v>9979147.3599999994</v>
      </c>
      <c r="AA88" s="17">
        <v>9979147.3599999994</v>
      </c>
      <c r="AB88" s="17">
        <v>743131.81</v>
      </c>
      <c r="AC88" s="17">
        <v>1082054.27</v>
      </c>
      <c r="AD88" s="17">
        <v>10722279.17</v>
      </c>
      <c r="AE88" s="17">
        <v>87137.1</v>
      </c>
      <c r="AF88" s="17">
        <v>0</v>
      </c>
      <c r="AG88" s="17">
        <v>7886517.1900000004</v>
      </c>
      <c r="AH88" s="44">
        <v>68336</v>
      </c>
      <c r="AI88" s="17">
        <v>7743987.4900000002</v>
      </c>
      <c r="AJ88" s="17">
        <v>7767285.9299999997</v>
      </c>
      <c r="AK88" s="17">
        <v>119231.26</v>
      </c>
      <c r="AL88" s="17">
        <v>251785.36</v>
      </c>
      <c r="AM88" s="17">
        <v>7886517.1900000004</v>
      </c>
      <c r="AN88" s="17">
        <v>0</v>
      </c>
      <c r="AO88" s="17">
        <v>0</v>
      </c>
      <c r="AP88" s="17">
        <v>6572799</v>
      </c>
      <c r="AQ88" s="44">
        <v>68447</v>
      </c>
      <c r="AR88" s="17">
        <v>6512307.4500000002</v>
      </c>
      <c r="AS88" s="17">
        <v>6881448.4500000002</v>
      </c>
      <c r="AT88" s="21">
        <v>-308649.45</v>
      </c>
      <c r="AU88" s="17">
        <v>147059.25</v>
      </c>
      <c r="AV88" s="17">
        <v>6551083.3200000003</v>
      </c>
      <c r="AW88" s="17">
        <v>14505.15</v>
      </c>
      <c r="AX88" s="17">
        <v>0</v>
      </c>
    </row>
    <row r="89" spans="1:50" ht="25.5" x14ac:dyDescent="0.25">
      <c r="A89" s="13">
        <v>307</v>
      </c>
      <c r="B89" s="13" t="s">
        <v>97</v>
      </c>
      <c r="C89" s="13" t="s">
        <v>239</v>
      </c>
      <c r="D89" s="13" t="s">
        <v>230</v>
      </c>
      <c r="E89" s="13" t="s">
        <v>207</v>
      </c>
      <c r="F89" s="17">
        <v>522154.19</v>
      </c>
      <c r="G89" s="44">
        <v>592908</v>
      </c>
      <c r="H89" s="17">
        <v>336557.96</v>
      </c>
      <c r="I89" s="17">
        <v>420826.1</v>
      </c>
      <c r="J89" s="17">
        <v>101328.09</v>
      </c>
      <c r="K89" s="17">
        <v>572819.78</v>
      </c>
      <c r="L89" s="17">
        <v>522154.19</v>
      </c>
      <c r="M89" s="17">
        <v>9101.86</v>
      </c>
      <c r="N89" s="17">
        <v>0</v>
      </c>
      <c r="O89" s="22"/>
      <c r="P89" s="44">
        <v>593926</v>
      </c>
      <c r="Q89" s="22"/>
      <c r="R89" s="22"/>
      <c r="S89" s="22"/>
      <c r="T89" s="22"/>
      <c r="U89" s="22"/>
      <c r="V89" s="22"/>
      <c r="W89" s="22"/>
      <c r="X89" s="22"/>
      <c r="Y89" s="44">
        <v>594944</v>
      </c>
      <c r="Z89" s="22"/>
      <c r="AA89" s="22"/>
      <c r="AB89" s="22"/>
      <c r="AC89" s="22"/>
      <c r="AD89" s="22"/>
      <c r="AE89" s="22"/>
      <c r="AF89" s="22"/>
      <c r="AG89" s="22"/>
      <c r="AH89" s="44">
        <v>595962</v>
      </c>
      <c r="AI89" s="22"/>
      <c r="AJ89" s="22"/>
      <c r="AK89" s="22"/>
      <c r="AL89" s="22"/>
      <c r="AM89" s="22"/>
      <c r="AN89" s="22"/>
      <c r="AO89" s="22"/>
      <c r="AP89" s="22"/>
      <c r="AQ89" s="44">
        <v>597167</v>
      </c>
      <c r="AR89" s="22"/>
      <c r="AS89" s="22"/>
      <c r="AT89" s="22"/>
      <c r="AU89" s="22"/>
      <c r="AV89" s="22"/>
      <c r="AW89" s="22"/>
      <c r="AX89" s="22"/>
    </row>
    <row r="90" spans="1:50" ht="25.5" x14ac:dyDescent="0.25">
      <c r="A90" s="13">
        <v>320</v>
      </c>
      <c r="B90" s="13" t="s">
        <v>98</v>
      </c>
      <c r="C90" s="13" t="s">
        <v>240</v>
      </c>
      <c r="D90" s="13" t="s">
        <v>206</v>
      </c>
      <c r="E90" s="13" t="s">
        <v>207</v>
      </c>
      <c r="F90" s="17">
        <v>72257565.510000005</v>
      </c>
      <c r="G90" s="44">
        <v>1332168</v>
      </c>
      <c r="H90" s="17">
        <v>55207409.600000001</v>
      </c>
      <c r="I90" s="17">
        <v>55786284.399999999</v>
      </c>
      <c r="J90" s="17">
        <v>16471281.109999999</v>
      </c>
      <c r="K90" s="17">
        <v>21699957.829999998</v>
      </c>
      <c r="L90" s="17">
        <v>72257565.510000005</v>
      </c>
      <c r="M90" s="17">
        <v>1753234.51</v>
      </c>
      <c r="N90" s="17">
        <v>0</v>
      </c>
      <c r="O90" s="17">
        <v>50402526.25</v>
      </c>
      <c r="P90" s="44">
        <v>1313980.6666666667</v>
      </c>
      <c r="Q90" s="17">
        <v>49290441.890000001</v>
      </c>
      <c r="R90" s="17">
        <v>49424952.520000003</v>
      </c>
      <c r="S90" s="17">
        <v>977573.73</v>
      </c>
      <c r="T90" s="17">
        <v>7166877.0499999998</v>
      </c>
      <c r="U90" s="17">
        <v>50402526.25</v>
      </c>
      <c r="V90" s="17">
        <v>3684233.98</v>
      </c>
      <c r="W90" s="17">
        <v>0</v>
      </c>
      <c r="X90" s="17">
        <v>43329925.310000002</v>
      </c>
      <c r="Y90" s="44">
        <v>1295793.333333333</v>
      </c>
      <c r="Z90" s="17">
        <v>44089591.609999999</v>
      </c>
      <c r="AA90" s="17">
        <v>44455778.590000004</v>
      </c>
      <c r="AB90" s="21">
        <v>-1125853.28</v>
      </c>
      <c r="AC90" s="17">
        <v>5372006.8300000001</v>
      </c>
      <c r="AD90" s="17">
        <v>43329925.310000002</v>
      </c>
      <c r="AE90" s="17">
        <v>2633517.7000000002</v>
      </c>
      <c r="AF90" s="17">
        <v>0</v>
      </c>
      <c r="AG90" s="31">
        <v>37157138.979999997</v>
      </c>
      <c r="AH90" s="48">
        <v>1277606</v>
      </c>
      <c r="AI90" s="31">
        <v>38708075.170000002</v>
      </c>
      <c r="AJ90" s="31">
        <v>38920023.979999997</v>
      </c>
      <c r="AK90" s="31">
        <v>-1762885</v>
      </c>
      <c r="AL90" s="31">
        <v>3623069.89</v>
      </c>
      <c r="AM90" s="31">
        <v>37157138.979999997</v>
      </c>
      <c r="AN90" s="31">
        <v>129095.73</v>
      </c>
      <c r="AO90" s="31">
        <v>0</v>
      </c>
      <c r="AP90" s="31">
        <v>38350277.240000002</v>
      </c>
      <c r="AQ90" s="48">
        <v>1276128</v>
      </c>
      <c r="AR90" s="31">
        <v>36612285.939999998</v>
      </c>
      <c r="AS90" s="31">
        <v>36813350.759999998</v>
      </c>
      <c r="AT90" s="31">
        <v>1536926.48</v>
      </c>
      <c r="AU90" s="31">
        <v>5384039.3399999999</v>
      </c>
      <c r="AV90" s="31">
        <v>38350277.240000002</v>
      </c>
      <c r="AW90" s="31">
        <v>217965.05</v>
      </c>
      <c r="AX90" s="31">
        <v>0</v>
      </c>
    </row>
    <row r="91" spans="1:50" x14ac:dyDescent="0.25">
      <c r="A91" s="13">
        <v>322</v>
      </c>
      <c r="B91" s="13" t="s">
        <v>99</v>
      </c>
      <c r="C91" s="13" t="s">
        <v>241</v>
      </c>
      <c r="D91" s="13" t="s">
        <v>206</v>
      </c>
      <c r="E91" s="13" t="s">
        <v>207</v>
      </c>
      <c r="F91" s="22"/>
      <c r="G91" s="44">
        <v>1072513</v>
      </c>
      <c r="H91" s="22"/>
      <c r="I91" s="22"/>
      <c r="J91" s="22"/>
      <c r="K91" s="22"/>
      <c r="L91" s="22"/>
      <c r="M91" s="22"/>
      <c r="N91" s="22"/>
      <c r="O91" s="17">
        <v>28610094.809999999</v>
      </c>
      <c r="P91" s="44">
        <v>1063614.6666666665</v>
      </c>
      <c r="Q91" s="17">
        <v>28610094.809999999</v>
      </c>
      <c r="R91" s="17">
        <v>28910533.870000001</v>
      </c>
      <c r="S91" s="17">
        <v>4506246.5599999996</v>
      </c>
      <c r="T91" s="17">
        <v>6070813.3700000001</v>
      </c>
      <c r="U91" s="17">
        <v>33416780.43</v>
      </c>
      <c r="V91" s="17">
        <v>1532760.97</v>
      </c>
      <c r="W91" s="17">
        <v>0</v>
      </c>
      <c r="X91" s="22"/>
      <c r="Y91" s="44">
        <v>1054716.3333333335</v>
      </c>
      <c r="Z91" s="22"/>
      <c r="AA91" s="22"/>
      <c r="AB91" s="22"/>
      <c r="AC91" s="22"/>
      <c r="AD91" s="22"/>
      <c r="AE91" s="22"/>
      <c r="AF91" s="22"/>
      <c r="AG91" s="22"/>
      <c r="AH91" s="44">
        <v>1045818</v>
      </c>
      <c r="AI91" s="22"/>
      <c r="AJ91" s="22"/>
      <c r="AK91" s="22"/>
      <c r="AL91" s="22"/>
      <c r="AM91" s="22"/>
      <c r="AN91" s="22"/>
      <c r="AO91" s="22"/>
      <c r="AP91" s="22"/>
      <c r="AQ91" s="44">
        <v>1035633</v>
      </c>
      <c r="AR91" s="22"/>
      <c r="AS91" s="22"/>
      <c r="AT91" s="22"/>
      <c r="AU91" s="22"/>
      <c r="AV91" s="22"/>
      <c r="AW91" s="22"/>
      <c r="AX91" s="22"/>
    </row>
    <row r="92" spans="1:50" x14ac:dyDescent="0.25">
      <c r="A92" s="13">
        <v>1</v>
      </c>
      <c r="B92" s="13" t="s">
        <v>100</v>
      </c>
      <c r="C92" s="13" t="s">
        <v>242</v>
      </c>
      <c r="D92" s="13" t="s">
        <v>243</v>
      </c>
      <c r="E92" s="13" t="s">
        <v>244</v>
      </c>
      <c r="F92" s="17">
        <v>2961956.38</v>
      </c>
      <c r="G92" s="44">
        <v>166527</v>
      </c>
      <c r="H92" s="17">
        <v>2918498.24</v>
      </c>
      <c r="I92" s="17">
        <v>2967654.48</v>
      </c>
      <c r="J92" s="17">
        <v>5698.1</v>
      </c>
      <c r="K92" s="17">
        <v>3032.81</v>
      </c>
      <c r="L92" s="17">
        <v>2961956.38</v>
      </c>
      <c r="M92" s="17">
        <v>13243.57</v>
      </c>
      <c r="N92" s="17">
        <v>51168.639999999999</v>
      </c>
      <c r="O92" s="17">
        <v>2858259.23</v>
      </c>
      <c r="P92" s="44">
        <v>169923.33333333334</v>
      </c>
      <c r="Q92" s="17">
        <v>2813167.62</v>
      </c>
      <c r="R92" s="17">
        <v>2858192.58</v>
      </c>
      <c r="S92" s="17">
        <v>66.650000000000006</v>
      </c>
      <c r="T92" s="17">
        <v>6996.86</v>
      </c>
      <c r="U92" s="17">
        <v>2858259.23</v>
      </c>
      <c r="V92" s="21">
        <v>-9403.08</v>
      </c>
      <c r="W92" s="17">
        <v>98325.36</v>
      </c>
      <c r="X92" s="22"/>
      <c r="Y92" s="44">
        <v>173319.66666666666</v>
      </c>
      <c r="Z92" s="22"/>
      <c r="AA92" s="22"/>
      <c r="AB92" s="22"/>
      <c r="AC92" s="22"/>
      <c r="AD92" s="22"/>
      <c r="AE92" s="22"/>
      <c r="AF92" s="22"/>
      <c r="AG92" s="17">
        <v>1859202.17</v>
      </c>
      <c r="AH92" s="44">
        <v>176716</v>
      </c>
      <c r="AI92" s="17">
        <v>1840834.61</v>
      </c>
      <c r="AJ92" s="17">
        <v>1852588.19</v>
      </c>
      <c r="AK92" s="17">
        <v>6613.98</v>
      </c>
      <c r="AL92" s="17">
        <v>12561.13</v>
      </c>
      <c r="AM92" s="17">
        <v>1859202.17</v>
      </c>
      <c r="AN92" s="17">
        <v>8657.2999999999993</v>
      </c>
      <c r="AO92" s="17">
        <v>131721</v>
      </c>
      <c r="AP92" s="17">
        <v>2754337.38</v>
      </c>
      <c r="AQ92" s="44">
        <v>176213</v>
      </c>
      <c r="AR92" s="17">
        <v>2705271.32</v>
      </c>
      <c r="AS92" s="17">
        <v>2725017.74</v>
      </c>
      <c r="AT92" s="17">
        <v>29319.64</v>
      </c>
      <c r="AU92" s="17">
        <v>7127.82</v>
      </c>
      <c r="AV92" s="17">
        <v>2754337.38</v>
      </c>
      <c r="AW92" s="17">
        <v>22774.09</v>
      </c>
      <c r="AX92" s="17">
        <v>156776.53</v>
      </c>
    </row>
    <row r="93" spans="1:50" x14ac:dyDescent="0.25">
      <c r="A93" s="13">
        <v>2</v>
      </c>
      <c r="B93" s="13" t="s">
        <v>101</v>
      </c>
      <c r="C93" s="13" t="s">
        <v>245</v>
      </c>
      <c r="D93" s="13" t="s">
        <v>243</v>
      </c>
      <c r="E93" s="13" t="s">
        <v>244</v>
      </c>
      <c r="F93" s="17">
        <v>14427452.17</v>
      </c>
      <c r="G93" s="44">
        <v>2024442</v>
      </c>
      <c r="H93" s="17">
        <v>8322396.9199999999</v>
      </c>
      <c r="I93" s="17">
        <v>16085025.02</v>
      </c>
      <c r="J93" s="21">
        <v>-1657572.85</v>
      </c>
      <c r="K93" s="17">
        <v>2900341.04</v>
      </c>
      <c r="L93" s="17">
        <v>14427452.17</v>
      </c>
      <c r="M93" s="17">
        <v>48832.81</v>
      </c>
      <c r="N93" s="17">
        <v>0</v>
      </c>
      <c r="O93" s="17">
        <v>31165532.09</v>
      </c>
      <c r="P93" s="44">
        <v>2061795.3333333337</v>
      </c>
      <c r="Q93" s="17">
        <v>5762218.2300000004</v>
      </c>
      <c r="R93" s="17">
        <v>16003736.949999999</v>
      </c>
      <c r="S93" s="17">
        <v>15161795.140000001</v>
      </c>
      <c r="T93" s="17">
        <v>1811808.84</v>
      </c>
      <c r="U93" s="17">
        <v>12322615.68</v>
      </c>
      <c r="V93" s="17">
        <v>35420.11</v>
      </c>
      <c r="W93" s="17">
        <v>0</v>
      </c>
      <c r="X93" s="17">
        <v>5453920.4400000004</v>
      </c>
      <c r="Y93" s="44">
        <v>2099148.666666666</v>
      </c>
      <c r="Z93" s="17">
        <v>5146087.1900000004</v>
      </c>
      <c r="AA93" s="17">
        <v>25881365.690000001</v>
      </c>
      <c r="AB93" s="21">
        <v>-20427445.25</v>
      </c>
      <c r="AC93" s="17">
        <v>663782.38</v>
      </c>
      <c r="AD93" s="17">
        <v>5453920.4400000004</v>
      </c>
      <c r="AE93" s="17">
        <v>28934.18</v>
      </c>
      <c r="AF93" s="17">
        <v>0</v>
      </c>
      <c r="AG93" s="22"/>
      <c r="AH93" s="44">
        <v>2136502</v>
      </c>
      <c r="AI93" s="22"/>
      <c r="AJ93" s="22"/>
      <c r="AK93" s="22"/>
      <c r="AL93" s="22"/>
      <c r="AM93" s="22"/>
      <c r="AN93" s="22"/>
      <c r="AO93" s="22"/>
      <c r="AP93" s="22"/>
      <c r="AQ93" s="44">
        <v>2127689</v>
      </c>
      <c r="AR93" s="22"/>
      <c r="AS93" s="22"/>
      <c r="AT93" s="22"/>
      <c r="AU93" s="22"/>
      <c r="AV93" s="22"/>
      <c r="AW93" s="22"/>
      <c r="AX93" s="22"/>
    </row>
    <row r="94" spans="1:50" x14ac:dyDescent="0.25">
      <c r="A94" s="13">
        <v>5</v>
      </c>
      <c r="B94" s="13" t="s">
        <v>102</v>
      </c>
      <c r="C94" s="13" t="s">
        <v>246</v>
      </c>
      <c r="D94" s="13" t="s">
        <v>247</v>
      </c>
      <c r="E94" s="13" t="s">
        <v>244</v>
      </c>
      <c r="F94" s="17">
        <v>11200378.300000001</v>
      </c>
      <c r="G94" s="44">
        <v>200271</v>
      </c>
      <c r="H94" s="17">
        <v>10339596.720000001</v>
      </c>
      <c r="I94" s="17">
        <v>10351935.720000001</v>
      </c>
      <c r="J94" s="17">
        <v>848442.58</v>
      </c>
      <c r="K94" s="17">
        <v>2004322.95</v>
      </c>
      <c r="L94" s="17">
        <v>11200378.300000001</v>
      </c>
      <c r="M94" s="17">
        <v>445074.02</v>
      </c>
      <c r="N94" s="17">
        <v>0</v>
      </c>
      <c r="O94" s="17">
        <v>1639615.31</v>
      </c>
      <c r="P94" s="44">
        <v>201077.66666666666</v>
      </c>
      <c r="Q94" s="17">
        <v>8992616.8300000001</v>
      </c>
      <c r="R94" s="17">
        <v>9135242.8300000001</v>
      </c>
      <c r="S94" s="21">
        <v>-7495627.5199999996</v>
      </c>
      <c r="T94" s="17">
        <v>70165.58</v>
      </c>
      <c r="U94" s="17">
        <v>1639615.31</v>
      </c>
      <c r="V94" s="17">
        <v>699839.8</v>
      </c>
      <c r="W94" s="17">
        <v>0</v>
      </c>
      <c r="X94" s="17">
        <v>9396564.4199999999</v>
      </c>
      <c r="Y94" s="44">
        <v>201884.33333333334</v>
      </c>
      <c r="Z94" s="17">
        <v>9479681.1699999999</v>
      </c>
      <c r="AA94" s="17">
        <v>9795085.4900000002</v>
      </c>
      <c r="AB94" s="21">
        <v>-398521.07</v>
      </c>
      <c r="AC94" s="17">
        <v>1329916.83</v>
      </c>
      <c r="AD94" s="17">
        <v>9396564.4199999999</v>
      </c>
      <c r="AE94" s="17">
        <v>571390.61</v>
      </c>
      <c r="AF94" s="17">
        <v>0</v>
      </c>
      <c r="AG94" s="17">
        <v>9389694.5299999993</v>
      </c>
      <c r="AH94" s="44">
        <v>202691</v>
      </c>
      <c r="AI94" s="17">
        <v>8951935.4600000009</v>
      </c>
      <c r="AJ94" s="17">
        <v>9173464.1500000004</v>
      </c>
      <c r="AK94" s="17">
        <v>216230.38</v>
      </c>
      <c r="AL94" s="17">
        <v>1292740.68</v>
      </c>
      <c r="AM94" s="17">
        <v>9389694.5299999993</v>
      </c>
      <c r="AN94" s="17">
        <v>719619.58</v>
      </c>
      <c r="AO94" s="17">
        <v>0</v>
      </c>
      <c r="AP94" s="17">
        <v>10133212.890000001</v>
      </c>
      <c r="AQ94" s="44">
        <v>202023</v>
      </c>
      <c r="AR94" s="17">
        <v>9526953.8599999994</v>
      </c>
      <c r="AS94" s="17">
        <v>9756822.9399999995</v>
      </c>
      <c r="AT94" s="17">
        <v>376389.95</v>
      </c>
      <c r="AU94" s="17">
        <v>1182589.93</v>
      </c>
      <c r="AV94" s="17">
        <v>10133212.890000001</v>
      </c>
      <c r="AW94" s="17">
        <v>1030899.29</v>
      </c>
      <c r="AX94" s="17">
        <v>0</v>
      </c>
    </row>
    <row r="95" spans="1:50" x14ac:dyDescent="0.25">
      <c r="A95" s="13">
        <v>6</v>
      </c>
      <c r="B95" s="13" t="s">
        <v>103</v>
      </c>
      <c r="C95" s="13" t="s">
        <v>248</v>
      </c>
      <c r="D95" s="13" t="s">
        <v>247</v>
      </c>
      <c r="E95" s="13" t="s">
        <v>244</v>
      </c>
      <c r="F95" s="17">
        <v>17566146.530000001</v>
      </c>
      <c r="G95" s="44">
        <v>286441</v>
      </c>
      <c r="H95" s="17">
        <v>14281939.689999999</v>
      </c>
      <c r="I95" s="17">
        <v>14467721.060000001</v>
      </c>
      <c r="J95" s="17">
        <v>3098425.4700000007</v>
      </c>
      <c r="K95" s="17">
        <v>4449177.9000000004</v>
      </c>
      <c r="L95" s="17">
        <v>17566146.530000001</v>
      </c>
      <c r="M95" s="17">
        <v>1366374.95</v>
      </c>
      <c r="N95" s="17">
        <v>0</v>
      </c>
      <c r="O95" s="17">
        <v>12908747.699999999</v>
      </c>
      <c r="P95" s="44">
        <v>292516.33333333337</v>
      </c>
      <c r="Q95" s="17">
        <v>10626208.199999999</v>
      </c>
      <c r="R95" s="17">
        <v>11432217.619999999</v>
      </c>
      <c r="S95" s="17">
        <v>1476530.08</v>
      </c>
      <c r="T95" s="17">
        <v>3180458.94</v>
      </c>
      <c r="U95" s="17">
        <v>12908747.699999999</v>
      </c>
      <c r="V95" s="17">
        <v>3345025.94</v>
      </c>
      <c r="W95" s="17">
        <v>0</v>
      </c>
      <c r="X95" s="17">
        <v>9859626.8599999994</v>
      </c>
      <c r="Y95" s="44">
        <v>298591.66666666663</v>
      </c>
      <c r="Z95" s="17">
        <v>10675397.720000001</v>
      </c>
      <c r="AA95" s="17">
        <v>10717549.800000001</v>
      </c>
      <c r="AB95" s="21">
        <v>-857922.94</v>
      </c>
      <c r="AC95" s="17">
        <v>437436.7</v>
      </c>
      <c r="AD95" s="17">
        <v>10675397.720000001</v>
      </c>
      <c r="AE95" s="17">
        <v>2078687.59</v>
      </c>
      <c r="AF95" s="17">
        <v>0</v>
      </c>
      <c r="AG95" s="17">
        <v>9529053.2200000007</v>
      </c>
      <c r="AH95" s="44">
        <v>304667</v>
      </c>
      <c r="AI95" s="17">
        <v>9979440.2899999991</v>
      </c>
      <c r="AJ95" s="17">
        <v>10009110.789999999</v>
      </c>
      <c r="AK95" s="21">
        <v>-480057.57</v>
      </c>
      <c r="AL95" s="17">
        <v>751278.85</v>
      </c>
      <c r="AM95" s="17">
        <v>9979440.2899999991</v>
      </c>
      <c r="AN95" s="17">
        <v>1220990.27</v>
      </c>
      <c r="AO95" s="17">
        <v>0</v>
      </c>
      <c r="AP95" s="22"/>
      <c r="AQ95" s="44">
        <v>303687</v>
      </c>
      <c r="AR95" s="22"/>
      <c r="AS95" s="22"/>
      <c r="AT95" s="22"/>
      <c r="AU95" s="22"/>
      <c r="AV95" s="22"/>
      <c r="AW95" s="22"/>
      <c r="AX95" s="22"/>
    </row>
    <row r="96" spans="1:50" ht="25.5" x14ac:dyDescent="0.25">
      <c r="A96" s="13">
        <v>51</v>
      </c>
      <c r="B96" s="13" t="s">
        <v>104</v>
      </c>
      <c r="C96" s="13" t="s">
        <v>249</v>
      </c>
      <c r="D96" s="13" t="s">
        <v>250</v>
      </c>
      <c r="E96" s="13" t="s">
        <v>244</v>
      </c>
      <c r="F96" s="17">
        <v>70088822.920000002</v>
      </c>
      <c r="G96" s="44">
        <v>593635</v>
      </c>
      <c r="H96" s="17">
        <v>66952980.890000001</v>
      </c>
      <c r="I96" s="17">
        <v>67704085.700000003</v>
      </c>
      <c r="J96" s="17">
        <v>2384737.2200000002</v>
      </c>
      <c r="K96" s="17">
        <v>2767993.29</v>
      </c>
      <c r="L96" s="17">
        <v>70088822.920000002</v>
      </c>
      <c r="M96" s="17">
        <v>1962772.96</v>
      </c>
      <c r="N96" s="17">
        <v>0</v>
      </c>
      <c r="O96" s="17">
        <v>52417508.079999998</v>
      </c>
      <c r="P96" s="44">
        <v>605793.33333333326</v>
      </c>
      <c r="Q96" s="17">
        <v>52005903.439999998</v>
      </c>
      <c r="R96" s="17">
        <v>52940787.030000001</v>
      </c>
      <c r="S96" s="21">
        <v>-523278.95</v>
      </c>
      <c r="T96" s="17">
        <v>474337.79</v>
      </c>
      <c r="U96" s="17">
        <v>52417508.079999998</v>
      </c>
      <c r="V96" s="17">
        <v>1465730.77</v>
      </c>
      <c r="W96" s="17">
        <v>0</v>
      </c>
      <c r="X96" s="17">
        <v>38020917.719999999</v>
      </c>
      <c r="Y96" s="44">
        <v>617951.66666666674</v>
      </c>
      <c r="Z96" s="17">
        <v>41237387.719999999</v>
      </c>
      <c r="AA96" s="17">
        <v>41449346.630000003</v>
      </c>
      <c r="AB96" s="21">
        <v>-3428428.91</v>
      </c>
      <c r="AC96" s="17">
        <v>131800.34</v>
      </c>
      <c r="AD96" s="17">
        <v>38020917.719999999</v>
      </c>
      <c r="AE96" s="17">
        <v>1597615.96</v>
      </c>
      <c r="AF96" s="17">
        <v>0</v>
      </c>
      <c r="AG96" s="17">
        <v>31545393.280000001</v>
      </c>
      <c r="AH96" s="44">
        <v>630110</v>
      </c>
      <c r="AI96" s="17">
        <v>31562636.760000002</v>
      </c>
      <c r="AJ96" s="17">
        <v>31592374.550000001</v>
      </c>
      <c r="AK96" s="21">
        <v>-46981.27</v>
      </c>
      <c r="AL96" s="17">
        <v>645004.68999999994</v>
      </c>
      <c r="AM96" s="17">
        <v>31545393.280000001</v>
      </c>
      <c r="AN96" s="17">
        <v>697532.84</v>
      </c>
      <c r="AO96" s="17">
        <v>0</v>
      </c>
      <c r="AP96" s="22"/>
      <c r="AQ96" s="44">
        <v>625977</v>
      </c>
      <c r="AR96" s="22"/>
      <c r="AS96" s="22"/>
      <c r="AT96" s="22"/>
      <c r="AU96" s="22"/>
      <c r="AV96" s="22"/>
      <c r="AW96" s="22"/>
      <c r="AX96" s="22"/>
    </row>
    <row r="97" spans="1:50" ht="25.5" x14ac:dyDescent="0.25">
      <c r="A97" s="13">
        <v>90</v>
      </c>
      <c r="B97" s="13" t="s">
        <v>105</v>
      </c>
      <c r="C97" s="13" t="s">
        <v>251</v>
      </c>
      <c r="D97" s="13" t="s">
        <v>252</v>
      </c>
      <c r="E97" s="13" t="s">
        <v>244</v>
      </c>
      <c r="F97" s="22"/>
      <c r="G97" s="44">
        <v>307114</v>
      </c>
      <c r="H97" s="22"/>
      <c r="I97" s="22"/>
      <c r="J97" s="22"/>
      <c r="K97" s="22"/>
      <c r="L97" s="22"/>
      <c r="M97" s="22"/>
      <c r="N97" s="22"/>
      <c r="O97" s="17">
        <v>10421682.789999999</v>
      </c>
      <c r="P97" s="44">
        <v>300280.99999999994</v>
      </c>
      <c r="Q97" s="17">
        <v>2279644.64</v>
      </c>
      <c r="R97" s="17">
        <v>10421682.789999999</v>
      </c>
      <c r="S97" s="17">
        <v>0</v>
      </c>
      <c r="T97" s="17">
        <v>13666881.02</v>
      </c>
      <c r="U97" s="17">
        <v>4978970.9000000004</v>
      </c>
      <c r="V97" s="17">
        <v>133687.28</v>
      </c>
      <c r="W97" s="17">
        <v>0</v>
      </c>
      <c r="X97" s="17">
        <v>22805879.93</v>
      </c>
      <c r="Y97" s="44">
        <v>293448.00000000006</v>
      </c>
      <c r="Z97" s="17">
        <v>2721542.71</v>
      </c>
      <c r="AA97" s="17">
        <v>13965504.039999999</v>
      </c>
      <c r="AB97" s="17">
        <v>8840375.8900000006</v>
      </c>
      <c r="AC97" s="17">
        <v>18778401.170000002</v>
      </c>
      <c r="AD97" s="17">
        <v>11644128.359999999</v>
      </c>
      <c r="AE97" s="17">
        <v>113634.72</v>
      </c>
      <c r="AF97" s="17">
        <v>0</v>
      </c>
      <c r="AG97" s="17">
        <v>4741371.29</v>
      </c>
      <c r="AH97" s="44">
        <v>286615</v>
      </c>
      <c r="AI97" s="17">
        <v>886153.19</v>
      </c>
      <c r="AJ97" s="17">
        <v>1139395.27</v>
      </c>
      <c r="AK97" s="17">
        <v>3601976.02</v>
      </c>
      <c r="AL97" s="17">
        <v>9931185.6600000001</v>
      </c>
      <c r="AM97" s="17">
        <v>1113427.94</v>
      </c>
      <c r="AN97" s="17">
        <v>108126.37</v>
      </c>
      <c r="AO97" s="17">
        <v>0</v>
      </c>
      <c r="AP97" s="22"/>
      <c r="AQ97" s="44">
        <v>286262</v>
      </c>
      <c r="AR97" s="22"/>
      <c r="AS97" s="22"/>
      <c r="AT97" s="22"/>
      <c r="AU97" s="22"/>
      <c r="AV97" s="22"/>
      <c r="AW97" s="22"/>
      <c r="AX97" s="22"/>
    </row>
    <row r="98" spans="1:50" ht="25.5" x14ac:dyDescent="0.25">
      <c r="A98" s="13">
        <v>94</v>
      </c>
      <c r="B98" s="13" t="s">
        <v>106</v>
      </c>
      <c r="C98" s="13" t="s">
        <v>253</v>
      </c>
      <c r="D98" s="13" t="s">
        <v>252</v>
      </c>
      <c r="E98" s="13" t="s">
        <v>244</v>
      </c>
      <c r="F98" s="22"/>
      <c r="G98" s="44">
        <v>267790</v>
      </c>
      <c r="H98" s="22"/>
      <c r="I98" s="22"/>
      <c r="J98" s="22"/>
      <c r="K98" s="22"/>
      <c r="L98" s="22"/>
      <c r="M98" s="22"/>
      <c r="N98" s="22"/>
      <c r="O98" s="17">
        <v>1633555</v>
      </c>
      <c r="P98" s="44">
        <v>273188.33333333331</v>
      </c>
      <c r="Q98" s="17">
        <v>1451982.78</v>
      </c>
      <c r="R98" s="17">
        <v>2121811.33</v>
      </c>
      <c r="S98" s="21">
        <v>-488256.33</v>
      </c>
      <c r="T98" s="17"/>
      <c r="U98" s="17">
        <v>772475.37</v>
      </c>
      <c r="V98" s="17"/>
      <c r="W98" s="17"/>
      <c r="X98" s="17">
        <v>2218385.08</v>
      </c>
      <c r="Y98" s="44">
        <v>278586.66666666669</v>
      </c>
      <c r="Z98" s="17">
        <v>1562571.61</v>
      </c>
      <c r="AA98" s="17">
        <v>1571167.29</v>
      </c>
      <c r="AB98" s="17">
        <v>647217.79</v>
      </c>
      <c r="AC98" s="17">
        <v>684065.13</v>
      </c>
      <c r="AD98" s="17">
        <v>826394.1</v>
      </c>
      <c r="AE98" s="17">
        <v>5110.9399999999996</v>
      </c>
      <c r="AF98" s="17">
        <v>0</v>
      </c>
      <c r="AG98" s="22"/>
      <c r="AH98" s="44">
        <v>283985</v>
      </c>
      <c r="AI98" s="22"/>
      <c r="AJ98" s="22"/>
      <c r="AK98" s="22"/>
      <c r="AL98" s="22"/>
      <c r="AM98" s="22"/>
      <c r="AN98" s="22"/>
      <c r="AO98" s="22"/>
      <c r="AP98" s="17">
        <v>1283933.0900000001</v>
      </c>
      <c r="AQ98" s="44">
        <v>284034</v>
      </c>
      <c r="AR98" s="17">
        <v>1207221.01</v>
      </c>
      <c r="AS98" s="17">
        <v>1417533.01</v>
      </c>
      <c r="AT98" s="21">
        <v>-133599.92000000001</v>
      </c>
      <c r="AU98" s="17">
        <v>87164.63</v>
      </c>
      <c r="AV98" s="17">
        <v>376426.47</v>
      </c>
      <c r="AW98" s="17">
        <v>9471.57</v>
      </c>
      <c r="AX98" s="17">
        <v>0</v>
      </c>
    </row>
    <row r="99" spans="1:50" x14ac:dyDescent="0.25">
      <c r="A99" s="13">
        <v>106</v>
      </c>
      <c r="B99" s="13" t="s">
        <v>107</v>
      </c>
      <c r="C99" s="13" t="s">
        <v>254</v>
      </c>
      <c r="D99" s="13" t="s">
        <v>255</v>
      </c>
      <c r="E99" s="13" t="s">
        <v>244</v>
      </c>
      <c r="F99" s="17">
        <v>16246563.91</v>
      </c>
      <c r="G99" s="44">
        <v>658665</v>
      </c>
      <c r="H99" s="17">
        <v>17701443.41</v>
      </c>
      <c r="I99" s="17">
        <v>17872699.77</v>
      </c>
      <c r="J99" s="21">
        <v>-1626135.86</v>
      </c>
      <c r="K99" s="17">
        <v>5961409.1600000001</v>
      </c>
      <c r="L99" s="17">
        <v>16246563.91</v>
      </c>
      <c r="M99" s="17">
        <v>852202.34</v>
      </c>
      <c r="N99" s="17">
        <v>0</v>
      </c>
      <c r="O99" s="17">
        <v>14092434.279999999</v>
      </c>
      <c r="P99" s="44">
        <v>658614</v>
      </c>
      <c r="Q99" s="17">
        <v>13409527.74</v>
      </c>
      <c r="R99" s="17">
        <v>13534644.98</v>
      </c>
      <c r="S99" s="17">
        <v>557789.30000000005</v>
      </c>
      <c r="T99" s="17">
        <v>7894443.4299999997</v>
      </c>
      <c r="U99" s="17">
        <v>14092434.279999999</v>
      </c>
      <c r="V99" s="17" t="s">
        <v>256</v>
      </c>
      <c r="W99" s="17">
        <v>0</v>
      </c>
      <c r="X99" s="17">
        <v>12573102.289999999</v>
      </c>
      <c r="Y99" s="44">
        <v>658563</v>
      </c>
      <c r="Z99" s="17">
        <v>9220529.0600000005</v>
      </c>
      <c r="AA99" s="17">
        <v>9220529.0600000005</v>
      </c>
      <c r="AB99" s="17">
        <v>3352573.2299999986</v>
      </c>
      <c r="AC99" s="17">
        <v>6605469.25</v>
      </c>
      <c r="AD99" s="17">
        <v>12573102.289999999</v>
      </c>
      <c r="AE99" s="17">
        <v>568833.22</v>
      </c>
      <c r="AF99" s="17">
        <v>0</v>
      </c>
      <c r="AG99" s="17">
        <v>11070937.710000001</v>
      </c>
      <c r="AH99" s="44">
        <v>658512</v>
      </c>
      <c r="AI99" s="17">
        <v>10795853.02</v>
      </c>
      <c r="AJ99" s="17">
        <v>10828866.02</v>
      </c>
      <c r="AK99" s="17">
        <v>242071.69</v>
      </c>
      <c r="AL99" s="17">
        <v>3621461.34</v>
      </c>
      <c r="AM99" s="17">
        <v>11070937.710000001</v>
      </c>
      <c r="AN99" s="17">
        <v>939504.31</v>
      </c>
      <c r="AO99" s="17">
        <v>0</v>
      </c>
      <c r="AP99" s="17">
        <v>11161396.470000001</v>
      </c>
      <c r="AQ99" s="44">
        <v>655053</v>
      </c>
      <c r="AR99" s="17">
        <v>11534102.140000001</v>
      </c>
      <c r="AS99" s="17">
        <v>11617465.710000001</v>
      </c>
      <c r="AT99" s="21">
        <v>-456069.24</v>
      </c>
      <c r="AU99" s="17">
        <v>2564322.5299999998</v>
      </c>
      <c r="AV99" s="17">
        <v>11161396.470000001</v>
      </c>
      <c r="AW99" s="17">
        <v>122982.09</v>
      </c>
      <c r="AX99" s="17">
        <v>0</v>
      </c>
    </row>
    <row r="100" spans="1:50" x14ac:dyDescent="0.25">
      <c r="A100" s="13">
        <v>107</v>
      </c>
      <c r="B100" s="13" t="s">
        <v>108</v>
      </c>
      <c r="C100" s="13" t="s">
        <v>257</v>
      </c>
      <c r="D100" s="13" t="s">
        <v>255</v>
      </c>
      <c r="E100" s="13" t="s">
        <v>244</v>
      </c>
      <c r="F100" s="17">
        <v>10712378.73</v>
      </c>
      <c r="G100" s="44">
        <v>258845</v>
      </c>
      <c r="H100" s="17">
        <v>9941498.8300000001</v>
      </c>
      <c r="I100" s="17">
        <v>10528865.4</v>
      </c>
      <c r="J100" s="21">
        <v>-183513.33</v>
      </c>
      <c r="K100" s="17">
        <v>744248.96</v>
      </c>
      <c r="L100" s="17">
        <v>10712378.73</v>
      </c>
      <c r="M100" s="17">
        <v>954617.07</v>
      </c>
      <c r="N100" s="17">
        <v>0</v>
      </c>
      <c r="O100" s="17">
        <v>9738267.7899999991</v>
      </c>
      <c r="P100" s="44">
        <v>250938.66666666666</v>
      </c>
      <c r="Q100" s="17">
        <v>9589589.25</v>
      </c>
      <c r="R100" s="17">
        <v>10039889.08</v>
      </c>
      <c r="S100" s="21">
        <v>-301621.28999999998</v>
      </c>
      <c r="T100" s="17">
        <v>418141.4</v>
      </c>
      <c r="U100" s="17">
        <v>9738267.7899999991</v>
      </c>
      <c r="V100" s="17">
        <v>903489.66</v>
      </c>
      <c r="W100" s="17">
        <v>270</v>
      </c>
      <c r="X100" s="17">
        <v>9941168.7200000007</v>
      </c>
      <c r="Y100" s="44">
        <v>243032.33333333334</v>
      </c>
      <c r="Z100" s="17">
        <v>9973720.1799999997</v>
      </c>
      <c r="AA100" s="17">
        <v>10379931.68</v>
      </c>
      <c r="AB100" s="21">
        <v>-438762.96</v>
      </c>
      <c r="AC100" s="17">
        <v>240821.57</v>
      </c>
      <c r="AD100" s="17">
        <v>9941168.7200000007</v>
      </c>
      <c r="AE100" s="17">
        <v>468943.45</v>
      </c>
      <c r="AF100" s="17">
        <v>0</v>
      </c>
      <c r="AG100" s="17"/>
      <c r="AH100" s="44">
        <v>235126</v>
      </c>
      <c r="AI100" s="17"/>
      <c r="AJ100" s="17"/>
      <c r="AK100" s="17"/>
      <c r="AL100" s="17"/>
      <c r="AM100" s="17"/>
      <c r="AN100" s="17"/>
      <c r="AO100" s="17"/>
      <c r="AQ100" s="44">
        <v>233385</v>
      </c>
      <c r="AW100" s="17"/>
      <c r="AX100" s="17"/>
    </row>
    <row r="101" spans="1:50" x14ac:dyDescent="0.25">
      <c r="A101" s="13">
        <v>109</v>
      </c>
      <c r="B101" s="13" t="s">
        <v>109</v>
      </c>
      <c r="C101" s="13" t="s">
        <v>258</v>
      </c>
      <c r="D101" s="13" t="s">
        <v>255</v>
      </c>
      <c r="E101" s="13" t="s">
        <v>244</v>
      </c>
      <c r="F101" s="17">
        <v>12068358.199999999</v>
      </c>
      <c r="G101" s="44">
        <v>194674</v>
      </c>
      <c r="H101" s="17">
        <v>12117415.390000001</v>
      </c>
      <c r="I101" s="17">
        <v>13220501.189999999</v>
      </c>
      <c r="J101" s="21">
        <v>-1152142.99</v>
      </c>
      <c r="K101" s="17">
        <v>700127.48</v>
      </c>
      <c r="L101" s="17">
        <v>12068358.199999999</v>
      </c>
      <c r="M101" s="17">
        <v>508496.71</v>
      </c>
      <c r="N101" s="17">
        <v>1649530.98</v>
      </c>
      <c r="O101" s="17">
        <v>11003392.359999999</v>
      </c>
      <c r="P101" s="44">
        <v>199616</v>
      </c>
      <c r="Q101" s="17">
        <v>10701285.83</v>
      </c>
      <c r="R101" s="17">
        <v>13979350.15</v>
      </c>
      <c r="S101" s="17">
        <v>2975957.79</v>
      </c>
      <c r="T101" s="17">
        <v>2588251.6</v>
      </c>
      <c r="U101" s="17">
        <v>11003392.359999999</v>
      </c>
      <c r="V101" s="17">
        <v>2994821.3</v>
      </c>
      <c r="W101" s="17">
        <v>0</v>
      </c>
      <c r="X101" s="17">
        <v>10847715.869999999</v>
      </c>
      <c r="Y101" s="44">
        <v>204558</v>
      </c>
      <c r="Z101" s="17">
        <v>7307739.6399999997</v>
      </c>
      <c r="AA101" s="17">
        <v>12703604</v>
      </c>
      <c r="AB101" s="21">
        <v>-1855888.1300000008</v>
      </c>
      <c r="AC101" s="17">
        <v>5433998.4199999999</v>
      </c>
      <c r="AD101" s="17">
        <v>10847715.869999999</v>
      </c>
      <c r="AE101" s="17">
        <v>3552275.05</v>
      </c>
      <c r="AF101" s="17">
        <v>0</v>
      </c>
      <c r="AG101" s="17">
        <v>4451715.08</v>
      </c>
      <c r="AH101" s="44">
        <v>209500</v>
      </c>
      <c r="AI101" s="17">
        <v>2745808.78</v>
      </c>
      <c r="AJ101" s="17">
        <v>2817978.31</v>
      </c>
      <c r="AK101" s="17">
        <v>1633736.77</v>
      </c>
      <c r="AL101" s="17">
        <v>3897.07</v>
      </c>
      <c r="AM101" s="17">
        <v>4451715.08</v>
      </c>
      <c r="AN101" s="17">
        <v>3968007.4</v>
      </c>
      <c r="AO101" s="17">
        <v>0</v>
      </c>
      <c r="AP101" s="17">
        <v>2728071.4</v>
      </c>
      <c r="AQ101" s="44">
        <v>208555</v>
      </c>
      <c r="AR101" s="17">
        <v>2484127.17</v>
      </c>
      <c r="AS101" s="17">
        <v>2486357.17</v>
      </c>
      <c r="AT101" s="17">
        <v>241714.23</v>
      </c>
      <c r="AU101" s="17">
        <v>68861.919999999998</v>
      </c>
      <c r="AV101" s="17">
        <v>2728071.4</v>
      </c>
      <c r="AW101" s="17">
        <v>1692821.68</v>
      </c>
      <c r="AX101" s="17">
        <v>0</v>
      </c>
    </row>
    <row r="102" spans="1:50" x14ac:dyDescent="0.25">
      <c r="A102" s="13">
        <v>110</v>
      </c>
      <c r="B102" s="13" t="s">
        <v>110</v>
      </c>
      <c r="C102" s="13" t="s">
        <v>259</v>
      </c>
      <c r="D102" s="13" t="s">
        <v>255</v>
      </c>
      <c r="E102" s="13" t="s">
        <v>244</v>
      </c>
      <c r="F102" s="22"/>
      <c r="G102" s="44">
        <v>139375</v>
      </c>
      <c r="H102" s="22"/>
      <c r="I102" s="22"/>
      <c r="J102" s="22"/>
      <c r="K102" s="22"/>
      <c r="L102" s="22"/>
      <c r="M102" s="22"/>
      <c r="N102" s="22"/>
      <c r="O102" s="22"/>
      <c r="P102" s="44">
        <v>140053.66666666666</v>
      </c>
      <c r="Q102" s="22"/>
      <c r="R102" s="22"/>
      <c r="S102" s="22"/>
      <c r="T102" s="22"/>
      <c r="U102" s="22"/>
      <c r="V102" s="22"/>
      <c r="W102" s="22"/>
      <c r="X102" s="17">
        <v>9878845.6799999997</v>
      </c>
      <c r="Y102" s="44">
        <v>140732.33333333334</v>
      </c>
      <c r="Z102" s="17">
        <v>9640169.1899999995</v>
      </c>
      <c r="AA102" s="17">
        <v>9773723.5999999996</v>
      </c>
      <c r="AB102" s="17">
        <v>105122.08</v>
      </c>
      <c r="AC102" s="17">
        <v>1130862.44</v>
      </c>
      <c r="AD102" s="17">
        <v>9878845.6799999997</v>
      </c>
      <c r="AE102" s="17">
        <v>984392.88</v>
      </c>
      <c r="AF102" s="17">
        <v>0</v>
      </c>
      <c r="AG102" s="17"/>
      <c r="AH102" s="44">
        <v>141411</v>
      </c>
      <c r="AI102" s="17"/>
      <c r="AJ102" s="17"/>
      <c r="AK102" s="17"/>
      <c r="AL102" s="17"/>
      <c r="AM102" s="17"/>
      <c r="AN102" s="17"/>
      <c r="AO102" s="17"/>
      <c r="AP102" s="17"/>
      <c r="AQ102" s="44">
        <v>140945</v>
      </c>
      <c r="AR102" s="17"/>
      <c r="AS102" s="17"/>
      <c r="AT102" s="17"/>
      <c r="AU102" s="17"/>
      <c r="AV102" s="17"/>
      <c r="AW102" s="17"/>
      <c r="AX102" s="17"/>
    </row>
    <row r="103" spans="1:50" x14ac:dyDescent="0.25">
      <c r="A103" s="13">
        <v>112</v>
      </c>
      <c r="B103" s="13" t="s">
        <v>111</v>
      </c>
      <c r="C103" s="13" t="s">
        <v>260</v>
      </c>
      <c r="D103" s="13" t="s">
        <v>255</v>
      </c>
      <c r="E103" s="13" t="s">
        <v>244</v>
      </c>
      <c r="F103" s="17">
        <v>16580536.73</v>
      </c>
      <c r="G103" s="44">
        <v>483137</v>
      </c>
      <c r="H103" s="17">
        <v>13762635.07</v>
      </c>
      <c r="I103" s="17">
        <v>14570622.199999999</v>
      </c>
      <c r="J103" s="17">
        <v>2009914.53</v>
      </c>
      <c r="K103" s="17">
        <v>2978570.13</v>
      </c>
      <c r="L103" s="17">
        <v>16580536.73</v>
      </c>
      <c r="M103" s="17">
        <v>2184542.16</v>
      </c>
      <c r="N103" s="17">
        <v>721520.98</v>
      </c>
      <c r="O103" s="17">
        <v>14697621.24</v>
      </c>
      <c r="P103" s="44">
        <v>466915</v>
      </c>
      <c r="Q103" s="17">
        <v>13567447.52</v>
      </c>
      <c r="R103" s="17">
        <v>14496003.869999999</v>
      </c>
      <c r="S103" s="17">
        <v>201617.37</v>
      </c>
      <c r="T103" s="17">
        <v>894147.96</v>
      </c>
      <c r="U103" s="17">
        <v>14697621.24</v>
      </c>
      <c r="V103" s="17">
        <v>2333427.2400000002</v>
      </c>
      <c r="W103" s="17">
        <v>721520.98</v>
      </c>
      <c r="X103" s="17">
        <v>13096460.689999999</v>
      </c>
      <c r="Y103" s="44">
        <v>450693</v>
      </c>
      <c r="Z103" s="17">
        <v>12716944.560000001</v>
      </c>
      <c r="AA103" s="17">
        <v>13302299.970000001</v>
      </c>
      <c r="AB103" s="21">
        <v>-205839.28</v>
      </c>
      <c r="AC103" s="17">
        <v>871505.8</v>
      </c>
      <c r="AD103" s="17">
        <v>13096460.689999999</v>
      </c>
      <c r="AE103" s="17">
        <v>2719707.89</v>
      </c>
      <c r="AF103" s="17">
        <v>806637.84</v>
      </c>
      <c r="AG103" s="17">
        <v>12436815.779999999</v>
      </c>
      <c r="AH103" s="44">
        <v>434471</v>
      </c>
      <c r="AI103" s="17">
        <v>11595866.460000001</v>
      </c>
      <c r="AJ103" s="17">
        <v>12107615.609999999</v>
      </c>
      <c r="AK103" s="17">
        <v>329200.17</v>
      </c>
      <c r="AL103" s="17">
        <v>1343890.92</v>
      </c>
      <c r="AM103" s="17">
        <v>12436815.779999999</v>
      </c>
      <c r="AN103" s="17">
        <v>2021169.96</v>
      </c>
      <c r="AO103" s="17">
        <v>1116637.8400000001</v>
      </c>
      <c r="AP103" s="17">
        <v>11716309.029999999</v>
      </c>
      <c r="AQ103" s="44">
        <v>431954</v>
      </c>
      <c r="AR103" s="17">
        <v>10613293.210000001</v>
      </c>
      <c r="AS103" s="17">
        <v>11136573.52</v>
      </c>
      <c r="AT103" s="17">
        <v>579735.51</v>
      </c>
      <c r="AU103" s="17">
        <v>710349.36</v>
      </c>
      <c r="AV103" s="17">
        <v>11716309.029999999</v>
      </c>
      <c r="AW103" s="17">
        <v>3602092.63</v>
      </c>
      <c r="AX103" s="17">
        <v>0</v>
      </c>
    </row>
    <row r="104" spans="1:50" x14ac:dyDescent="0.25">
      <c r="A104" s="13">
        <v>113</v>
      </c>
      <c r="B104" s="13" t="s">
        <v>112</v>
      </c>
      <c r="C104" s="13" t="s">
        <v>261</v>
      </c>
      <c r="D104" s="13" t="s">
        <v>255</v>
      </c>
      <c r="E104" s="13" t="s">
        <v>244</v>
      </c>
      <c r="F104" s="17">
        <v>15190347.449999999</v>
      </c>
      <c r="G104" s="44">
        <v>335724</v>
      </c>
      <c r="H104" s="17">
        <v>11624068.890000001</v>
      </c>
      <c r="I104" s="17">
        <v>13337957.939999999</v>
      </c>
      <c r="J104" s="17">
        <v>1852389.51</v>
      </c>
      <c r="K104" s="17">
        <v>6166386.9699999997</v>
      </c>
      <c r="L104" s="17">
        <v>12590347.449999999</v>
      </c>
      <c r="M104" s="17">
        <v>942222.65</v>
      </c>
      <c r="N104" s="17">
        <v>0</v>
      </c>
      <c r="O104" s="22"/>
      <c r="P104" s="44">
        <v>335422.66666666669</v>
      </c>
      <c r="Q104" s="22"/>
      <c r="R104" s="22"/>
      <c r="S104" s="22"/>
      <c r="T104" s="22"/>
      <c r="U104" s="22"/>
      <c r="V104" s="22"/>
      <c r="W104" s="22"/>
      <c r="X104" s="22"/>
      <c r="Y104" s="44">
        <v>335121.33333333331</v>
      </c>
      <c r="Z104" s="22"/>
      <c r="AA104" s="22"/>
      <c r="AB104" s="22"/>
      <c r="AC104" s="22"/>
      <c r="AD104" s="22"/>
      <c r="AE104" s="22"/>
      <c r="AF104" s="22"/>
      <c r="AG104" s="22"/>
      <c r="AH104" s="44">
        <v>334820</v>
      </c>
      <c r="AI104" s="22"/>
      <c r="AJ104" s="22"/>
      <c r="AK104" s="22"/>
      <c r="AL104" s="22"/>
      <c r="AM104" s="22"/>
      <c r="AN104" s="22"/>
      <c r="AO104" s="22"/>
      <c r="AP104" s="22"/>
      <c r="AQ104" s="44">
        <v>333284</v>
      </c>
      <c r="AR104" s="22"/>
      <c r="AS104" s="22"/>
      <c r="AT104" s="22"/>
      <c r="AU104" s="22"/>
      <c r="AV104" s="22"/>
      <c r="AW104" s="22"/>
      <c r="AX104" s="22"/>
    </row>
    <row r="105" spans="1:50" x14ac:dyDescent="0.25">
      <c r="A105" s="13">
        <v>117</v>
      </c>
      <c r="B105" s="13" t="s">
        <v>113</v>
      </c>
      <c r="C105" s="13" t="s">
        <v>262</v>
      </c>
      <c r="D105" s="13" t="s">
        <v>255</v>
      </c>
      <c r="E105" s="13" t="s">
        <v>244</v>
      </c>
      <c r="F105" s="17">
        <v>14903092.310000001</v>
      </c>
      <c r="G105" s="44">
        <v>609522</v>
      </c>
      <c r="H105" s="17">
        <v>15034315.619999999</v>
      </c>
      <c r="I105" s="17">
        <v>15145280.949999999</v>
      </c>
      <c r="J105" s="21">
        <v>-242188.64</v>
      </c>
      <c r="K105" s="17">
        <v>3376430.45</v>
      </c>
      <c r="L105" s="17">
        <v>14903092.310000001</v>
      </c>
      <c r="M105" s="17">
        <v>21907.1</v>
      </c>
      <c r="N105" s="17">
        <v>0</v>
      </c>
      <c r="O105" s="17">
        <v>13314478.140000001</v>
      </c>
      <c r="P105" s="44">
        <v>610532</v>
      </c>
      <c r="Q105" s="17">
        <v>11859933.76</v>
      </c>
      <c r="R105" s="17">
        <v>13032703.24</v>
      </c>
      <c r="S105" s="17">
        <v>281774.90000000002</v>
      </c>
      <c r="T105" s="17">
        <v>3728031.77</v>
      </c>
      <c r="U105" s="17">
        <v>13314478.140000001</v>
      </c>
      <c r="V105" s="17">
        <v>210696.8</v>
      </c>
      <c r="W105" s="17">
        <v>0</v>
      </c>
      <c r="X105" s="17">
        <v>10551406.17</v>
      </c>
      <c r="Y105" s="44">
        <v>611542</v>
      </c>
      <c r="Z105" s="17">
        <v>8139642.7999999998</v>
      </c>
      <c r="AA105" s="17">
        <v>8874101.6300000008</v>
      </c>
      <c r="AB105" s="17">
        <v>1677604.54</v>
      </c>
      <c r="AC105" s="17">
        <v>3786469.57</v>
      </c>
      <c r="AD105" s="17">
        <v>10551406.17</v>
      </c>
      <c r="AE105" s="17">
        <v>833484.67</v>
      </c>
      <c r="AF105" s="17">
        <v>94666.87</v>
      </c>
      <c r="AG105" s="17">
        <v>4141379.24</v>
      </c>
      <c r="AH105" s="44">
        <v>612552</v>
      </c>
      <c r="AI105" s="17">
        <v>2453149.14</v>
      </c>
      <c r="AJ105" s="17">
        <v>2611999.75</v>
      </c>
      <c r="AK105" s="17">
        <v>1529379.49</v>
      </c>
      <c r="AL105" s="17">
        <v>1659061.78</v>
      </c>
      <c r="AM105" s="17">
        <v>4141379.24</v>
      </c>
      <c r="AN105" s="17">
        <v>458518.62</v>
      </c>
      <c r="AO105" s="17">
        <v>0</v>
      </c>
      <c r="AP105" s="22"/>
      <c r="AQ105" s="44">
        <v>607259</v>
      </c>
      <c r="AR105" s="22"/>
      <c r="AS105" s="22"/>
      <c r="AT105" s="22"/>
      <c r="AU105" s="22"/>
      <c r="AV105" s="22"/>
      <c r="AW105" s="22"/>
      <c r="AX105" s="22"/>
    </row>
    <row r="106" spans="1:50" x14ac:dyDescent="0.25">
      <c r="A106" s="13">
        <v>130</v>
      </c>
      <c r="B106" s="13" t="s">
        <v>114</v>
      </c>
      <c r="C106" s="13" t="s">
        <v>263</v>
      </c>
      <c r="D106" s="13" t="s">
        <v>264</v>
      </c>
      <c r="E106" s="13" t="s">
        <v>244</v>
      </c>
      <c r="F106" s="22"/>
      <c r="G106" s="44">
        <v>1887598</v>
      </c>
      <c r="H106" s="22"/>
      <c r="I106" s="22"/>
      <c r="J106" s="22"/>
      <c r="K106" s="22"/>
      <c r="L106" s="22"/>
      <c r="M106" s="22"/>
      <c r="N106" s="22"/>
      <c r="O106" s="22"/>
      <c r="P106" s="44">
        <v>1924563.6666666667</v>
      </c>
      <c r="Q106" s="22"/>
      <c r="R106" s="22"/>
      <c r="S106" s="22"/>
      <c r="T106" s="22"/>
      <c r="U106" s="22"/>
      <c r="V106" s="22"/>
      <c r="W106" s="22"/>
      <c r="X106" s="17">
        <v>2437299.42</v>
      </c>
      <c r="Y106" s="44">
        <v>1961529.3333333333</v>
      </c>
      <c r="Z106" s="17">
        <v>2136462.5299999998</v>
      </c>
      <c r="AA106" s="17">
        <v>2360649.4500000002</v>
      </c>
      <c r="AB106" s="17">
        <v>76649.97</v>
      </c>
      <c r="AC106" s="17">
        <v>142543.22</v>
      </c>
      <c r="AD106" s="17">
        <v>2437299.42</v>
      </c>
      <c r="AE106" s="17">
        <v>86503.09</v>
      </c>
      <c r="AF106" s="17">
        <v>566081.81999999995</v>
      </c>
      <c r="AG106" s="17">
        <v>1832091.29</v>
      </c>
      <c r="AH106" s="44">
        <v>1998495</v>
      </c>
      <c r="AI106" s="17">
        <v>1671499.85</v>
      </c>
      <c r="AJ106" s="17">
        <v>1862371.4</v>
      </c>
      <c r="AK106" s="21">
        <v>-30280.11</v>
      </c>
      <c r="AL106" s="17">
        <v>24784.81</v>
      </c>
      <c r="AM106" s="17">
        <v>1832091.29</v>
      </c>
      <c r="AN106" s="17">
        <v>47946.18</v>
      </c>
      <c r="AO106" s="17">
        <v>757882.23</v>
      </c>
      <c r="AP106" s="22"/>
      <c r="AQ106" s="44">
        <v>1985900</v>
      </c>
      <c r="AR106" s="22"/>
      <c r="AS106" s="22"/>
      <c r="AT106" s="22"/>
      <c r="AU106" s="22"/>
      <c r="AV106" s="22"/>
      <c r="AW106" s="22"/>
      <c r="AX106" s="22"/>
    </row>
    <row r="107" spans="1:50" x14ac:dyDescent="0.25">
      <c r="A107" s="13">
        <v>200</v>
      </c>
      <c r="B107" s="13" t="s">
        <v>115</v>
      </c>
      <c r="C107" s="13" t="s">
        <v>265</v>
      </c>
      <c r="D107" s="13" t="s">
        <v>266</v>
      </c>
      <c r="E107" s="13" t="s">
        <v>244</v>
      </c>
      <c r="F107" s="22"/>
      <c r="G107" s="44">
        <v>123645</v>
      </c>
      <c r="H107" s="22"/>
      <c r="I107" s="22"/>
      <c r="J107" s="22"/>
      <c r="K107" s="22"/>
      <c r="L107" s="22"/>
      <c r="M107" s="22"/>
      <c r="N107" s="22"/>
      <c r="O107" s="22"/>
      <c r="P107" s="44">
        <v>120844.66666666667</v>
      </c>
      <c r="Q107" s="22"/>
      <c r="R107" s="22"/>
      <c r="S107" s="22"/>
      <c r="T107" s="22"/>
      <c r="U107" s="22"/>
      <c r="V107" s="22"/>
      <c r="W107" s="22"/>
      <c r="X107" s="22"/>
      <c r="Y107" s="44">
        <v>118044.33333333333</v>
      </c>
      <c r="Z107" s="22"/>
      <c r="AA107" s="22"/>
      <c r="AB107" s="22"/>
      <c r="AC107" s="22"/>
      <c r="AD107" s="22"/>
      <c r="AE107" s="22"/>
      <c r="AF107" s="22"/>
      <c r="AG107" s="22"/>
      <c r="AH107" s="44">
        <v>115244</v>
      </c>
      <c r="AI107" s="22"/>
      <c r="AJ107" s="22"/>
      <c r="AK107" s="22"/>
      <c r="AL107" s="22"/>
      <c r="AM107" s="22"/>
      <c r="AN107" s="22"/>
      <c r="AO107" s="22"/>
      <c r="AP107" s="17">
        <v>1108310.76</v>
      </c>
      <c r="AQ107" s="44">
        <v>114966</v>
      </c>
      <c r="AR107" s="17">
        <v>1110474.02</v>
      </c>
      <c r="AS107" s="17">
        <v>1110474.02</v>
      </c>
      <c r="AT107" s="21">
        <v>-2163.2600000000002</v>
      </c>
      <c r="AU107" s="17">
        <v>87016.23</v>
      </c>
      <c r="AV107" s="17">
        <v>1108310.76</v>
      </c>
      <c r="AW107" s="17">
        <v>0.8</v>
      </c>
      <c r="AX107" s="17">
        <v>0</v>
      </c>
    </row>
    <row r="108" spans="1:50" x14ac:dyDescent="0.25">
      <c r="A108" s="13">
        <v>205</v>
      </c>
      <c r="B108" s="13" t="s">
        <v>116</v>
      </c>
      <c r="C108" s="13" t="s">
        <v>267</v>
      </c>
      <c r="D108" s="13" t="s">
        <v>250</v>
      </c>
      <c r="E108" s="13" t="s">
        <v>244</v>
      </c>
      <c r="F108" s="17">
        <v>7706973.6900000004</v>
      </c>
      <c r="G108" s="44">
        <v>424820</v>
      </c>
      <c r="H108" s="17">
        <v>8060139.4100000001</v>
      </c>
      <c r="I108" s="17">
        <v>8078849.75</v>
      </c>
      <c r="J108" s="21">
        <v>-371876.06</v>
      </c>
      <c r="K108" s="17">
        <v>445905.99</v>
      </c>
      <c r="L108" s="17">
        <v>7706973.6900000004</v>
      </c>
      <c r="M108" s="17">
        <v>1981676.55</v>
      </c>
      <c r="N108" s="17">
        <v>128129.79</v>
      </c>
      <c r="O108" s="17">
        <v>8451621.8399999999</v>
      </c>
      <c r="P108" s="44">
        <v>421983</v>
      </c>
      <c r="Q108" s="17">
        <v>8477405.8000000007</v>
      </c>
      <c r="R108" s="17">
        <v>8523055.8200000003</v>
      </c>
      <c r="S108" s="21">
        <v>-71433.98</v>
      </c>
      <c r="T108" s="17">
        <v>792778.06</v>
      </c>
      <c r="U108" s="17">
        <v>8451621.8399999999</v>
      </c>
      <c r="V108" s="17">
        <v>1949866.13</v>
      </c>
      <c r="W108" s="17">
        <v>146840.13</v>
      </c>
      <c r="X108" s="17">
        <v>12090447.359999999</v>
      </c>
      <c r="Y108" s="44">
        <v>419146</v>
      </c>
      <c r="Z108" s="17">
        <v>10498686.27</v>
      </c>
      <c r="AA108" s="17">
        <v>10511481.890000001</v>
      </c>
      <c r="AB108" s="17">
        <v>1578965.47</v>
      </c>
      <c r="AC108" s="17">
        <v>497539.16</v>
      </c>
      <c r="AD108" s="17">
        <v>12090447.359999999</v>
      </c>
      <c r="AE108" s="17">
        <v>1592375.28</v>
      </c>
      <c r="AF108" s="17">
        <v>192490.15</v>
      </c>
      <c r="AG108" s="17">
        <v>4000231.6</v>
      </c>
      <c r="AH108" s="44">
        <v>416309</v>
      </c>
      <c r="AI108" s="17">
        <v>6835601.8700000001</v>
      </c>
      <c r="AJ108" s="17">
        <v>6840879.8700000001</v>
      </c>
      <c r="AK108" s="21">
        <v>-2840648.27</v>
      </c>
      <c r="AL108" s="17">
        <v>346213.9</v>
      </c>
      <c r="AM108" s="17">
        <v>4000231.6</v>
      </c>
      <c r="AN108" s="17">
        <v>3020015.48</v>
      </c>
      <c r="AO108" s="17">
        <v>0</v>
      </c>
      <c r="AP108" s="17">
        <v>926406.41</v>
      </c>
      <c r="AQ108" s="44">
        <v>414612</v>
      </c>
      <c r="AR108" s="17">
        <v>598784.42000000004</v>
      </c>
      <c r="AS108" s="17">
        <v>598784.42000000004</v>
      </c>
      <c r="AT108" s="17">
        <v>327621.99</v>
      </c>
      <c r="AU108" s="17">
        <v>346213.9</v>
      </c>
      <c r="AV108" s="17">
        <v>926406.41</v>
      </c>
      <c r="AW108" s="17">
        <v>3020015.48</v>
      </c>
      <c r="AX108" s="17">
        <v>0</v>
      </c>
    </row>
    <row r="109" spans="1:50" ht="25.5" x14ac:dyDescent="0.25">
      <c r="A109" s="13">
        <v>206</v>
      </c>
      <c r="B109" s="13" t="s">
        <v>117</v>
      </c>
      <c r="C109" s="13" t="s">
        <v>268</v>
      </c>
      <c r="D109" s="13" t="s">
        <v>250</v>
      </c>
      <c r="E109" s="13" t="s">
        <v>244</v>
      </c>
      <c r="F109" s="17">
        <v>1182013.33</v>
      </c>
      <c r="G109" s="44">
        <v>587326</v>
      </c>
      <c r="H109" s="17">
        <v>1096331.6599999999</v>
      </c>
      <c r="I109" s="17">
        <v>1234412.05</v>
      </c>
      <c r="J109" s="21">
        <v>-52398.720000000001</v>
      </c>
      <c r="K109" s="17">
        <v>83102.34</v>
      </c>
      <c r="L109" s="17">
        <v>1182013.33</v>
      </c>
      <c r="M109" s="17">
        <v>179268.22</v>
      </c>
      <c r="N109" s="17">
        <v>110123.07</v>
      </c>
      <c r="O109" s="17">
        <v>891177.69</v>
      </c>
      <c r="P109" s="44">
        <v>580312.33333333349</v>
      </c>
      <c r="Q109" s="17">
        <v>754746.6</v>
      </c>
      <c r="R109" s="17">
        <v>810580.59</v>
      </c>
      <c r="S109" s="17">
        <v>80597.100000000006</v>
      </c>
      <c r="T109" s="17">
        <v>53728.32</v>
      </c>
      <c r="U109" s="17">
        <v>891177.69</v>
      </c>
      <c r="V109" s="17">
        <v>112675.68</v>
      </c>
      <c r="W109" s="17">
        <v>148522.91</v>
      </c>
      <c r="X109" s="17">
        <v>756008.42</v>
      </c>
      <c r="Y109" s="44">
        <v>573298.66666666651</v>
      </c>
      <c r="Z109" s="17">
        <v>777398.8</v>
      </c>
      <c r="AA109" s="17">
        <v>811760.32</v>
      </c>
      <c r="AB109" s="21">
        <v>-55751.9</v>
      </c>
      <c r="AC109" s="17">
        <v>3848.98</v>
      </c>
      <c r="AD109" s="17">
        <v>756008.42</v>
      </c>
      <c r="AE109" s="17">
        <v>151435.34</v>
      </c>
      <c r="AF109" s="17">
        <v>185582.78</v>
      </c>
      <c r="AG109" s="17">
        <v>638209.41</v>
      </c>
      <c r="AH109" s="44">
        <v>566285</v>
      </c>
      <c r="AI109" s="17">
        <v>614124.42000000004</v>
      </c>
      <c r="AJ109" s="17">
        <v>651035.64</v>
      </c>
      <c r="AK109" s="21">
        <v>-12826.23</v>
      </c>
      <c r="AL109" s="17">
        <v>3257.04</v>
      </c>
      <c r="AM109" s="17">
        <v>638209.41</v>
      </c>
      <c r="AN109" s="17">
        <v>98724.54</v>
      </c>
      <c r="AO109" s="17">
        <v>219340.3</v>
      </c>
      <c r="AP109" s="17">
        <v>685385.32</v>
      </c>
      <c r="AQ109" s="44">
        <v>563665</v>
      </c>
      <c r="AR109" s="17">
        <v>664452.94999999995</v>
      </c>
      <c r="AS109" s="17">
        <v>733338.51</v>
      </c>
      <c r="AT109" s="21">
        <v>-47953.19</v>
      </c>
      <c r="AU109" s="17">
        <v>19880.98</v>
      </c>
      <c r="AV109" s="17">
        <v>685385.32</v>
      </c>
      <c r="AW109" s="17">
        <v>156644.85</v>
      </c>
      <c r="AX109" s="17">
        <v>0</v>
      </c>
    </row>
    <row r="110" spans="1:50" x14ac:dyDescent="0.25">
      <c r="A110" s="13">
        <v>208</v>
      </c>
      <c r="B110" s="13" t="s">
        <v>118</v>
      </c>
      <c r="C110" s="13" t="s">
        <v>269</v>
      </c>
      <c r="D110" s="13" t="s">
        <v>250</v>
      </c>
      <c r="E110" s="13" t="s">
        <v>244</v>
      </c>
      <c r="F110" s="17">
        <v>15952050.890000001</v>
      </c>
      <c r="G110" s="44">
        <v>163724</v>
      </c>
      <c r="H110" s="17">
        <v>16379311.390000001</v>
      </c>
      <c r="I110" s="17">
        <v>16380706.67</v>
      </c>
      <c r="J110" s="21">
        <v>-428655.78</v>
      </c>
      <c r="K110" s="17">
        <v>4814.3100000000004</v>
      </c>
      <c r="L110" s="17">
        <v>15952050.890000001</v>
      </c>
      <c r="M110" s="17">
        <v>2179940.85</v>
      </c>
      <c r="N110" s="17">
        <v>0</v>
      </c>
      <c r="O110" s="17">
        <v>14670179.83</v>
      </c>
      <c r="P110" s="44">
        <v>172725.33333333331</v>
      </c>
      <c r="Q110" s="17">
        <v>14767632.17</v>
      </c>
      <c r="R110" s="17">
        <v>14774949.119999999</v>
      </c>
      <c r="S110" s="21">
        <v>-104769.28999999911</v>
      </c>
      <c r="T110" s="17">
        <v>103117.13</v>
      </c>
      <c r="U110" s="17">
        <v>14670179.83</v>
      </c>
      <c r="V110" s="17">
        <v>1852564.59</v>
      </c>
      <c r="W110" s="17">
        <v>0</v>
      </c>
      <c r="X110" s="17">
        <v>13324211.869999999</v>
      </c>
      <c r="Y110" s="44">
        <v>181726.66666666669</v>
      </c>
      <c r="Z110" s="17">
        <v>15328385.369999999</v>
      </c>
      <c r="AA110" s="17">
        <v>15383182.34</v>
      </c>
      <c r="AB110" s="21">
        <v>-2058970.4700000007</v>
      </c>
      <c r="AC110" s="17">
        <v>29726.63</v>
      </c>
      <c r="AD110" s="17">
        <v>13324211.869999999</v>
      </c>
      <c r="AE110" s="17">
        <v>1312708.43</v>
      </c>
      <c r="AF110" s="17">
        <v>0</v>
      </c>
      <c r="AG110" s="17">
        <v>14174561.289999999</v>
      </c>
      <c r="AH110" s="44">
        <v>190728</v>
      </c>
      <c r="AI110" s="17">
        <v>12749491.630000001</v>
      </c>
      <c r="AJ110" s="17">
        <v>12804600.630000001</v>
      </c>
      <c r="AK110" s="17">
        <v>1369960.6599999983</v>
      </c>
      <c r="AL110" s="17">
        <v>104817.87</v>
      </c>
      <c r="AM110" s="17">
        <v>14174561.289999999</v>
      </c>
      <c r="AN110" s="17">
        <v>431382.95</v>
      </c>
      <c r="AO110" s="50">
        <v>0</v>
      </c>
      <c r="AP110" s="17">
        <v>13424650.27</v>
      </c>
      <c r="AQ110" s="44">
        <v>189280</v>
      </c>
      <c r="AR110" s="17">
        <v>13651589.369999999</v>
      </c>
      <c r="AS110" s="17">
        <v>13668611.970000001</v>
      </c>
      <c r="AT110" s="17">
        <v>-243961.7</v>
      </c>
      <c r="AU110" s="17">
        <v>282299.23</v>
      </c>
      <c r="AV110" s="17">
        <v>13424650.27</v>
      </c>
      <c r="AW110" s="17">
        <v>2036402.84</v>
      </c>
      <c r="AX110" s="17">
        <v>0</v>
      </c>
    </row>
    <row r="111" spans="1:50" x14ac:dyDescent="0.25">
      <c r="A111" s="13">
        <v>264</v>
      </c>
      <c r="B111" s="34" t="s">
        <v>119</v>
      </c>
      <c r="C111" s="13" t="s">
        <v>270</v>
      </c>
      <c r="D111" s="13" t="s">
        <v>271</v>
      </c>
      <c r="E111" s="13" t="s">
        <v>244</v>
      </c>
      <c r="F111" s="17">
        <v>22692240.800000001</v>
      </c>
      <c r="G111" s="44">
        <v>641475</v>
      </c>
      <c r="H111" s="17">
        <v>22307297.800000001</v>
      </c>
      <c r="I111" s="17">
        <v>22442561.5</v>
      </c>
      <c r="J111" s="17">
        <v>249679.3</v>
      </c>
      <c r="K111" s="17">
        <v>4267338.2</v>
      </c>
      <c r="L111" s="17">
        <v>22692240.800000001</v>
      </c>
      <c r="M111" s="17">
        <v>118634.82</v>
      </c>
      <c r="N111" s="17">
        <v>0</v>
      </c>
      <c r="O111" s="22"/>
      <c r="P111" s="44">
        <v>656941.66666666651</v>
      </c>
      <c r="Q111" s="22"/>
      <c r="R111" s="22"/>
      <c r="S111" s="22"/>
      <c r="T111" s="22"/>
      <c r="U111" s="22"/>
      <c r="V111" s="22"/>
      <c r="W111" s="22"/>
      <c r="X111" s="17">
        <v>20952260.100000001</v>
      </c>
      <c r="Y111" s="44">
        <v>672408.33333333337</v>
      </c>
      <c r="Z111" s="17">
        <v>21240574.350000001</v>
      </c>
      <c r="AA111" s="17">
        <v>21407563.780000001</v>
      </c>
      <c r="AB111" s="21">
        <v>-455303.67999999999</v>
      </c>
      <c r="AC111" s="17">
        <v>4194922.51</v>
      </c>
      <c r="AD111" s="17">
        <v>20952260.100000001</v>
      </c>
      <c r="AE111" s="17">
        <v>810200.71</v>
      </c>
      <c r="AF111" s="17">
        <v>0</v>
      </c>
      <c r="AG111" s="17">
        <v>13450401.550000001</v>
      </c>
      <c r="AH111" s="44">
        <v>687875</v>
      </c>
      <c r="AI111" s="17">
        <v>12599390.75</v>
      </c>
      <c r="AJ111" s="17">
        <v>12645350.75</v>
      </c>
      <c r="AK111" s="17">
        <v>805050.8</v>
      </c>
      <c r="AL111" s="17">
        <v>2093775.93</v>
      </c>
      <c r="AM111" s="17">
        <v>13450401.550000001</v>
      </c>
      <c r="AN111" s="17">
        <v>641424.18999999994</v>
      </c>
      <c r="AO111" s="17">
        <v>0</v>
      </c>
      <c r="AP111" s="17">
        <v>8438184.6899999995</v>
      </c>
      <c r="AQ111" s="44">
        <v>683675</v>
      </c>
      <c r="AR111" s="17">
        <v>7938912.8700000001</v>
      </c>
      <c r="AS111" s="17">
        <v>7960553.2699999996</v>
      </c>
      <c r="AT111" s="17">
        <v>477631.42</v>
      </c>
      <c r="AU111" s="17">
        <v>643176.63</v>
      </c>
      <c r="AV111" s="17">
        <v>8438184.6899999995</v>
      </c>
      <c r="AW111" s="17">
        <v>75203.19</v>
      </c>
      <c r="AX111" s="17">
        <v>0</v>
      </c>
    </row>
    <row r="112" spans="1:50" x14ac:dyDescent="0.25">
      <c r="A112" s="13">
        <v>300</v>
      </c>
      <c r="B112" s="13" t="s">
        <v>120</v>
      </c>
      <c r="C112" s="13" t="s">
        <v>272</v>
      </c>
      <c r="D112" s="13" t="s">
        <v>250</v>
      </c>
      <c r="E112" s="13" t="s">
        <v>244</v>
      </c>
      <c r="F112" s="22"/>
      <c r="G112" s="44">
        <v>1486804</v>
      </c>
      <c r="H112" s="22"/>
      <c r="I112" s="22"/>
      <c r="J112" s="22"/>
      <c r="K112" s="22"/>
      <c r="L112" s="22"/>
      <c r="M112" s="22"/>
      <c r="N112" s="22"/>
      <c r="O112" s="22"/>
      <c r="P112" s="44">
        <v>1474173.6666666665</v>
      </c>
      <c r="Q112" s="22"/>
      <c r="R112" s="22"/>
      <c r="S112" s="22"/>
      <c r="T112" s="22"/>
      <c r="U112" s="22"/>
      <c r="V112" s="22"/>
      <c r="W112" s="22"/>
      <c r="X112" s="17">
        <v>860364.80000000005</v>
      </c>
      <c r="Y112" s="44">
        <v>1461543.3333333335</v>
      </c>
      <c r="Z112" s="17">
        <v>856121.58</v>
      </c>
      <c r="AA112" s="17">
        <v>1034491.58</v>
      </c>
      <c r="AB112" s="21">
        <v>-174126.78</v>
      </c>
      <c r="AC112" s="17">
        <v>139448.38</v>
      </c>
      <c r="AD112" s="17">
        <v>860364.80000000005</v>
      </c>
      <c r="AE112" s="17">
        <v>0</v>
      </c>
      <c r="AF112" s="17">
        <v>0</v>
      </c>
      <c r="AG112" s="17">
        <v>638676.94999999995</v>
      </c>
      <c r="AH112" s="44">
        <v>1448913</v>
      </c>
      <c r="AI112" s="17">
        <v>552378.02</v>
      </c>
      <c r="AJ112" s="17">
        <v>564072.25</v>
      </c>
      <c r="AK112" s="17">
        <v>74604.7</v>
      </c>
      <c r="AL112" s="17">
        <v>259637.16</v>
      </c>
      <c r="AM112" s="17">
        <v>638676.94999999995</v>
      </c>
      <c r="AN112" s="17">
        <v>0</v>
      </c>
      <c r="AO112" s="17">
        <v>0</v>
      </c>
      <c r="AP112" s="17">
        <v>552184.63</v>
      </c>
      <c r="AQ112" s="44">
        <v>1437026</v>
      </c>
      <c r="AR112" s="17">
        <v>458782.36</v>
      </c>
      <c r="AS112" s="17">
        <v>462282.36</v>
      </c>
      <c r="AT112" s="17">
        <v>89902.27</v>
      </c>
      <c r="AU112" s="17">
        <v>184762.46</v>
      </c>
      <c r="AV112" s="17">
        <v>552184.63</v>
      </c>
      <c r="AW112" s="17">
        <v>0</v>
      </c>
      <c r="AX112" s="17">
        <v>0</v>
      </c>
    </row>
    <row r="113" spans="1:50" ht="25.5" x14ac:dyDescent="0.25">
      <c r="A113" s="13">
        <v>13</v>
      </c>
      <c r="B113" s="13" t="s">
        <v>121</v>
      </c>
      <c r="C113" s="13" t="s">
        <v>273</v>
      </c>
      <c r="D113" s="13" t="s">
        <v>274</v>
      </c>
      <c r="E113" s="13" t="s">
        <v>275</v>
      </c>
      <c r="F113" s="17">
        <v>5487346.9100000001</v>
      </c>
      <c r="G113" s="44">
        <v>136453</v>
      </c>
      <c r="H113" s="17">
        <v>5807064.3300000001</v>
      </c>
      <c r="I113" s="17">
        <v>6110722.3300000001</v>
      </c>
      <c r="J113" s="21">
        <v>-623375.42000000004</v>
      </c>
      <c r="K113" s="17">
        <v>1177669.06</v>
      </c>
      <c r="L113" s="17">
        <v>5487346.9100000001</v>
      </c>
      <c r="M113" s="17">
        <v>119779.52</v>
      </c>
      <c r="N113" s="17">
        <v>0</v>
      </c>
      <c r="O113" s="17">
        <v>5517725.1699999999</v>
      </c>
      <c r="P113" s="44">
        <v>130762.66666666666</v>
      </c>
      <c r="Q113" s="17">
        <v>5125542.49</v>
      </c>
      <c r="R113" s="17">
        <v>5170551.49</v>
      </c>
      <c r="S113" s="17">
        <v>347173.68</v>
      </c>
      <c r="T113" s="17">
        <v>1986873.15</v>
      </c>
      <c r="U113" s="17">
        <v>5077625.17</v>
      </c>
      <c r="V113" s="17">
        <v>302720.89</v>
      </c>
      <c r="W113" s="17">
        <v>0</v>
      </c>
      <c r="X113" s="22"/>
      <c r="Y113" s="44">
        <v>125072.33333333334</v>
      </c>
      <c r="Z113" s="22"/>
      <c r="AA113" s="22"/>
      <c r="AB113" s="22"/>
      <c r="AC113" s="22"/>
      <c r="AD113" s="22"/>
      <c r="AE113" s="22"/>
      <c r="AF113" s="22"/>
      <c r="AG113" s="22"/>
      <c r="AH113" s="44">
        <v>119382</v>
      </c>
      <c r="AI113" s="22"/>
      <c r="AJ113" s="22"/>
      <c r="AK113" s="22"/>
      <c r="AL113" s="22"/>
      <c r="AM113" s="22"/>
      <c r="AN113" s="22"/>
      <c r="AO113" s="22"/>
      <c r="AP113" s="22"/>
      <c r="AQ113" s="44">
        <v>118173</v>
      </c>
      <c r="AR113" s="22"/>
      <c r="AS113" s="22"/>
      <c r="AT113" s="22"/>
      <c r="AU113" s="22"/>
      <c r="AV113" s="22"/>
      <c r="AW113" s="22"/>
      <c r="AX113" s="22"/>
    </row>
    <row r="114" spans="1:50" ht="25.5" x14ac:dyDescent="0.25">
      <c r="A114" s="13">
        <v>17</v>
      </c>
      <c r="B114" s="13" t="s">
        <v>122</v>
      </c>
      <c r="C114" s="13" t="s">
        <v>276</v>
      </c>
      <c r="D114" s="13" t="s">
        <v>277</v>
      </c>
      <c r="E114" s="13" t="s">
        <v>275</v>
      </c>
      <c r="F114" s="22"/>
      <c r="G114" s="44">
        <v>239607</v>
      </c>
      <c r="H114" s="22"/>
      <c r="I114" s="22"/>
      <c r="J114" s="22"/>
      <c r="K114" s="22"/>
      <c r="L114" s="22"/>
      <c r="M114" s="22"/>
      <c r="N114" s="22"/>
      <c r="O114" s="22"/>
      <c r="P114" s="44">
        <v>238938.33333333337</v>
      </c>
      <c r="Q114" s="22"/>
      <c r="R114" s="22"/>
      <c r="S114" s="22"/>
      <c r="T114" s="22"/>
      <c r="U114" s="22"/>
      <c r="V114" s="22"/>
      <c r="W114" s="22"/>
      <c r="X114" s="17">
        <v>7277277.6200000001</v>
      </c>
      <c r="Y114" s="44">
        <v>121897166.33333349</v>
      </c>
      <c r="Z114" s="17">
        <v>3623365.58</v>
      </c>
      <c r="AA114" s="17">
        <v>6064945.5800000001</v>
      </c>
      <c r="AB114" s="17">
        <v>1212332.04</v>
      </c>
      <c r="AC114" s="17">
        <v>1717793.35</v>
      </c>
      <c r="AD114" s="17">
        <v>7277277.6200000001</v>
      </c>
      <c r="AE114" s="17">
        <v>4611.55</v>
      </c>
      <c r="AF114" s="17">
        <v>0</v>
      </c>
      <c r="AG114" s="17">
        <v>1590154.93</v>
      </c>
      <c r="AH114" s="44">
        <v>237601</v>
      </c>
      <c r="AI114" s="17">
        <v>1343995.73</v>
      </c>
      <c r="AJ114" s="17">
        <v>1356552.64</v>
      </c>
      <c r="AK114" s="17">
        <v>233602.29</v>
      </c>
      <c r="AL114" s="17">
        <v>466525.97</v>
      </c>
      <c r="AM114" s="17">
        <v>1590154.93</v>
      </c>
      <c r="AN114" s="17">
        <v>873238.91</v>
      </c>
      <c r="AO114" s="17">
        <v>0</v>
      </c>
      <c r="AP114" s="17">
        <v>1589433.64</v>
      </c>
      <c r="AQ114" s="44">
        <v>235901</v>
      </c>
      <c r="AR114" s="17">
        <v>647272.07999999996</v>
      </c>
      <c r="AS114" s="17">
        <v>1502593.18</v>
      </c>
      <c r="AT114" s="17">
        <v>86840.46</v>
      </c>
      <c r="AU114" s="17">
        <v>215743.4</v>
      </c>
      <c r="AV114" s="17">
        <v>1589433.64</v>
      </c>
      <c r="AW114" s="17">
        <v>856037.18</v>
      </c>
      <c r="AX114" s="17">
        <v>0</v>
      </c>
    </row>
    <row r="115" spans="1:50" ht="25.5" x14ac:dyDescent="0.25">
      <c r="A115" s="13">
        <v>84</v>
      </c>
      <c r="B115" s="13" t="s">
        <v>123</v>
      </c>
      <c r="C115" s="13" t="s">
        <v>278</v>
      </c>
      <c r="D115" s="13" t="s">
        <v>279</v>
      </c>
      <c r="E115" s="13" t="s">
        <v>275</v>
      </c>
      <c r="F115" s="17">
        <v>239790.43</v>
      </c>
      <c r="G115" s="44">
        <v>121358503</v>
      </c>
      <c r="H115" s="17">
        <v>1173493.21</v>
      </c>
      <c r="I115" s="17">
        <v>1173493.21</v>
      </c>
      <c r="J115" s="17"/>
      <c r="K115" s="17">
        <v>1128629.1100000001</v>
      </c>
      <c r="L115" s="17">
        <v>239790.43</v>
      </c>
      <c r="M115" s="17">
        <v>15000</v>
      </c>
      <c r="N115" s="17">
        <v>0</v>
      </c>
      <c r="O115" s="17">
        <v>653908.09</v>
      </c>
      <c r="P115" s="44">
        <v>121627834.66666651</v>
      </c>
      <c r="Q115" s="17">
        <v>1011290.12</v>
      </c>
      <c r="R115" s="17">
        <v>1011290.12</v>
      </c>
      <c r="S115" s="21">
        <v>-357382.03</v>
      </c>
      <c r="T115" s="17">
        <v>2057299.86</v>
      </c>
      <c r="U115" s="17">
        <v>653908.09</v>
      </c>
      <c r="V115" s="17">
        <v>9967.9699999999993</v>
      </c>
      <c r="W115" s="17">
        <v>0</v>
      </c>
      <c r="X115" s="22"/>
      <c r="Z115" s="22"/>
      <c r="AA115" s="22"/>
      <c r="AB115" s="22"/>
      <c r="AC115" s="22"/>
      <c r="AD115" s="22"/>
      <c r="AE115" s="22"/>
      <c r="AF115" s="22"/>
      <c r="AG115" s="22"/>
      <c r="AH115" s="44">
        <v>122171720</v>
      </c>
      <c r="AI115" s="22"/>
      <c r="AJ115" s="22"/>
      <c r="AK115" s="22"/>
      <c r="AL115" s="22"/>
      <c r="AM115" s="22"/>
      <c r="AN115" s="22"/>
      <c r="AO115" s="22"/>
      <c r="AP115" s="22"/>
      <c r="AQ115" s="44">
        <v>121310226</v>
      </c>
      <c r="AR115" s="22"/>
      <c r="AS115" s="22"/>
      <c r="AT115" s="22"/>
      <c r="AU115" s="22"/>
      <c r="AV115" s="22"/>
      <c r="AW115" s="22"/>
      <c r="AX115" s="22"/>
    </row>
    <row r="116" spans="1:50" ht="25.5" x14ac:dyDescent="0.25">
      <c r="A116" s="13">
        <v>184</v>
      </c>
      <c r="B116" s="13" t="s">
        <v>124</v>
      </c>
      <c r="C116" s="13" t="s">
        <v>280</v>
      </c>
      <c r="D116" s="13" t="s">
        <v>281</v>
      </c>
      <c r="E116" s="13" t="s">
        <v>275</v>
      </c>
      <c r="F116" s="17">
        <v>889041.03</v>
      </c>
      <c r="G116" s="44">
        <v>186277</v>
      </c>
      <c r="H116" s="17">
        <v>514793.77</v>
      </c>
      <c r="I116" s="17">
        <v>514793.77</v>
      </c>
      <c r="J116" s="17">
        <v>374247.26</v>
      </c>
      <c r="K116" s="17">
        <v>473490.43</v>
      </c>
      <c r="L116" s="17">
        <v>889041.03</v>
      </c>
      <c r="M116" s="17">
        <v>21300</v>
      </c>
      <c r="N116" s="17">
        <v>0</v>
      </c>
      <c r="O116" s="17">
        <v>390725.47</v>
      </c>
      <c r="P116" s="44">
        <v>181786.33333333331</v>
      </c>
      <c r="Q116" s="17">
        <v>441637.75</v>
      </c>
      <c r="R116" s="17">
        <v>441637.75</v>
      </c>
      <c r="S116" s="21">
        <v>-50912.28</v>
      </c>
      <c r="T116" s="17">
        <v>77943.17</v>
      </c>
      <c r="U116" s="17">
        <v>390725.47</v>
      </c>
      <c r="V116" s="17">
        <v>0</v>
      </c>
      <c r="W116" s="17">
        <v>0</v>
      </c>
      <c r="X116" s="17">
        <v>272357.36</v>
      </c>
      <c r="Y116" s="44">
        <v>177295.66666666669</v>
      </c>
      <c r="Z116" s="17">
        <v>327263.43</v>
      </c>
      <c r="AA116" s="17">
        <v>327263.43</v>
      </c>
      <c r="AB116" s="21">
        <v>-54906.07</v>
      </c>
      <c r="AC116" s="17">
        <v>128855.45</v>
      </c>
      <c r="AD116" s="17">
        <v>272357.36</v>
      </c>
      <c r="AE116" s="17">
        <v>0</v>
      </c>
      <c r="AF116" s="17">
        <v>0</v>
      </c>
      <c r="AG116" s="17">
        <v>294169.76</v>
      </c>
      <c r="AH116" s="44">
        <v>172805</v>
      </c>
      <c r="AI116" s="17">
        <v>273460.7</v>
      </c>
      <c r="AJ116" s="17">
        <v>273460.7</v>
      </c>
      <c r="AK116" s="17">
        <v>20709.060000000001</v>
      </c>
      <c r="AL116" s="17">
        <v>183761.62</v>
      </c>
      <c r="AM116" s="17">
        <v>294169.76</v>
      </c>
      <c r="AN116" s="17">
        <v>0</v>
      </c>
      <c r="AO116" s="17">
        <v>0</v>
      </c>
      <c r="AP116" s="17">
        <v>243501.66</v>
      </c>
      <c r="AQ116" s="44">
        <v>171084</v>
      </c>
      <c r="AR116" s="17">
        <v>220786.31</v>
      </c>
      <c r="AS116" s="17">
        <v>220786.31</v>
      </c>
      <c r="AT116" s="17">
        <v>22715.35</v>
      </c>
      <c r="AU116" s="17">
        <v>163052.46</v>
      </c>
      <c r="AV116" s="17">
        <v>243501.66</v>
      </c>
      <c r="AW116" s="17">
        <v>0</v>
      </c>
      <c r="AX116" s="17">
        <v>0</v>
      </c>
    </row>
    <row r="117" spans="1:50" ht="25.5" x14ac:dyDescent="0.25">
      <c r="A117" s="13">
        <v>185</v>
      </c>
      <c r="B117" s="13" t="s">
        <v>125</v>
      </c>
      <c r="C117" s="13" t="s">
        <v>282</v>
      </c>
      <c r="D117" s="13" t="s">
        <v>274</v>
      </c>
      <c r="E117" s="13" t="s">
        <v>275</v>
      </c>
      <c r="F117" s="17">
        <v>12021562.42</v>
      </c>
      <c r="G117" s="44">
        <v>114907</v>
      </c>
      <c r="H117" s="17">
        <v>11422814.07</v>
      </c>
      <c r="I117" s="17">
        <v>11422814.07</v>
      </c>
      <c r="J117" s="17">
        <v>598748.35</v>
      </c>
      <c r="K117" s="17">
        <v>1474502.92</v>
      </c>
      <c r="L117" s="17">
        <v>12021562.42</v>
      </c>
      <c r="M117" s="17">
        <v>950</v>
      </c>
      <c r="N117" s="17">
        <v>0</v>
      </c>
      <c r="O117" s="17">
        <v>7053090.0300000003</v>
      </c>
      <c r="P117" s="44">
        <v>113054</v>
      </c>
      <c r="Q117" s="17">
        <v>6965167.4199999999</v>
      </c>
      <c r="R117" s="17">
        <v>6973753.4199999999</v>
      </c>
      <c r="S117" s="17">
        <v>79336.61</v>
      </c>
      <c r="T117" s="17">
        <v>611290.57999999996</v>
      </c>
      <c r="U117" s="17">
        <v>7053090.0300000003</v>
      </c>
      <c r="V117" s="17">
        <v>37259.1</v>
      </c>
      <c r="W117" s="17">
        <v>0</v>
      </c>
      <c r="X117" s="17">
        <v>5303948.68</v>
      </c>
      <c r="Y117" s="44">
        <v>111201</v>
      </c>
      <c r="Z117" s="17">
        <v>5007007.29</v>
      </c>
      <c r="AA117" s="17">
        <v>5017915.29</v>
      </c>
      <c r="AB117" s="17">
        <v>286033.39</v>
      </c>
      <c r="AC117" s="17">
        <v>491681.35</v>
      </c>
      <c r="AD117" s="17">
        <v>5303948.68</v>
      </c>
      <c r="AE117" s="17">
        <v>5130</v>
      </c>
      <c r="AF117" s="17">
        <v>0</v>
      </c>
      <c r="AG117" s="17">
        <v>3894456.56</v>
      </c>
      <c r="AH117" s="44">
        <v>109348</v>
      </c>
      <c r="AI117" s="17">
        <v>3885654.98</v>
      </c>
      <c r="AJ117" s="17">
        <v>3887224.78</v>
      </c>
      <c r="AK117" s="17">
        <v>7231.78</v>
      </c>
      <c r="AL117" s="17">
        <v>200517.96</v>
      </c>
      <c r="AM117" s="17">
        <v>3894456.56</v>
      </c>
      <c r="AN117" s="17">
        <v>0</v>
      </c>
      <c r="AO117" s="17">
        <v>0</v>
      </c>
      <c r="AP117" s="22"/>
      <c r="AQ117" s="44">
        <v>108647</v>
      </c>
      <c r="AR117" s="22"/>
      <c r="AS117" s="22"/>
      <c r="AT117" s="22"/>
      <c r="AU117" s="22"/>
      <c r="AV117" s="22"/>
      <c r="AW117" s="22"/>
      <c r="AX117" s="22"/>
    </row>
    <row r="118" spans="1:50" ht="25.5" x14ac:dyDescent="0.25">
      <c r="A118" s="13">
        <v>186</v>
      </c>
      <c r="B118" s="13" t="s">
        <v>126</v>
      </c>
      <c r="C118" s="13" t="s">
        <v>283</v>
      </c>
      <c r="D118" s="13" t="s">
        <v>274</v>
      </c>
      <c r="E118" s="13" t="s">
        <v>275</v>
      </c>
      <c r="F118" s="17">
        <v>4080991.76</v>
      </c>
      <c r="G118" s="44">
        <v>69366</v>
      </c>
      <c r="H118" s="17">
        <v>3931410.51</v>
      </c>
      <c r="I118" s="17">
        <v>3931410.51</v>
      </c>
      <c r="J118" s="21">
        <v>-303777.09999999998</v>
      </c>
      <c r="K118" s="17">
        <v>531224.81999999995</v>
      </c>
      <c r="L118" s="17">
        <v>4080991.76</v>
      </c>
      <c r="M118" s="17">
        <v>0</v>
      </c>
      <c r="N118" s="17">
        <v>0</v>
      </c>
      <c r="O118" s="17">
        <v>4123204.48</v>
      </c>
      <c r="P118" s="44">
        <v>69113.666666666672</v>
      </c>
      <c r="Q118" s="22"/>
      <c r="R118" s="22"/>
      <c r="S118" s="22"/>
      <c r="T118" s="17">
        <v>381643.57</v>
      </c>
      <c r="U118" s="17">
        <v>4123204.48</v>
      </c>
      <c r="V118" s="17">
        <v>0</v>
      </c>
      <c r="W118" s="17">
        <v>0</v>
      </c>
      <c r="X118" s="22"/>
      <c r="Y118" s="44">
        <v>68861.333333333328</v>
      </c>
      <c r="Z118" s="22"/>
      <c r="AA118" s="22"/>
      <c r="AB118" s="22"/>
      <c r="AC118" s="22"/>
      <c r="AD118" s="22"/>
      <c r="AE118" s="22"/>
      <c r="AF118" s="22"/>
      <c r="AG118" s="22"/>
      <c r="AH118" s="44">
        <v>68609</v>
      </c>
      <c r="AI118" s="22"/>
      <c r="AJ118" s="22"/>
      <c r="AK118" s="22"/>
      <c r="AL118" s="22"/>
      <c r="AM118" s="22"/>
      <c r="AN118" s="22"/>
      <c r="AO118" s="22"/>
      <c r="AP118" s="22"/>
      <c r="AQ118" s="44">
        <v>68686</v>
      </c>
      <c r="AR118" s="22"/>
      <c r="AS118" s="22"/>
      <c r="AT118" s="22"/>
      <c r="AU118" s="22"/>
      <c r="AV118" s="22"/>
      <c r="AW118" s="22"/>
      <c r="AX118" s="22"/>
    </row>
    <row r="119" spans="1:50" ht="25.5" x14ac:dyDescent="0.25">
      <c r="A119" s="13">
        <v>187</v>
      </c>
      <c r="B119" s="13" t="s">
        <v>127</v>
      </c>
      <c r="C119" s="13" t="s">
        <v>284</v>
      </c>
      <c r="D119" s="13" t="s">
        <v>274</v>
      </c>
      <c r="E119" s="13" t="s">
        <v>275</v>
      </c>
      <c r="F119" s="17">
        <v>87648203.819999993</v>
      </c>
      <c r="G119" s="44">
        <v>580784</v>
      </c>
      <c r="H119" s="17">
        <v>93271665.730000004</v>
      </c>
      <c r="I119" s="17">
        <v>95259926.25</v>
      </c>
      <c r="J119" s="21">
        <v>-7611722.4300000072</v>
      </c>
      <c r="K119" s="17">
        <v>25985883.219999999</v>
      </c>
      <c r="L119" s="17">
        <v>86111287.510000005</v>
      </c>
      <c r="M119" s="17">
        <v>657071.88</v>
      </c>
      <c r="N119" s="17">
        <v>0</v>
      </c>
      <c r="O119" s="17">
        <v>79833695.840000004</v>
      </c>
      <c r="P119" s="44">
        <v>541691.66666666663</v>
      </c>
      <c r="Q119" s="17">
        <v>67959854.019999996</v>
      </c>
      <c r="R119" s="17">
        <v>69204744.629999995</v>
      </c>
      <c r="S119" s="17">
        <v>10628951.210000001</v>
      </c>
      <c r="T119" s="17">
        <v>30275931.120000001</v>
      </c>
      <c r="U119" s="17">
        <v>78415256.549999997</v>
      </c>
      <c r="V119" s="17">
        <v>8887.6200000000008</v>
      </c>
      <c r="W119" s="17">
        <v>0</v>
      </c>
      <c r="X119" s="17">
        <v>53269002.600000001</v>
      </c>
      <c r="Y119" s="44">
        <v>502599.33333333331</v>
      </c>
      <c r="Z119" s="17">
        <v>51127739.68</v>
      </c>
      <c r="AA119" s="17">
        <v>51360303.880000003</v>
      </c>
      <c r="AB119" s="17">
        <v>1908698.72</v>
      </c>
      <c r="AC119" s="17">
        <v>18139062.190000001</v>
      </c>
      <c r="AD119" s="17">
        <v>53183833.799999997</v>
      </c>
      <c r="AE119" s="17">
        <v>43517.13</v>
      </c>
      <c r="AF119" s="17">
        <v>0</v>
      </c>
      <c r="AG119" s="17">
        <v>44426581.590000004</v>
      </c>
      <c r="AH119" s="44">
        <v>463507</v>
      </c>
      <c r="AI119" s="17">
        <v>33483395.59</v>
      </c>
      <c r="AJ119" s="17">
        <v>35096168.25</v>
      </c>
      <c r="AK119" s="17">
        <v>9330413.3399999999</v>
      </c>
      <c r="AL119" s="17">
        <v>14265850.539999999</v>
      </c>
      <c r="AM119" s="17">
        <v>44426581.590000004</v>
      </c>
      <c r="AN119" s="17">
        <v>0</v>
      </c>
      <c r="AO119" s="17">
        <v>0</v>
      </c>
      <c r="AP119" s="17">
        <v>29746472.440000001</v>
      </c>
      <c r="AQ119" s="44">
        <v>452934</v>
      </c>
      <c r="AR119" s="17">
        <v>27285825.550000001</v>
      </c>
      <c r="AS119" s="17">
        <v>28894773.489999998</v>
      </c>
      <c r="AT119" s="17">
        <v>851698.95</v>
      </c>
      <c r="AU119" s="17">
        <v>5033218.2699999996</v>
      </c>
      <c r="AV119" s="17">
        <v>29477103.16</v>
      </c>
      <c r="AW119" s="17">
        <v>3086.92</v>
      </c>
      <c r="AX119" s="17">
        <v>0</v>
      </c>
    </row>
    <row r="120" spans="1:50" ht="25.5" x14ac:dyDescent="0.25">
      <c r="A120" s="13">
        <v>191</v>
      </c>
      <c r="B120" s="13" t="s">
        <v>128</v>
      </c>
      <c r="C120" s="13" t="s">
        <v>285</v>
      </c>
      <c r="D120" s="13" t="s">
        <v>274</v>
      </c>
      <c r="E120" s="13" t="s">
        <v>275</v>
      </c>
      <c r="F120" s="22"/>
      <c r="G120" s="44">
        <v>50793</v>
      </c>
      <c r="H120" s="22"/>
      <c r="I120" s="22"/>
      <c r="J120" s="22"/>
      <c r="K120" s="22"/>
      <c r="L120" s="22"/>
      <c r="M120" s="22"/>
      <c r="N120" s="22"/>
      <c r="O120" s="17">
        <v>771004.45</v>
      </c>
      <c r="P120" s="44">
        <v>54231</v>
      </c>
      <c r="Q120" s="17">
        <v>1273238.4099999999</v>
      </c>
      <c r="R120" s="17">
        <v>1273238.4099999999</v>
      </c>
      <c r="S120" s="21">
        <v>-502233.96</v>
      </c>
      <c r="T120" s="17">
        <v>150203.44</v>
      </c>
      <c r="U120" s="17">
        <v>771004.45</v>
      </c>
      <c r="V120" s="17">
        <v>365493.03</v>
      </c>
      <c r="W120" s="17">
        <v>0</v>
      </c>
      <c r="X120" s="17">
        <v>709878.76</v>
      </c>
      <c r="Y120" s="44">
        <v>57669</v>
      </c>
      <c r="Z120" s="17">
        <v>1859238.65</v>
      </c>
      <c r="AA120" s="17">
        <v>1862838.65</v>
      </c>
      <c r="AB120" s="21">
        <v>-1152959.8899999999</v>
      </c>
      <c r="AC120" s="17">
        <v>55470.46</v>
      </c>
      <c r="AD120" s="17">
        <v>709878.76</v>
      </c>
      <c r="AE120" s="17">
        <v>320643.19</v>
      </c>
      <c r="AF120" s="17">
        <v>0</v>
      </c>
      <c r="AG120" s="17">
        <v>948157.24</v>
      </c>
      <c r="AH120" s="44">
        <v>61107</v>
      </c>
      <c r="AI120" s="17">
        <v>2451798.44</v>
      </c>
      <c r="AJ120" s="17">
        <v>2455348.44</v>
      </c>
      <c r="AK120" s="21">
        <v>-1507191.2</v>
      </c>
      <c r="AL120" s="17">
        <v>55766.44</v>
      </c>
      <c r="AM120" s="17">
        <v>948157.24</v>
      </c>
      <c r="AN120" s="17">
        <v>310921.33</v>
      </c>
      <c r="AO120" s="17">
        <v>0</v>
      </c>
      <c r="AP120" s="17">
        <v>592768.23</v>
      </c>
      <c r="AQ120" s="44">
        <v>60585</v>
      </c>
      <c r="AR120" s="17">
        <v>1339437.75</v>
      </c>
      <c r="AS120" s="17">
        <v>1341272.75</v>
      </c>
      <c r="AT120" s="21">
        <v>-748504.52</v>
      </c>
      <c r="AU120" s="17">
        <v>1805842.29</v>
      </c>
      <c r="AV120" s="17">
        <v>592768.23</v>
      </c>
      <c r="AW120" s="17">
        <v>408291</v>
      </c>
      <c r="AX120" s="17">
        <v>0</v>
      </c>
    </row>
    <row r="121" spans="1:50" ht="25.5" x14ac:dyDescent="0.25">
      <c r="A121" s="13">
        <v>299</v>
      </c>
      <c r="B121" s="13" t="s">
        <v>129</v>
      </c>
      <c r="C121" s="13" t="s">
        <v>286</v>
      </c>
      <c r="D121" s="13" t="s">
        <v>274</v>
      </c>
      <c r="E121" s="13" t="s">
        <v>275</v>
      </c>
      <c r="F121" s="17">
        <v>7212681.2199999997</v>
      </c>
      <c r="G121" s="44">
        <v>127906</v>
      </c>
      <c r="H121" s="17">
        <v>7063958.5999999996</v>
      </c>
      <c r="I121" s="17">
        <v>7224214.9400000004</v>
      </c>
      <c r="J121" s="21">
        <v>-11533.72</v>
      </c>
      <c r="K121" s="17">
        <v>488513.5</v>
      </c>
      <c r="L121" s="17">
        <v>7212681.2199999997</v>
      </c>
      <c r="M121" s="17">
        <v>126158.46</v>
      </c>
      <c r="N121" s="17">
        <v>0</v>
      </c>
      <c r="O121" s="22"/>
      <c r="P121" s="44">
        <v>135832</v>
      </c>
      <c r="Q121" s="22"/>
      <c r="R121" s="22"/>
      <c r="S121" s="22"/>
      <c r="T121" s="22"/>
      <c r="U121" s="22"/>
      <c r="V121" s="22"/>
      <c r="W121" s="22"/>
      <c r="X121" s="22"/>
      <c r="Y121" s="44">
        <v>143758</v>
      </c>
      <c r="Z121" s="22"/>
      <c r="AA121" s="22"/>
      <c r="AB121" s="22"/>
      <c r="AC121" s="22"/>
      <c r="AD121" s="22"/>
      <c r="AE121" s="22"/>
      <c r="AF121" s="22"/>
      <c r="AG121" s="22"/>
      <c r="AH121" s="44">
        <v>151684</v>
      </c>
      <c r="AI121" s="22"/>
      <c r="AJ121" s="22"/>
      <c r="AK121" s="22"/>
      <c r="AL121" s="22"/>
      <c r="AM121" s="22"/>
      <c r="AN121" s="22"/>
      <c r="AO121" s="22"/>
      <c r="AP121" s="22"/>
      <c r="AQ121" s="44">
        <v>148998</v>
      </c>
      <c r="AR121" s="22"/>
      <c r="AS121" s="22"/>
      <c r="AT121" s="22"/>
      <c r="AU121" s="22"/>
      <c r="AV121" s="22"/>
      <c r="AW121" s="22"/>
      <c r="AX121" s="22"/>
    </row>
  </sheetData>
  <mergeCells count="10">
    <mergeCell ref="O1:W1"/>
    <mergeCell ref="X1:AF1"/>
    <mergeCell ref="AG1:AO1"/>
    <mergeCell ref="AP1:AX1"/>
    <mergeCell ref="A1:A2"/>
    <mergeCell ref="B1:B2"/>
    <mergeCell ref="C1:C2"/>
    <mergeCell ref="D1:D2"/>
    <mergeCell ref="E1:E2"/>
    <mergeCell ref="F1:N1"/>
  </mergeCells>
  <conditionalFormatting sqref="Y3:Y114 P3:P121 F60:O121 Q60:X121 Z60:AX121 Y116:Y121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Indicadores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Flávia Duque</dc:creator>
  <cp:keywords/>
  <dc:description/>
  <cp:lastModifiedBy>Flávia Duque</cp:lastModifiedBy>
  <cp:revision/>
  <dcterms:created xsi:type="dcterms:W3CDTF">2026-02-09T23:59:46Z</dcterms:created>
  <dcterms:modified xsi:type="dcterms:W3CDTF">2026-02-25T14:21:07Z</dcterms:modified>
  <cp:category/>
  <cp:contentStatus/>
</cp:coreProperties>
</file>