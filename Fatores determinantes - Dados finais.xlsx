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599560dc2f212cc/DOutorado/coleta de dados/Fatores determinantes/"/>
    </mc:Choice>
  </mc:AlternateContent>
  <xr:revisionPtr revIDLastSave="1035" documentId="8_{D21F3CF6-F5C2-41D6-9875-54E37849929C}" xr6:coauthVersionLast="47" xr6:coauthVersionMax="47" xr10:uidLastSave="{14BE1D14-CF18-40D6-B595-8FFD62E57246}"/>
  <bookViews>
    <workbookView xWindow="-120" yWindow="-120" windowWidth="29040" windowHeight="15720" xr2:uid="{6F8A34B5-5EA1-420C-A5B3-657608B4E65B}"/>
  </bookViews>
  <sheets>
    <sheet name="Fatores determinantes" sheetId="1" r:id="rId1"/>
    <sheet name="Dados" sheetId="2" r:id="rId2"/>
    <sheet name="Despesa com pessoal" sheetId="3" r:id="rId3"/>
  </sheets>
  <externalReferences>
    <externalReference r:id="rId4"/>
  </externalReferences>
  <definedNames>
    <definedName name="_xlnm._FilterDatabase" localSheetId="0" hidden="1">'Fatores determinantes'!$G$2:$K$121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3" i="2" l="1"/>
  <c r="R303" i="2"/>
  <c r="Q303" i="2"/>
  <c r="U115" i="1"/>
  <c r="T115" i="1"/>
  <c r="S115" i="1"/>
  <c r="AM54" i="1" a="1"/>
  <c r="AM54" i="1" s="1"/>
  <c r="AM53" i="1" a="1"/>
  <c r="AM53" i="1" s="1"/>
  <c r="AM52" i="1" a="1"/>
  <c r="AM52" i="1" s="1"/>
  <c r="AM51" i="1" a="1"/>
  <c r="AM51" i="1" s="1"/>
  <c r="AM50" i="1" a="1"/>
  <c r="AM50" i="1" s="1"/>
  <c r="AM49" i="1" a="1"/>
  <c r="AM49" i="1" s="1"/>
  <c r="AM48" i="1" a="1"/>
  <c r="AM48" i="1" s="1"/>
  <c r="AM47" i="1" a="1"/>
  <c r="AM47" i="1" s="1"/>
  <c r="AM46" i="1" a="1"/>
  <c r="AM46" i="1" s="1"/>
  <c r="AM45" i="1" a="1"/>
  <c r="AM45" i="1" s="1"/>
  <c r="AM44" i="1" a="1"/>
  <c r="AM44" i="1" s="1"/>
  <c r="AM43" i="1" a="1"/>
  <c r="AM43" i="1" s="1"/>
  <c r="AM42" i="1" a="1"/>
  <c r="AM42" i="1" s="1"/>
  <c r="AM41" i="1" a="1"/>
  <c r="AM41" i="1" s="1"/>
  <c r="AM40" i="1" a="1"/>
  <c r="AM40" i="1" s="1"/>
  <c r="AM39" i="1" a="1"/>
  <c r="AM39" i="1" s="1"/>
  <c r="AM38" i="1" a="1"/>
  <c r="AM38" i="1" s="1"/>
  <c r="AM37" i="1" a="1"/>
  <c r="AM37" i="1" s="1"/>
  <c r="AM36" i="1" a="1"/>
  <c r="AM36" i="1" s="1"/>
  <c r="AM35" i="1" a="1"/>
  <c r="AM35" i="1" s="1"/>
  <c r="AM34" i="1" a="1"/>
  <c r="AM34" i="1" s="1"/>
  <c r="AM33" i="1" a="1"/>
  <c r="AM33" i="1" s="1"/>
  <c r="AM32" i="1" a="1"/>
  <c r="AM32" i="1" s="1"/>
  <c r="AM31" i="1" a="1"/>
  <c r="AM31" i="1" s="1"/>
  <c r="AM30" i="1" a="1"/>
  <c r="AM30" i="1" s="1"/>
  <c r="AM29" i="1" a="1"/>
  <c r="AM29" i="1" s="1"/>
  <c r="AM28" i="1" a="1"/>
  <c r="AM28" i="1" s="1"/>
  <c r="AM27" i="1" a="1"/>
  <c r="AM27" i="1" s="1"/>
  <c r="AM26" i="1" a="1"/>
  <c r="AM26" i="1" s="1"/>
  <c r="AM25" i="1" a="1"/>
  <c r="AM25" i="1" s="1"/>
  <c r="AM24" i="1" a="1"/>
  <c r="AM24" i="1" s="1"/>
  <c r="AM23" i="1" a="1"/>
  <c r="AM23" i="1" s="1"/>
  <c r="AM22" i="1" a="1"/>
  <c r="AM22" i="1" s="1"/>
  <c r="AM21" i="1" a="1"/>
  <c r="AM21" i="1" s="1"/>
  <c r="AM20" i="1" a="1"/>
  <c r="AM20" i="1" s="1"/>
  <c r="AM19" i="1" a="1"/>
  <c r="AM19" i="1" s="1"/>
  <c r="AM18" i="1" a="1"/>
  <c r="AM18" i="1" s="1"/>
  <c r="AM17" i="1" a="1"/>
  <c r="AM17" i="1" s="1"/>
  <c r="AM16" i="1" a="1"/>
  <c r="AM16" i="1" s="1"/>
  <c r="AM15" i="1" a="1"/>
  <c r="AM15" i="1" s="1"/>
  <c r="AM14" i="1" a="1"/>
  <c r="AM14" i="1" s="1"/>
  <c r="AM13" i="1" a="1"/>
  <c r="AM13" i="1" s="1"/>
  <c r="AM12" i="1" a="1"/>
  <c r="AM12" i="1" s="1"/>
  <c r="AM11" i="1" a="1"/>
  <c r="AM11" i="1" s="1"/>
  <c r="AM10" i="1" a="1"/>
  <c r="AM10" i="1" s="1"/>
  <c r="AM9" i="1" a="1"/>
  <c r="AM9" i="1" s="1"/>
  <c r="AM8" i="1" a="1"/>
  <c r="AM8" i="1" s="1"/>
  <c r="AM7" i="1" a="1"/>
  <c r="AM7" i="1" s="1"/>
  <c r="AM6" i="1" a="1"/>
  <c r="AM6" i="1" s="1"/>
  <c r="AM5" i="1" a="1"/>
  <c r="AM5" i="1" s="1"/>
  <c r="AM4" i="1" a="1"/>
  <c r="AM4" i="1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6" i="1"/>
  <c r="I117" i="1"/>
  <c r="I118" i="1"/>
  <c r="I119" i="1"/>
  <c r="I120" i="1"/>
  <c r="I121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6" i="1"/>
  <c r="H117" i="1"/>
  <c r="H118" i="1"/>
  <c r="H119" i="1"/>
  <c r="H120" i="1"/>
  <c r="H121" i="1"/>
  <c r="H3" i="1"/>
  <c r="K121" i="1"/>
  <c r="AO4" i="1" a="1"/>
  <c r="AO4" i="1" s="1"/>
  <c r="AO5" i="1" a="1"/>
  <c r="AO5" i="1" s="1"/>
  <c r="AO6" i="1" a="1"/>
  <c r="AO6" i="1" s="1"/>
  <c r="AO7" i="1" a="1"/>
  <c r="AO7" i="1" s="1"/>
  <c r="AO8" i="1" a="1"/>
  <c r="AO8" i="1" s="1"/>
  <c r="AO9" i="1" a="1"/>
  <c r="AO9" i="1" s="1"/>
  <c r="AO10" i="1" a="1"/>
  <c r="AO10" i="1" s="1"/>
  <c r="AO11" i="1" a="1"/>
  <c r="AO11" i="1" s="1"/>
  <c r="AO12" i="1" a="1"/>
  <c r="AO12" i="1" s="1"/>
  <c r="AO13" i="1" a="1"/>
  <c r="AO13" i="1" s="1"/>
  <c r="AO14" i="1" a="1"/>
  <c r="AO14" i="1" s="1"/>
  <c r="AO15" i="1" a="1"/>
  <c r="AO15" i="1" s="1"/>
  <c r="AO16" i="1" a="1"/>
  <c r="AO16" i="1" s="1"/>
  <c r="AO17" i="1" a="1"/>
  <c r="AO17" i="1" s="1"/>
  <c r="AO18" i="1" a="1"/>
  <c r="AO18" i="1" s="1"/>
  <c r="AO19" i="1" a="1"/>
  <c r="AO19" i="1" s="1"/>
  <c r="AO20" i="1" a="1"/>
  <c r="AO20" i="1" s="1"/>
  <c r="AO21" i="1" a="1"/>
  <c r="AO21" i="1" s="1"/>
  <c r="AO22" i="1" a="1"/>
  <c r="AO22" i="1" s="1"/>
  <c r="AO23" i="1" a="1"/>
  <c r="AO23" i="1" s="1"/>
  <c r="AO24" i="1" a="1"/>
  <c r="AO24" i="1" s="1"/>
  <c r="AO25" i="1" a="1"/>
  <c r="AO25" i="1" s="1"/>
  <c r="AO26" i="1" a="1"/>
  <c r="AO26" i="1" s="1"/>
  <c r="AO27" i="1" a="1"/>
  <c r="AO27" i="1" s="1"/>
  <c r="AO28" i="1" a="1"/>
  <c r="AO28" i="1" s="1"/>
  <c r="AO29" i="1" a="1"/>
  <c r="AO29" i="1" s="1"/>
  <c r="AO30" i="1" a="1"/>
  <c r="AO30" i="1" s="1"/>
  <c r="AO31" i="1" a="1"/>
  <c r="AO31" i="1" s="1"/>
  <c r="AO32" i="1" a="1"/>
  <c r="AO32" i="1" s="1"/>
  <c r="AO33" i="1" a="1"/>
  <c r="AO33" i="1" s="1"/>
  <c r="AO34" i="1" a="1"/>
  <c r="AO34" i="1" s="1"/>
  <c r="AO35" i="1" a="1"/>
  <c r="AO35" i="1" s="1"/>
  <c r="AO36" i="1" a="1"/>
  <c r="AO36" i="1" s="1"/>
  <c r="AO37" i="1" a="1"/>
  <c r="AO37" i="1" s="1"/>
  <c r="AO38" i="1" a="1"/>
  <c r="AO38" i="1" s="1"/>
  <c r="AO39" i="1" a="1"/>
  <c r="AO39" i="1" s="1"/>
  <c r="AO40" i="1" a="1"/>
  <c r="AO40" i="1" s="1"/>
  <c r="AO41" i="1" a="1"/>
  <c r="AO41" i="1" s="1"/>
  <c r="AO42" i="1" a="1"/>
  <c r="AO42" i="1" s="1"/>
  <c r="AO43" i="1" a="1"/>
  <c r="AO43" i="1" s="1"/>
  <c r="AO44" i="1" a="1"/>
  <c r="AO44" i="1" s="1"/>
  <c r="AO45" i="1" a="1"/>
  <c r="AO45" i="1" s="1"/>
  <c r="AO46" i="1" a="1"/>
  <c r="AO46" i="1" s="1"/>
  <c r="AO47" i="1" a="1"/>
  <c r="AO47" i="1" s="1"/>
  <c r="AO48" i="1" a="1"/>
  <c r="AO48" i="1" s="1"/>
  <c r="AO49" i="1" a="1"/>
  <c r="AO49" i="1" s="1"/>
  <c r="AO50" i="1" a="1"/>
  <c r="AO50" i="1" s="1"/>
  <c r="AO51" i="1" a="1"/>
  <c r="AO51" i="1" s="1"/>
  <c r="AO52" i="1" a="1"/>
  <c r="AO52" i="1" s="1"/>
  <c r="AO53" i="1" a="1"/>
  <c r="AO53" i="1" s="1"/>
  <c r="AO54" i="1" a="1"/>
  <c r="AO54" i="1" s="1"/>
  <c r="AO55" i="1" a="1"/>
  <c r="AO55" i="1" s="1"/>
  <c r="AO56" i="1" a="1"/>
  <c r="AO56" i="1" s="1"/>
  <c r="AO57" i="1" a="1"/>
  <c r="AO57" i="1" s="1"/>
  <c r="AO58" i="1" a="1"/>
  <c r="AO58" i="1" s="1"/>
  <c r="AO59" i="1" a="1"/>
  <c r="AO59" i="1" s="1"/>
  <c r="AO60" i="1" a="1"/>
  <c r="AO60" i="1" s="1"/>
  <c r="AO61" i="1" a="1"/>
  <c r="AO61" i="1" s="1"/>
  <c r="AO62" i="1" a="1"/>
  <c r="AO62" i="1" s="1"/>
  <c r="AO63" i="1" a="1"/>
  <c r="AO63" i="1" s="1"/>
  <c r="AO64" i="1" a="1"/>
  <c r="AO64" i="1" s="1"/>
  <c r="AO65" i="1" a="1"/>
  <c r="AO65" i="1" s="1"/>
  <c r="AO66" i="1" a="1"/>
  <c r="AO66" i="1" s="1"/>
  <c r="AO67" i="1" a="1"/>
  <c r="AO67" i="1" s="1"/>
  <c r="AO68" i="1" a="1"/>
  <c r="AO68" i="1" s="1"/>
  <c r="AO69" i="1" a="1"/>
  <c r="AO69" i="1" s="1"/>
  <c r="AO70" i="1" a="1"/>
  <c r="AO70" i="1" s="1"/>
  <c r="AO71" i="1" a="1"/>
  <c r="AO71" i="1" s="1"/>
  <c r="AO72" i="1" a="1"/>
  <c r="AO72" i="1" s="1"/>
  <c r="AO73" i="1" a="1"/>
  <c r="AO73" i="1" s="1"/>
  <c r="AO74" i="1" a="1"/>
  <c r="AO74" i="1" s="1"/>
  <c r="AO75" i="1" a="1"/>
  <c r="AO75" i="1" s="1"/>
  <c r="AO76" i="1" a="1"/>
  <c r="AO76" i="1" s="1"/>
  <c r="AO77" i="1" a="1"/>
  <c r="AO77" i="1" s="1"/>
  <c r="AO78" i="1" a="1"/>
  <c r="AO78" i="1" s="1"/>
  <c r="AO79" i="1" a="1"/>
  <c r="AO79" i="1" s="1"/>
  <c r="AO80" i="1" a="1"/>
  <c r="AO80" i="1" s="1"/>
  <c r="AO81" i="1" a="1"/>
  <c r="AO81" i="1" s="1"/>
  <c r="AO82" i="1" a="1"/>
  <c r="AO82" i="1" s="1"/>
  <c r="AO83" i="1" a="1"/>
  <c r="AO83" i="1" s="1"/>
  <c r="AO84" i="1" a="1"/>
  <c r="AO84" i="1" s="1"/>
  <c r="AO85" i="1" a="1"/>
  <c r="AO85" i="1" s="1"/>
  <c r="AO86" i="1" a="1"/>
  <c r="AO86" i="1" s="1"/>
  <c r="AO87" i="1" a="1"/>
  <c r="AO87" i="1" s="1"/>
  <c r="AO88" i="1" a="1"/>
  <c r="AO88" i="1" s="1"/>
  <c r="AO89" i="1" a="1"/>
  <c r="AO89" i="1" s="1"/>
  <c r="AO90" i="1" a="1"/>
  <c r="AO90" i="1" s="1"/>
  <c r="AO91" i="1" a="1"/>
  <c r="AO91" i="1" s="1"/>
  <c r="AO92" i="1" a="1"/>
  <c r="AO92" i="1" s="1"/>
  <c r="AO93" i="1" a="1"/>
  <c r="AO93" i="1" s="1"/>
  <c r="AO94" i="1" a="1"/>
  <c r="AO94" i="1" s="1"/>
  <c r="AO95" i="1" a="1"/>
  <c r="AO95" i="1" s="1"/>
  <c r="AO96" i="1" a="1"/>
  <c r="AO96" i="1" s="1"/>
  <c r="AO97" i="1" a="1"/>
  <c r="AO97" i="1" s="1"/>
  <c r="AO98" i="1" a="1"/>
  <c r="AO98" i="1" s="1"/>
  <c r="AO99" i="1" a="1"/>
  <c r="AO99" i="1" s="1"/>
  <c r="AO100" i="1" a="1"/>
  <c r="AO100" i="1" s="1"/>
  <c r="AO101" i="1" a="1"/>
  <c r="AO101" i="1" s="1"/>
  <c r="AO102" i="1" a="1"/>
  <c r="AO102" i="1" s="1"/>
  <c r="AO103" i="1" a="1"/>
  <c r="AO103" i="1" s="1"/>
  <c r="AO104" i="1" a="1"/>
  <c r="AO104" i="1" s="1"/>
  <c r="AO105" i="1" a="1"/>
  <c r="AO105" i="1" s="1"/>
  <c r="AO106" i="1" a="1"/>
  <c r="AO106" i="1" s="1"/>
  <c r="AO107" i="1" a="1"/>
  <c r="AO107" i="1" s="1"/>
  <c r="AO108" i="1" a="1"/>
  <c r="AO108" i="1" s="1"/>
  <c r="AO109" i="1" a="1"/>
  <c r="AO109" i="1" s="1"/>
  <c r="AO110" i="1" a="1"/>
  <c r="AO110" i="1" s="1"/>
  <c r="AO111" i="1" a="1"/>
  <c r="AO111" i="1" s="1"/>
  <c r="AO112" i="1" a="1"/>
  <c r="AO112" i="1" s="1"/>
  <c r="AO113" i="1" a="1"/>
  <c r="AO113" i="1" s="1"/>
  <c r="AO114" i="1" a="1"/>
  <c r="AO114" i="1" s="1"/>
  <c r="AO116" i="1" a="1"/>
  <c r="AO116" i="1" s="1"/>
  <c r="AO117" i="1" a="1"/>
  <c r="AO117" i="1" s="1"/>
  <c r="AO118" i="1" a="1"/>
  <c r="AO118" i="1" s="1"/>
  <c r="AO119" i="1" a="1"/>
  <c r="AO119" i="1" s="1"/>
  <c r="AO120" i="1" a="1"/>
  <c r="AO120" i="1" s="1"/>
  <c r="AO121" i="1" a="1"/>
  <c r="AO121" i="1" s="1"/>
  <c r="AO3" i="1" a="1"/>
  <c r="AO3" i="1" s="1"/>
  <c r="AN4" i="1" a="1"/>
  <c r="AN4" i="1" s="1"/>
  <c r="AN5" i="1" a="1"/>
  <c r="AN5" i="1" s="1"/>
  <c r="AN6" i="1" a="1"/>
  <c r="AN6" i="1" s="1"/>
  <c r="AN7" i="1" a="1"/>
  <c r="AN7" i="1" s="1"/>
  <c r="AN8" i="1" a="1"/>
  <c r="AN8" i="1" s="1"/>
  <c r="AN9" i="1" a="1"/>
  <c r="AN9" i="1" s="1"/>
  <c r="AN10" i="1" a="1"/>
  <c r="AN10" i="1" s="1"/>
  <c r="AN11" i="1" a="1"/>
  <c r="AN11" i="1" s="1"/>
  <c r="AN12" i="1" a="1"/>
  <c r="AN12" i="1" s="1"/>
  <c r="AN13" i="1" a="1"/>
  <c r="AN13" i="1" s="1"/>
  <c r="AN14" i="1" a="1"/>
  <c r="AN14" i="1" s="1"/>
  <c r="AN15" i="1" a="1"/>
  <c r="AN15" i="1" s="1"/>
  <c r="AN16" i="1" a="1"/>
  <c r="AN16" i="1" s="1"/>
  <c r="AN17" i="1" a="1"/>
  <c r="AN17" i="1" s="1"/>
  <c r="AN18" i="1" a="1"/>
  <c r="AN18" i="1" s="1"/>
  <c r="AN19" i="1" a="1"/>
  <c r="AN19" i="1" s="1"/>
  <c r="AN20" i="1" a="1"/>
  <c r="AN20" i="1" s="1"/>
  <c r="AN21" i="1" a="1"/>
  <c r="AN21" i="1" s="1"/>
  <c r="AN22" i="1" a="1"/>
  <c r="AN22" i="1" s="1"/>
  <c r="AN23" i="1" a="1"/>
  <c r="AN23" i="1" s="1"/>
  <c r="AN24" i="1" a="1"/>
  <c r="AN24" i="1" s="1"/>
  <c r="AN25" i="1" a="1"/>
  <c r="AN25" i="1" s="1"/>
  <c r="AN26" i="1" a="1"/>
  <c r="AN26" i="1" s="1"/>
  <c r="AN27" i="1" a="1"/>
  <c r="AN27" i="1" s="1"/>
  <c r="AN28" i="1" a="1"/>
  <c r="AN28" i="1" s="1"/>
  <c r="AN29" i="1" a="1"/>
  <c r="AN29" i="1" s="1"/>
  <c r="AN30" i="1" a="1"/>
  <c r="AN30" i="1" s="1"/>
  <c r="AN31" i="1" a="1"/>
  <c r="AN31" i="1" s="1"/>
  <c r="AN32" i="1" a="1"/>
  <c r="AN32" i="1" s="1"/>
  <c r="AN33" i="1" a="1"/>
  <c r="AN33" i="1" s="1"/>
  <c r="AN34" i="1" a="1"/>
  <c r="AN34" i="1" s="1"/>
  <c r="AN35" i="1" a="1"/>
  <c r="AN35" i="1" s="1"/>
  <c r="AN36" i="1" a="1"/>
  <c r="AN36" i="1" s="1"/>
  <c r="AN37" i="1" a="1"/>
  <c r="AN37" i="1" s="1"/>
  <c r="AN38" i="1" a="1"/>
  <c r="AN38" i="1" s="1"/>
  <c r="AN39" i="1" a="1"/>
  <c r="AN39" i="1" s="1"/>
  <c r="AN40" i="1" a="1"/>
  <c r="AN40" i="1" s="1"/>
  <c r="AN41" i="1" a="1"/>
  <c r="AN41" i="1" s="1"/>
  <c r="AN42" i="1" a="1"/>
  <c r="AN42" i="1" s="1"/>
  <c r="AN43" i="1" a="1"/>
  <c r="AN43" i="1" s="1"/>
  <c r="AN44" i="1" a="1"/>
  <c r="AN44" i="1" s="1"/>
  <c r="AN45" i="1" a="1"/>
  <c r="AN45" i="1" s="1"/>
  <c r="AN46" i="1" a="1"/>
  <c r="AN46" i="1" s="1"/>
  <c r="AN47" i="1" a="1"/>
  <c r="AN47" i="1" s="1"/>
  <c r="AN48" i="1" a="1"/>
  <c r="AN48" i="1" s="1"/>
  <c r="AN49" i="1" a="1"/>
  <c r="AN49" i="1" s="1"/>
  <c r="AN50" i="1" a="1"/>
  <c r="AN50" i="1" s="1"/>
  <c r="AN51" i="1" a="1"/>
  <c r="AN51" i="1" s="1"/>
  <c r="AN52" i="1" a="1"/>
  <c r="AN52" i="1" s="1"/>
  <c r="AN53" i="1" a="1"/>
  <c r="AN53" i="1" s="1"/>
  <c r="AN54" i="1" a="1"/>
  <c r="AN54" i="1" s="1"/>
  <c r="AN55" i="1" a="1"/>
  <c r="AN55" i="1" s="1"/>
  <c r="AN56" i="1" a="1"/>
  <c r="AN56" i="1" s="1"/>
  <c r="AN57" i="1" a="1"/>
  <c r="AN57" i="1" s="1"/>
  <c r="AN58" i="1" a="1"/>
  <c r="AN58" i="1" s="1"/>
  <c r="AN59" i="1" a="1"/>
  <c r="AN59" i="1" s="1"/>
  <c r="AN60" i="1" a="1"/>
  <c r="AN60" i="1" s="1"/>
  <c r="AN61" i="1" a="1"/>
  <c r="AN61" i="1" s="1"/>
  <c r="AN62" i="1" a="1"/>
  <c r="AN62" i="1" s="1"/>
  <c r="AN63" i="1" a="1"/>
  <c r="AN63" i="1" s="1"/>
  <c r="AN64" i="1" a="1"/>
  <c r="AN64" i="1" s="1"/>
  <c r="AN65" i="1" a="1"/>
  <c r="AN65" i="1" s="1"/>
  <c r="AN66" i="1" a="1"/>
  <c r="AN66" i="1" s="1"/>
  <c r="AN67" i="1" a="1"/>
  <c r="AN67" i="1" s="1"/>
  <c r="AN68" i="1" a="1"/>
  <c r="AN68" i="1" s="1"/>
  <c r="AN69" i="1" a="1"/>
  <c r="AN69" i="1" s="1"/>
  <c r="AN70" i="1" a="1"/>
  <c r="AN70" i="1" s="1"/>
  <c r="AN71" i="1" a="1"/>
  <c r="AN71" i="1" s="1"/>
  <c r="AN72" i="1" a="1"/>
  <c r="AN72" i="1" s="1"/>
  <c r="AN73" i="1" a="1"/>
  <c r="AN73" i="1" s="1"/>
  <c r="AN74" i="1" a="1"/>
  <c r="AN74" i="1" s="1"/>
  <c r="AN75" i="1" a="1"/>
  <c r="AN75" i="1" s="1"/>
  <c r="AN76" i="1" a="1"/>
  <c r="AN76" i="1" s="1"/>
  <c r="AN77" i="1" a="1"/>
  <c r="AN77" i="1" s="1"/>
  <c r="AN78" i="1" a="1"/>
  <c r="AN78" i="1" s="1"/>
  <c r="AN79" i="1" a="1"/>
  <c r="AN79" i="1" s="1"/>
  <c r="AN80" i="1" a="1"/>
  <c r="AN80" i="1" s="1"/>
  <c r="AN81" i="1" a="1"/>
  <c r="AN81" i="1" s="1"/>
  <c r="AN82" i="1" a="1"/>
  <c r="AN82" i="1" s="1"/>
  <c r="AN83" i="1" a="1"/>
  <c r="AN83" i="1" s="1"/>
  <c r="AN84" i="1" a="1"/>
  <c r="AN84" i="1" s="1"/>
  <c r="AN85" i="1" a="1"/>
  <c r="AN85" i="1" s="1"/>
  <c r="AN86" i="1" a="1"/>
  <c r="AN86" i="1" s="1"/>
  <c r="AN87" i="1" a="1"/>
  <c r="AN87" i="1" s="1"/>
  <c r="AN88" i="1" a="1"/>
  <c r="AN88" i="1" s="1"/>
  <c r="AN89" i="1" a="1"/>
  <c r="AN89" i="1" s="1"/>
  <c r="AN90" i="1" a="1"/>
  <c r="AN90" i="1" s="1"/>
  <c r="AN91" i="1" a="1"/>
  <c r="AN91" i="1" s="1"/>
  <c r="AN92" i="1" a="1"/>
  <c r="AN92" i="1" s="1"/>
  <c r="AN93" i="1" a="1"/>
  <c r="AN93" i="1" s="1"/>
  <c r="AN94" i="1" a="1"/>
  <c r="AN94" i="1" s="1"/>
  <c r="AN95" i="1" a="1"/>
  <c r="AN95" i="1" s="1"/>
  <c r="AN96" i="1" a="1"/>
  <c r="AN96" i="1" s="1"/>
  <c r="AN97" i="1" a="1"/>
  <c r="AN97" i="1" s="1"/>
  <c r="AN98" i="1" a="1"/>
  <c r="AN98" i="1" s="1"/>
  <c r="AN99" i="1" a="1"/>
  <c r="AN99" i="1" s="1"/>
  <c r="AN100" i="1" a="1"/>
  <c r="AN100" i="1" s="1"/>
  <c r="AN101" i="1" a="1"/>
  <c r="AN101" i="1" s="1"/>
  <c r="AN102" i="1" a="1"/>
  <c r="AN102" i="1" s="1"/>
  <c r="AN103" i="1" a="1"/>
  <c r="AN103" i="1" s="1"/>
  <c r="AN104" i="1" a="1"/>
  <c r="AN104" i="1" s="1"/>
  <c r="AN105" i="1" a="1"/>
  <c r="AN105" i="1" s="1"/>
  <c r="AN106" i="1" a="1"/>
  <c r="AN106" i="1" s="1"/>
  <c r="AN107" i="1" a="1"/>
  <c r="AN107" i="1" s="1"/>
  <c r="AN108" i="1" a="1"/>
  <c r="AN108" i="1" s="1"/>
  <c r="AN109" i="1" a="1"/>
  <c r="AN109" i="1" s="1"/>
  <c r="AN110" i="1" a="1"/>
  <c r="AN110" i="1" s="1"/>
  <c r="AN111" i="1" a="1"/>
  <c r="AN111" i="1" s="1"/>
  <c r="AN112" i="1" a="1"/>
  <c r="AN112" i="1" s="1"/>
  <c r="AN113" i="1" a="1"/>
  <c r="AN113" i="1" s="1"/>
  <c r="AN114" i="1" a="1"/>
  <c r="AN114" i="1" s="1"/>
  <c r="AN116" i="1" a="1"/>
  <c r="AN116" i="1" s="1"/>
  <c r="AN117" i="1" a="1"/>
  <c r="AN117" i="1" s="1"/>
  <c r="AN118" i="1" a="1"/>
  <c r="AN118" i="1" s="1"/>
  <c r="AN119" i="1" a="1"/>
  <c r="AN119" i="1" s="1"/>
  <c r="AN120" i="1" a="1"/>
  <c r="AN120" i="1" s="1"/>
  <c r="AN121" i="1" a="1"/>
  <c r="AN121" i="1" s="1"/>
  <c r="AM55" i="1" a="1"/>
  <c r="AM55" i="1" s="1"/>
  <c r="AM56" i="1" a="1"/>
  <c r="AM56" i="1" s="1"/>
  <c r="AM57" i="1" a="1"/>
  <c r="AM57" i="1" s="1"/>
  <c r="AM58" i="1" a="1"/>
  <c r="AM58" i="1" s="1"/>
  <c r="AM59" i="1" a="1"/>
  <c r="AM59" i="1" s="1"/>
  <c r="AM60" i="1" a="1"/>
  <c r="AM60" i="1" s="1"/>
  <c r="AM61" i="1" a="1"/>
  <c r="AM61" i="1" s="1"/>
  <c r="AM62" i="1" a="1"/>
  <c r="AM62" i="1" s="1"/>
  <c r="AM63" i="1" a="1"/>
  <c r="AM63" i="1" s="1"/>
  <c r="AM64" i="1" a="1"/>
  <c r="AM64" i="1" s="1"/>
  <c r="AM65" i="1" a="1"/>
  <c r="AM65" i="1" s="1"/>
  <c r="AM66" i="1" a="1"/>
  <c r="AM66" i="1" s="1"/>
  <c r="AM67" i="1" a="1"/>
  <c r="AM67" i="1" s="1"/>
  <c r="AM68" i="1" a="1"/>
  <c r="AM68" i="1" s="1"/>
  <c r="AM69" i="1" a="1"/>
  <c r="AM69" i="1" s="1"/>
  <c r="AM70" i="1" a="1"/>
  <c r="AM70" i="1" s="1"/>
  <c r="AM71" i="1" a="1"/>
  <c r="AM71" i="1" s="1"/>
  <c r="AM72" i="1" a="1"/>
  <c r="AM72" i="1" s="1"/>
  <c r="AM73" i="1" a="1"/>
  <c r="AM73" i="1" s="1"/>
  <c r="AM74" i="1" a="1"/>
  <c r="AM74" i="1" s="1"/>
  <c r="AM75" i="1" a="1"/>
  <c r="AM75" i="1" s="1"/>
  <c r="AM76" i="1" a="1"/>
  <c r="AM76" i="1" s="1"/>
  <c r="AM77" i="1" a="1"/>
  <c r="AM77" i="1" s="1"/>
  <c r="AM78" i="1" a="1"/>
  <c r="AM78" i="1" s="1"/>
  <c r="AM79" i="1" a="1"/>
  <c r="AM79" i="1" s="1"/>
  <c r="AM80" i="1" a="1"/>
  <c r="AM80" i="1" s="1"/>
  <c r="AM81" i="1" a="1"/>
  <c r="AM81" i="1" s="1"/>
  <c r="AM82" i="1" a="1"/>
  <c r="AM82" i="1" s="1"/>
  <c r="AM83" i="1" a="1"/>
  <c r="AM83" i="1" s="1"/>
  <c r="AM84" i="1" a="1"/>
  <c r="AM84" i="1" s="1"/>
  <c r="AM85" i="1" a="1"/>
  <c r="AM85" i="1" s="1"/>
  <c r="AM86" i="1" a="1"/>
  <c r="AM86" i="1" s="1"/>
  <c r="AM87" i="1" a="1"/>
  <c r="AM87" i="1" s="1"/>
  <c r="AM88" i="1" a="1"/>
  <c r="AM88" i="1" s="1"/>
  <c r="AM89" i="1" a="1"/>
  <c r="AM89" i="1" s="1"/>
  <c r="AM90" i="1" a="1"/>
  <c r="AM90" i="1" s="1"/>
  <c r="AM91" i="1" a="1"/>
  <c r="AM91" i="1" s="1"/>
  <c r="AM92" i="1" a="1"/>
  <c r="AM92" i="1" s="1"/>
  <c r="AM93" i="1" a="1"/>
  <c r="AM93" i="1" s="1"/>
  <c r="AM94" i="1" a="1"/>
  <c r="AM94" i="1" s="1"/>
  <c r="AM95" i="1" a="1"/>
  <c r="AM95" i="1" s="1"/>
  <c r="AM96" i="1" a="1"/>
  <c r="AM96" i="1" s="1"/>
  <c r="AM97" i="1" a="1"/>
  <c r="AM97" i="1" s="1"/>
  <c r="AM98" i="1" a="1"/>
  <c r="AM98" i="1" s="1"/>
  <c r="AM99" i="1" a="1"/>
  <c r="AM99" i="1" s="1"/>
  <c r="AM100" i="1" a="1"/>
  <c r="AM100" i="1" s="1"/>
  <c r="AM101" i="1" a="1"/>
  <c r="AM101" i="1" s="1"/>
  <c r="AM102" i="1" a="1"/>
  <c r="AM102" i="1" s="1"/>
  <c r="AM103" i="1" a="1"/>
  <c r="AM103" i="1" s="1"/>
  <c r="AM104" i="1" a="1"/>
  <c r="AM104" i="1" s="1"/>
  <c r="AM105" i="1" a="1"/>
  <c r="AM105" i="1" s="1"/>
  <c r="AM106" i="1" a="1"/>
  <c r="AM106" i="1" s="1"/>
  <c r="AM107" i="1" a="1"/>
  <c r="AM107" i="1" s="1"/>
  <c r="AM108" i="1" a="1"/>
  <c r="AM108" i="1" s="1"/>
  <c r="AM109" i="1" a="1"/>
  <c r="AM109" i="1" s="1"/>
  <c r="AM110" i="1" a="1"/>
  <c r="AM110" i="1" s="1"/>
  <c r="AM111" i="1" a="1"/>
  <c r="AM111" i="1" s="1"/>
  <c r="AM112" i="1" a="1"/>
  <c r="AM112" i="1" s="1"/>
  <c r="AM113" i="1" a="1"/>
  <c r="AM113" i="1" s="1"/>
  <c r="AM114" i="1" a="1"/>
  <c r="AM114" i="1" s="1"/>
  <c r="AM116" i="1" a="1"/>
  <c r="AM116" i="1" s="1"/>
  <c r="AM117" i="1" a="1"/>
  <c r="AM117" i="1" s="1"/>
  <c r="AM118" i="1" a="1"/>
  <c r="AM118" i="1" s="1"/>
  <c r="AM119" i="1" a="1"/>
  <c r="AM119" i="1" s="1"/>
  <c r="AM120" i="1" a="1"/>
  <c r="AM120" i="1" s="1"/>
  <c r="AM121" i="1" a="1"/>
  <c r="AM121" i="1" s="1"/>
  <c r="AL4" i="1" a="1"/>
  <c r="AL4" i="1" s="1"/>
  <c r="AL5" i="1" a="1"/>
  <c r="AL5" i="1" s="1"/>
  <c r="AL6" i="1" a="1"/>
  <c r="AL6" i="1" s="1"/>
  <c r="AL7" i="1" a="1"/>
  <c r="AL7" i="1" s="1"/>
  <c r="AL8" i="1" a="1"/>
  <c r="AL8" i="1" s="1"/>
  <c r="AL9" i="1" a="1"/>
  <c r="AL9" i="1" s="1"/>
  <c r="AL10" i="1" a="1"/>
  <c r="AL10" i="1" s="1"/>
  <c r="AL11" i="1" a="1"/>
  <c r="AL11" i="1" s="1"/>
  <c r="AL12" i="1" a="1"/>
  <c r="AL12" i="1" s="1"/>
  <c r="AL13" i="1" a="1"/>
  <c r="AL13" i="1" s="1"/>
  <c r="AL14" i="1" a="1"/>
  <c r="AL14" i="1" s="1"/>
  <c r="AL15" i="1" a="1"/>
  <c r="AL15" i="1" s="1"/>
  <c r="AL16" i="1" a="1"/>
  <c r="AL16" i="1" s="1"/>
  <c r="AL17" i="1" a="1"/>
  <c r="AL17" i="1" s="1"/>
  <c r="AL18" i="1" a="1"/>
  <c r="AL18" i="1" s="1"/>
  <c r="AL19" i="1" a="1"/>
  <c r="AL19" i="1" s="1"/>
  <c r="AL20" i="1" a="1"/>
  <c r="AL20" i="1" s="1"/>
  <c r="AL21" i="1" a="1"/>
  <c r="AL21" i="1" s="1"/>
  <c r="AL22" i="1" a="1"/>
  <c r="AL22" i="1" s="1"/>
  <c r="AL23" i="1" a="1"/>
  <c r="AL23" i="1" s="1"/>
  <c r="AL24" i="1" a="1"/>
  <c r="AL24" i="1" s="1"/>
  <c r="AL25" i="1" a="1"/>
  <c r="AL25" i="1" s="1"/>
  <c r="AL26" i="1" a="1"/>
  <c r="AL26" i="1" s="1"/>
  <c r="AL27" i="1" a="1"/>
  <c r="AL27" i="1" s="1"/>
  <c r="AL28" i="1" a="1"/>
  <c r="AL28" i="1" s="1"/>
  <c r="AL29" i="1" a="1"/>
  <c r="AL29" i="1" s="1"/>
  <c r="AL30" i="1" a="1"/>
  <c r="AL30" i="1" s="1"/>
  <c r="AL31" i="1" a="1"/>
  <c r="AL31" i="1" s="1"/>
  <c r="AL32" i="1" a="1"/>
  <c r="AL32" i="1" s="1"/>
  <c r="AL33" i="1" a="1"/>
  <c r="AL33" i="1" s="1"/>
  <c r="AL34" i="1" a="1"/>
  <c r="AL34" i="1" s="1"/>
  <c r="AL35" i="1" a="1"/>
  <c r="AL35" i="1" s="1"/>
  <c r="AL36" i="1" a="1"/>
  <c r="AL36" i="1" s="1"/>
  <c r="AL37" i="1" a="1"/>
  <c r="AL37" i="1" s="1"/>
  <c r="AL38" i="1" a="1"/>
  <c r="AL38" i="1" s="1"/>
  <c r="AL39" i="1" a="1"/>
  <c r="AL39" i="1" s="1"/>
  <c r="AL40" i="1" a="1"/>
  <c r="AL40" i="1" s="1"/>
  <c r="AL41" i="1" a="1"/>
  <c r="AL41" i="1" s="1"/>
  <c r="AL42" i="1" a="1"/>
  <c r="AL42" i="1" s="1"/>
  <c r="AL43" i="1" a="1"/>
  <c r="AL43" i="1" s="1"/>
  <c r="AL44" i="1" a="1"/>
  <c r="AL44" i="1" s="1"/>
  <c r="AL45" i="1" a="1"/>
  <c r="AL45" i="1" s="1"/>
  <c r="AL46" i="1" a="1"/>
  <c r="AL46" i="1" s="1"/>
  <c r="AL47" i="1" a="1"/>
  <c r="AL47" i="1" s="1"/>
  <c r="AL48" i="1" a="1"/>
  <c r="AL48" i="1" s="1"/>
  <c r="AL49" i="1" a="1"/>
  <c r="AL49" i="1" s="1"/>
  <c r="AL50" i="1" a="1"/>
  <c r="AL50" i="1" s="1"/>
  <c r="AL51" i="1" a="1"/>
  <c r="AL51" i="1" s="1"/>
  <c r="AL52" i="1" a="1"/>
  <c r="AL52" i="1" s="1"/>
  <c r="AL53" i="1" a="1"/>
  <c r="AL53" i="1" s="1"/>
  <c r="AL54" i="1" a="1"/>
  <c r="AL54" i="1" s="1"/>
  <c r="AL55" i="1" a="1"/>
  <c r="AL55" i="1" s="1"/>
  <c r="AL56" i="1" a="1"/>
  <c r="AL56" i="1" s="1"/>
  <c r="AL57" i="1" a="1"/>
  <c r="AL57" i="1" s="1"/>
  <c r="AL58" i="1" a="1"/>
  <c r="AL58" i="1" s="1"/>
  <c r="AL59" i="1" a="1"/>
  <c r="AL59" i="1" s="1"/>
  <c r="AL60" i="1" a="1"/>
  <c r="AL60" i="1" s="1"/>
  <c r="AL61" i="1" a="1"/>
  <c r="AL61" i="1" s="1"/>
  <c r="AL62" i="1" a="1"/>
  <c r="AL62" i="1" s="1"/>
  <c r="AL63" i="1" a="1"/>
  <c r="AL63" i="1" s="1"/>
  <c r="AL64" i="1" a="1"/>
  <c r="AL64" i="1" s="1"/>
  <c r="AL65" i="1" a="1"/>
  <c r="AL65" i="1" s="1"/>
  <c r="AL66" i="1" a="1"/>
  <c r="AL66" i="1" s="1"/>
  <c r="AL67" i="1" a="1"/>
  <c r="AL67" i="1" s="1"/>
  <c r="AL68" i="1" a="1"/>
  <c r="AL68" i="1" s="1"/>
  <c r="AL69" i="1" a="1"/>
  <c r="AL69" i="1" s="1"/>
  <c r="AL70" i="1" a="1"/>
  <c r="AL70" i="1" s="1"/>
  <c r="AL71" i="1" a="1"/>
  <c r="AL71" i="1" s="1"/>
  <c r="AL72" i="1" a="1"/>
  <c r="AL72" i="1" s="1"/>
  <c r="AL73" i="1" a="1"/>
  <c r="AL73" i="1" s="1"/>
  <c r="AL74" i="1" a="1"/>
  <c r="AL74" i="1" s="1"/>
  <c r="AL75" i="1" a="1"/>
  <c r="AL75" i="1" s="1"/>
  <c r="AL76" i="1" a="1"/>
  <c r="AL76" i="1" s="1"/>
  <c r="AL77" i="1" a="1"/>
  <c r="AL77" i="1" s="1"/>
  <c r="AL78" i="1" a="1"/>
  <c r="AL78" i="1" s="1"/>
  <c r="AL79" i="1" a="1"/>
  <c r="AL79" i="1" s="1"/>
  <c r="AL80" i="1" a="1"/>
  <c r="AL80" i="1" s="1"/>
  <c r="AL81" i="1" a="1"/>
  <c r="AL81" i="1" s="1"/>
  <c r="AL82" i="1" a="1"/>
  <c r="AL82" i="1" s="1"/>
  <c r="AL83" i="1" a="1"/>
  <c r="AL83" i="1" s="1"/>
  <c r="AL84" i="1" a="1"/>
  <c r="AL84" i="1" s="1"/>
  <c r="AL85" i="1" a="1"/>
  <c r="AL85" i="1" s="1"/>
  <c r="AL86" i="1" a="1"/>
  <c r="AL86" i="1" s="1"/>
  <c r="AL87" i="1" a="1"/>
  <c r="AL87" i="1" s="1"/>
  <c r="AL88" i="1" a="1"/>
  <c r="AL88" i="1" s="1"/>
  <c r="AL89" i="1" a="1"/>
  <c r="AL89" i="1" s="1"/>
  <c r="AL90" i="1" a="1"/>
  <c r="AL90" i="1" s="1"/>
  <c r="AL91" i="1" a="1"/>
  <c r="AL91" i="1" s="1"/>
  <c r="AL92" i="1" a="1"/>
  <c r="AL92" i="1" s="1"/>
  <c r="AL93" i="1" a="1"/>
  <c r="AL93" i="1" s="1"/>
  <c r="AL94" i="1" a="1"/>
  <c r="AL94" i="1" s="1"/>
  <c r="AL95" i="1" a="1"/>
  <c r="AL95" i="1" s="1"/>
  <c r="AL96" i="1" a="1"/>
  <c r="AL96" i="1" s="1"/>
  <c r="AL97" i="1" a="1"/>
  <c r="AL97" i="1" s="1"/>
  <c r="AL98" i="1" a="1"/>
  <c r="AL98" i="1" s="1"/>
  <c r="AL99" i="1" a="1"/>
  <c r="AL99" i="1" s="1"/>
  <c r="AL100" i="1" a="1"/>
  <c r="AL100" i="1" s="1"/>
  <c r="AL101" i="1" a="1"/>
  <c r="AL101" i="1" s="1"/>
  <c r="AL102" i="1" a="1"/>
  <c r="AL102" i="1" s="1"/>
  <c r="AL103" i="1" a="1"/>
  <c r="AL103" i="1" s="1"/>
  <c r="AL104" i="1" a="1"/>
  <c r="AL104" i="1" s="1"/>
  <c r="AL105" i="1" a="1"/>
  <c r="AL105" i="1" s="1"/>
  <c r="AL106" i="1" a="1"/>
  <c r="AL106" i="1" s="1"/>
  <c r="AL107" i="1" a="1"/>
  <c r="AL107" i="1" s="1"/>
  <c r="AL108" i="1" a="1"/>
  <c r="AL108" i="1" s="1"/>
  <c r="AL109" i="1" a="1"/>
  <c r="AL109" i="1" s="1"/>
  <c r="AL110" i="1" a="1"/>
  <c r="AL110" i="1" s="1"/>
  <c r="AL111" i="1" a="1"/>
  <c r="AL111" i="1" s="1"/>
  <c r="AL112" i="1" a="1"/>
  <c r="AL112" i="1" s="1"/>
  <c r="AL113" i="1" a="1"/>
  <c r="AL113" i="1" s="1"/>
  <c r="AL114" i="1" a="1"/>
  <c r="AL114" i="1" s="1"/>
  <c r="AL116" i="1" a="1"/>
  <c r="AL116" i="1" s="1"/>
  <c r="AL117" i="1" a="1"/>
  <c r="AL117" i="1" s="1"/>
  <c r="AL118" i="1" a="1"/>
  <c r="AL118" i="1" s="1"/>
  <c r="AL119" i="1" a="1"/>
  <c r="AL119" i="1" s="1"/>
  <c r="AL120" i="1" a="1"/>
  <c r="AL120" i="1" s="1"/>
  <c r="AL121" i="1" a="1"/>
  <c r="AL121" i="1" s="1"/>
  <c r="AK4" i="1" a="1"/>
  <c r="AK4" i="1" s="1"/>
  <c r="AK5" i="1" a="1"/>
  <c r="AK5" i="1" s="1"/>
  <c r="AK6" i="1" a="1"/>
  <c r="AK6" i="1" s="1"/>
  <c r="AK7" i="1" a="1"/>
  <c r="AK7" i="1" s="1"/>
  <c r="AK8" i="1" a="1"/>
  <c r="AK8" i="1" s="1"/>
  <c r="AK9" i="1" a="1"/>
  <c r="AK9" i="1" s="1"/>
  <c r="AK10" i="1" a="1"/>
  <c r="AK10" i="1" s="1"/>
  <c r="AK11" i="1" a="1"/>
  <c r="AK11" i="1" s="1"/>
  <c r="AK12" i="1" a="1"/>
  <c r="AK12" i="1" s="1"/>
  <c r="AK13" i="1" a="1"/>
  <c r="AK13" i="1" s="1"/>
  <c r="AK14" i="1" a="1"/>
  <c r="AK14" i="1" s="1"/>
  <c r="AK15" i="1" a="1"/>
  <c r="AK15" i="1" s="1"/>
  <c r="AK16" i="1" a="1"/>
  <c r="AK16" i="1" s="1"/>
  <c r="AK17" i="1" a="1"/>
  <c r="AK17" i="1" s="1"/>
  <c r="AK18" i="1" a="1"/>
  <c r="AK18" i="1" s="1"/>
  <c r="AK19" i="1" a="1"/>
  <c r="AK19" i="1" s="1"/>
  <c r="AK20" i="1" a="1"/>
  <c r="AK20" i="1" s="1"/>
  <c r="AK21" i="1" a="1"/>
  <c r="AK21" i="1" s="1"/>
  <c r="AK22" i="1" a="1"/>
  <c r="AK22" i="1" s="1"/>
  <c r="AK23" i="1" a="1"/>
  <c r="AK23" i="1" s="1"/>
  <c r="AK24" i="1" a="1"/>
  <c r="AK24" i="1" s="1"/>
  <c r="AK25" i="1" a="1"/>
  <c r="AK25" i="1" s="1"/>
  <c r="AK26" i="1" a="1"/>
  <c r="AK26" i="1" s="1"/>
  <c r="AK27" i="1" a="1"/>
  <c r="AK27" i="1" s="1"/>
  <c r="AK28" i="1" a="1"/>
  <c r="AK28" i="1" s="1"/>
  <c r="AK29" i="1" a="1"/>
  <c r="AK29" i="1" s="1"/>
  <c r="AK30" i="1" a="1"/>
  <c r="AK30" i="1" s="1"/>
  <c r="AK31" i="1" a="1"/>
  <c r="AK31" i="1" s="1"/>
  <c r="AK32" i="1" a="1"/>
  <c r="AK32" i="1" s="1"/>
  <c r="AK33" i="1" a="1"/>
  <c r="AK33" i="1" s="1"/>
  <c r="AK34" i="1" a="1"/>
  <c r="AK34" i="1" s="1"/>
  <c r="AK35" i="1" a="1"/>
  <c r="AK35" i="1" s="1"/>
  <c r="AK36" i="1" a="1"/>
  <c r="AK36" i="1" s="1"/>
  <c r="AK37" i="1" a="1"/>
  <c r="AK37" i="1" s="1"/>
  <c r="AK38" i="1" a="1"/>
  <c r="AK38" i="1" s="1"/>
  <c r="AK39" i="1" a="1"/>
  <c r="AK39" i="1" s="1"/>
  <c r="AK40" i="1" a="1"/>
  <c r="AK40" i="1" s="1"/>
  <c r="AK41" i="1" a="1"/>
  <c r="AK41" i="1" s="1"/>
  <c r="AK42" i="1" a="1"/>
  <c r="AK42" i="1" s="1"/>
  <c r="AK43" i="1" a="1"/>
  <c r="AK43" i="1" s="1"/>
  <c r="AK44" i="1" a="1"/>
  <c r="AK44" i="1" s="1"/>
  <c r="AK45" i="1" a="1"/>
  <c r="AK45" i="1" s="1"/>
  <c r="AK46" i="1" a="1"/>
  <c r="AK46" i="1" s="1"/>
  <c r="AK47" i="1" a="1"/>
  <c r="AK47" i="1" s="1"/>
  <c r="AK48" i="1" a="1"/>
  <c r="AK48" i="1" s="1"/>
  <c r="AK49" i="1" a="1"/>
  <c r="AK49" i="1" s="1"/>
  <c r="AK50" i="1" a="1"/>
  <c r="AK50" i="1" s="1"/>
  <c r="AK51" i="1" a="1"/>
  <c r="AK51" i="1" s="1"/>
  <c r="AK52" i="1" a="1"/>
  <c r="AK52" i="1" s="1"/>
  <c r="AK53" i="1" a="1"/>
  <c r="AK53" i="1" s="1"/>
  <c r="AK54" i="1" a="1"/>
  <c r="AK54" i="1" s="1"/>
  <c r="AK55" i="1" a="1"/>
  <c r="AK55" i="1" s="1"/>
  <c r="AK56" i="1" a="1"/>
  <c r="AK56" i="1" s="1"/>
  <c r="AK57" i="1" a="1"/>
  <c r="AK57" i="1" s="1"/>
  <c r="AK58" i="1" a="1"/>
  <c r="AK58" i="1" s="1"/>
  <c r="AK59" i="1" a="1"/>
  <c r="AK59" i="1" s="1"/>
  <c r="AK60" i="1" a="1"/>
  <c r="AK60" i="1" s="1"/>
  <c r="AK61" i="1" a="1"/>
  <c r="AK61" i="1" s="1"/>
  <c r="AK62" i="1" a="1"/>
  <c r="AK62" i="1" s="1"/>
  <c r="AK63" i="1" a="1"/>
  <c r="AK63" i="1" s="1"/>
  <c r="AK64" i="1" a="1"/>
  <c r="AK64" i="1" s="1"/>
  <c r="AK65" i="1" a="1"/>
  <c r="AK65" i="1" s="1"/>
  <c r="AK66" i="1" a="1"/>
  <c r="AK66" i="1" s="1"/>
  <c r="AK67" i="1" a="1"/>
  <c r="AK67" i="1" s="1"/>
  <c r="AK68" i="1" a="1"/>
  <c r="AK68" i="1" s="1"/>
  <c r="AK69" i="1" a="1"/>
  <c r="AK69" i="1" s="1"/>
  <c r="AK70" i="1" a="1"/>
  <c r="AK70" i="1" s="1"/>
  <c r="AK71" i="1" a="1"/>
  <c r="AK71" i="1" s="1"/>
  <c r="AK72" i="1" a="1"/>
  <c r="AK72" i="1" s="1"/>
  <c r="AK73" i="1" a="1"/>
  <c r="AK73" i="1" s="1"/>
  <c r="AK74" i="1" a="1"/>
  <c r="AK74" i="1" s="1"/>
  <c r="AK75" i="1" a="1"/>
  <c r="AK75" i="1" s="1"/>
  <c r="AK76" i="1" a="1"/>
  <c r="AK76" i="1" s="1"/>
  <c r="AK77" i="1" a="1"/>
  <c r="AK77" i="1" s="1"/>
  <c r="AK78" i="1" a="1"/>
  <c r="AK78" i="1" s="1"/>
  <c r="AK79" i="1" a="1"/>
  <c r="AK79" i="1" s="1"/>
  <c r="AK80" i="1" a="1"/>
  <c r="AK80" i="1" s="1"/>
  <c r="AK81" i="1" a="1"/>
  <c r="AK81" i="1" s="1"/>
  <c r="AK82" i="1" a="1"/>
  <c r="AK82" i="1" s="1"/>
  <c r="AK83" i="1" a="1"/>
  <c r="AK83" i="1" s="1"/>
  <c r="AK84" i="1" a="1"/>
  <c r="AK84" i="1" s="1"/>
  <c r="AK85" i="1" a="1"/>
  <c r="AK85" i="1" s="1"/>
  <c r="AK86" i="1" a="1"/>
  <c r="AK86" i="1" s="1"/>
  <c r="AK87" i="1" a="1"/>
  <c r="AK87" i="1" s="1"/>
  <c r="AK88" i="1" a="1"/>
  <c r="AK88" i="1" s="1"/>
  <c r="AK89" i="1" a="1"/>
  <c r="AK89" i="1" s="1"/>
  <c r="AK90" i="1" a="1"/>
  <c r="AK90" i="1" s="1"/>
  <c r="AK91" i="1" a="1"/>
  <c r="AK91" i="1" s="1"/>
  <c r="AK92" i="1" a="1"/>
  <c r="AK92" i="1" s="1"/>
  <c r="AK93" i="1" a="1"/>
  <c r="AK93" i="1" s="1"/>
  <c r="AK94" i="1" a="1"/>
  <c r="AK94" i="1" s="1"/>
  <c r="AK95" i="1" a="1"/>
  <c r="AK95" i="1" s="1"/>
  <c r="AK96" i="1" a="1"/>
  <c r="AK96" i="1" s="1"/>
  <c r="AK97" i="1" a="1"/>
  <c r="AK97" i="1" s="1"/>
  <c r="AK98" i="1" a="1"/>
  <c r="AK98" i="1" s="1"/>
  <c r="AK99" i="1" a="1"/>
  <c r="AK99" i="1" s="1"/>
  <c r="AK100" i="1" a="1"/>
  <c r="AK100" i="1" s="1"/>
  <c r="AK101" i="1" a="1"/>
  <c r="AK101" i="1" s="1"/>
  <c r="AK102" i="1" a="1"/>
  <c r="AK102" i="1" s="1"/>
  <c r="AK103" i="1" a="1"/>
  <c r="AK103" i="1" s="1"/>
  <c r="AK104" i="1" a="1"/>
  <c r="AK104" i="1" s="1"/>
  <c r="AK105" i="1" a="1"/>
  <c r="AK105" i="1" s="1"/>
  <c r="AK106" i="1" a="1"/>
  <c r="AK106" i="1" s="1"/>
  <c r="AK107" i="1" a="1"/>
  <c r="AK107" i="1" s="1"/>
  <c r="AK108" i="1" a="1"/>
  <c r="AK108" i="1" s="1"/>
  <c r="AK109" i="1" a="1"/>
  <c r="AK109" i="1" s="1"/>
  <c r="AK110" i="1" a="1"/>
  <c r="AK110" i="1" s="1"/>
  <c r="AK111" i="1" a="1"/>
  <c r="AK111" i="1" s="1"/>
  <c r="AK112" i="1" a="1"/>
  <c r="AK112" i="1" s="1"/>
  <c r="AK113" i="1" a="1"/>
  <c r="AK113" i="1" s="1"/>
  <c r="AK114" i="1" a="1"/>
  <c r="AK114" i="1" s="1"/>
  <c r="AK116" i="1" a="1"/>
  <c r="AK116" i="1" s="1"/>
  <c r="AK117" i="1" a="1"/>
  <c r="AK117" i="1" s="1"/>
  <c r="AK118" i="1" a="1"/>
  <c r="AK118" i="1" s="1"/>
  <c r="AK119" i="1" a="1"/>
  <c r="AK119" i="1" s="1"/>
  <c r="AK120" i="1" a="1"/>
  <c r="AK120" i="1" s="1"/>
  <c r="AK121" i="1" a="1"/>
  <c r="AK121" i="1" s="1"/>
  <c r="AN3" i="1" a="1"/>
  <c r="AN3" i="1" s="1"/>
  <c r="AM3" i="1" a="1"/>
  <c r="AM3" i="1" s="1"/>
  <c r="AL3" i="1" a="1"/>
  <c r="AL3" i="1" s="1"/>
  <c r="AK3" i="1" a="1"/>
  <c r="AK3" i="1" s="1"/>
  <c r="AH59" i="1"/>
  <c r="L60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4" i="3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6" i="1"/>
  <c r="Z117" i="1"/>
  <c r="Z118" i="1"/>
  <c r="Z119" i="1"/>
  <c r="Z120" i="1"/>
  <c r="Z121" i="1"/>
  <c r="Z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6" i="1"/>
  <c r="Y117" i="1"/>
  <c r="Y118" i="1"/>
  <c r="Y119" i="1"/>
  <c r="Y120" i="1"/>
  <c r="Y121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6" i="1"/>
  <c r="W117" i="1"/>
  <c r="W118" i="1"/>
  <c r="W119" i="1"/>
  <c r="W120" i="1"/>
  <c r="W121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6" i="1"/>
  <c r="X117" i="1"/>
  <c r="X118" i="1"/>
  <c r="X119" i="1"/>
  <c r="X120" i="1"/>
  <c r="X121" i="1"/>
  <c r="X3" i="1"/>
  <c r="W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6" i="1"/>
  <c r="T117" i="1"/>
  <c r="T118" i="1"/>
  <c r="T119" i="1"/>
  <c r="T120" i="1"/>
  <c r="T12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6" i="1"/>
  <c r="U117" i="1"/>
  <c r="U118" i="1"/>
  <c r="U119" i="1"/>
  <c r="U120" i="1"/>
  <c r="U121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6" i="1"/>
  <c r="V117" i="1"/>
  <c r="V118" i="1"/>
  <c r="V119" i="1"/>
  <c r="V120" i="1"/>
  <c r="V121" i="1"/>
  <c r="V3" i="1"/>
  <c r="U3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6" i="1"/>
  <c r="S117" i="1"/>
  <c r="S118" i="1"/>
  <c r="S119" i="1"/>
  <c r="S120" i="1"/>
  <c r="S121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6" i="1"/>
  <c r="R117" i="1"/>
  <c r="R118" i="1"/>
  <c r="R119" i="1"/>
  <c r="R120" i="1"/>
  <c r="R121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6" i="1"/>
  <c r="Q117" i="1"/>
  <c r="Q118" i="1"/>
  <c r="Q119" i="1"/>
  <c r="Q120" i="1"/>
  <c r="Q121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6" i="1"/>
  <c r="P117" i="1"/>
  <c r="P118" i="1"/>
  <c r="P119" i="1"/>
  <c r="P120" i="1"/>
  <c r="P121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6" i="1"/>
  <c r="O117" i="1"/>
  <c r="O118" i="1"/>
  <c r="O119" i="1"/>
  <c r="O120" i="1"/>
  <c r="O121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L59" i="1"/>
  <c r="K3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3" i="1"/>
  <c r="F59" i="1"/>
  <c r="L329" i="2"/>
  <c r="J329" i="2"/>
  <c r="D329" i="2"/>
  <c r="L328" i="2"/>
  <c r="J328" i="2"/>
  <c r="D328" i="2"/>
  <c r="L327" i="2"/>
  <c r="J327" i="2"/>
  <c r="D327" i="2"/>
  <c r="L326" i="2"/>
  <c r="J326" i="2"/>
  <c r="D326" i="2"/>
  <c r="L325" i="2"/>
  <c r="J325" i="2"/>
  <c r="D325" i="2"/>
  <c r="L324" i="2"/>
  <c r="J324" i="2"/>
  <c r="D324" i="2"/>
  <c r="L323" i="2"/>
  <c r="J323" i="2"/>
  <c r="D323" i="2"/>
  <c r="L322" i="2"/>
  <c r="N121" i="1" s="1"/>
  <c r="J322" i="2"/>
  <c r="L121" i="1" s="1"/>
  <c r="D322" i="2"/>
  <c r="F121" i="1" s="1"/>
  <c r="L321" i="2"/>
  <c r="J321" i="2"/>
  <c r="D321" i="2"/>
  <c r="L320" i="2"/>
  <c r="J320" i="2"/>
  <c r="D320" i="2"/>
  <c r="L319" i="2"/>
  <c r="J319" i="2"/>
  <c r="D319" i="2"/>
  <c r="L318" i="2"/>
  <c r="J318" i="2"/>
  <c r="D318" i="2"/>
  <c r="L317" i="2"/>
  <c r="N120" i="1" s="1"/>
  <c r="J317" i="2"/>
  <c r="L120" i="1" s="1"/>
  <c r="D317" i="2"/>
  <c r="F120" i="1" s="1"/>
  <c r="L316" i="2"/>
  <c r="J316" i="2"/>
  <c r="D316" i="2"/>
  <c r="L315" i="2"/>
  <c r="J315" i="2"/>
  <c r="D315" i="2"/>
  <c r="L314" i="2"/>
  <c r="J314" i="2"/>
  <c r="D314" i="2"/>
  <c r="L313" i="2"/>
  <c r="N119" i="1" s="1"/>
  <c r="J313" i="2"/>
  <c r="L119" i="1" s="1"/>
  <c r="D313" i="2"/>
  <c r="F119" i="1" s="1"/>
  <c r="L312" i="2"/>
  <c r="N118" i="1" s="1"/>
  <c r="J312" i="2"/>
  <c r="L118" i="1" s="1"/>
  <c r="D312" i="2"/>
  <c r="F118" i="1" s="1"/>
  <c r="L311" i="2"/>
  <c r="N117" i="1" s="1"/>
  <c r="J311" i="2"/>
  <c r="L117" i="1" s="1"/>
  <c r="D311" i="2"/>
  <c r="F117" i="1" s="1"/>
  <c r="L310" i="2"/>
  <c r="N116" i="1" s="1"/>
  <c r="J310" i="2"/>
  <c r="L116" i="1" s="1"/>
  <c r="D310" i="2"/>
  <c r="F116" i="1" s="1"/>
  <c r="L309" i="2"/>
  <c r="J309" i="2"/>
  <c r="D309" i="2"/>
  <c r="L308" i="2"/>
  <c r="J308" i="2"/>
  <c r="D308" i="2"/>
  <c r="L307" i="2"/>
  <c r="J307" i="2"/>
  <c r="D307" i="2"/>
  <c r="L306" i="2"/>
  <c r="J306" i="2"/>
  <c r="D306" i="2"/>
  <c r="L305" i="2"/>
  <c r="J305" i="2"/>
  <c r="D305" i="2"/>
  <c r="L304" i="2"/>
  <c r="J304" i="2"/>
  <c r="D304" i="2"/>
  <c r="L303" i="2"/>
  <c r="N115" i="1" s="1"/>
  <c r="J303" i="2"/>
  <c r="L115" i="1" s="1"/>
  <c r="D303" i="2"/>
  <c r="F115" i="1" s="1"/>
  <c r="L302" i="2"/>
  <c r="J302" i="2"/>
  <c r="D302" i="2"/>
  <c r="L301" i="2"/>
  <c r="J301" i="2"/>
  <c r="D301" i="2"/>
  <c r="L300" i="2"/>
  <c r="N114" i="1" s="1"/>
  <c r="J300" i="2"/>
  <c r="L114" i="1" s="1"/>
  <c r="D300" i="2"/>
  <c r="F114" i="1" s="1"/>
  <c r="L299" i="2"/>
  <c r="J299" i="2"/>
  <c r="D299" i="2"/>
  <c r="L298" i="2"/>
  <c r="J298" i="2"/>
  <c r="D298" i="2"/>
  <c r="L297" i="2"/>
  <c r="J297" i="2"/>
  <c r="D297" i="2"/>
  <c r="L296" i="2"/>
  <c r="N113" i="1" s="1"/>
  <c r="J296" i="2"/>
  <c r="L113" i="1" s="1"/>
  <c r="D296" i="2"/>
  <c r="F113" i="1" s="1"/>
  <c r="L295" i="2"/>
  <c r="J295" i="2"/>
  <c r="D295" i="2"/>
  <c r="L294" i="2"/>
  <c r="J294" i="2"/>
  <c r="D294" i="2"/>
  <c r="L293" i="2"/>
  <c r="J293" i="2"/>
  <c r="D293" i="2"/>
  <c r="L292" i="2"/>
  <c r="N112" i="1" s="1"/>
  <c r="J292" i="2"/>
  <c r="L112" i="1" s="1"/>
  <c r="D292" i="2"/>
  <c r="F112" i="1" s="1"/>
  <c r="L291" i="2"/>
  <c r="J291" i="2"/>
  <c r="D291" i="2"/>
  <c r="L290" i="2"/>
  <c r="J290" i="2"/>
  <c r="D290" i="2"/>
  <c r="L289" i="2"/>
  <c r="J289" i="2"/>
  <c r="D289" i="2"/>
  <c r="L288" i="2"/>
  <c r="J288" i="2"/>
  <c r="D288" i="2"/>
  <c r="L287" i="2"/>
  <c r="J287" i="2"/>
  <c r="D287" i="2"/>
  <c r="L286" i="2"/>
  <c r="J286" i="2"/>
  <c r="D286" i="2"/>
  <c r="L285" i="2"/>
  <c r="J285" i="2"/>
  <c r="D285" i="2"/>
  <c r="L284" i="2"/>
  <c r="J284" i="2"/>
  <c r="D284" i="2"/>
  <c r="L283" i="2"/>
  <c r="J283" i="2"/>
  <c r="D283" i="2"/>
  <c r="L282" i="2"/>
  <c r="N111" i="1" s="1"/>
  <c r="J282" i="2"/>
  <c r="L111" i="1" s="1"/>
  <c r="D282" i="2"/>
  <c r="F111" i="1" s="1"/>
  <c r="L281" i="2"/>
  <c r="J281" i="2"/>
  <c r="D281" i="2"/>
  <c r="L280" i="2"/>
  <c r="J280" i="2"/>
  <c r="D280" i="2"/>
  <c r="L279" i="2"/>
  <c r="J279" i="2"/>
  <c r="D279" i="2"/>
  <c r="L278" i="2"/>
  <c r="J278" i="2"/>
  <c r="D278" i="2"/>
  <c r="L277" i="2"/>
  <c r="J277" i="2"/>
  <c r="D277" i="2"/>
  <c r="L276" i="2"/>
  <c r="N110" i="1" s="1"/>
  <c r="J276" i="2"/>
  <c r="L110" i="1" s="1"/>
  <c r="D276" i="2"/>
  <c r="F110" i="1" s="1"/>
  <c r="L275" i="2"/>
  <c r="J275" i="2"/>
  <c r="D275" i="2"/>
  <c r="L274" i="2"/>
  <c r="N109" i="1" s="1"/>
  <c r="J274" i="2"/>
  <c r="L109" i="1" s="1"/>
  <c r="D274" i="2"/>
  <c r="F109" i="1" s="1"/>
  <c r="L273" i="2"/>
  <c r="N108" i="1" s="1"/>
  <c r="J273" i="2"/>
  <c r="L108" i="1" s="1"/>
  <c r="D273" i="2"/>
  <c r="F108" i="1" s="1"/>
  <c r="L272" i="2"/>
  <c r="J272" i="2"/>
  <c r="D272" i="2"/>
  <c r="L271" i="2"/>
  <c r="J271" i="2"/>
  <c r="D271" i="2"/>
  <c r="L270" i="2"/>
  <c r="J270" i="2"/>
  <c r="D270" i="2"/>
  <c r="L269" i="2"/>
  <c r="J269" i="2"/>
  <c r="D269" i="2"/>
  <c r="L268" i="2"/>
  <c r="N107" i="1" s="1"/>
  <c r="J268" i="2"/>
  <c r="L107" i="1" s="1"/>
  <c r="D268" i="2"/>
  <c r="F107" i="1" s="1"/>
  <c r="L267" i="2"/>
  <c r="J267" i="2"/>
  <c r="D267" i="2"/>
  <c r="L266" i="2"/>
  <c r="J266" i="2"/>
  <c r="D266" i="2"/>
  <c r="L265" i="2"/>
  <c r="J265" i="2"/>
  <c r="D265" i="2"/>
  <c r="L264" i="2"/>
  <c r="J264" i="2"/>
  <c r="D264" i="2"/>
  <c r="L263" i="2"/>
  <c r="J263" i="2"/>
  <c r="D263" i="2"/>
  <c r="L262" i="2"/>
  <c r="N106" i="1" s="1"/>
  <c r="J262" i="2"/>
  <c r="L106" i="1" s="1"/>
  <c r="D262" i="2"/>
  <c r="F106" i="1" s="1"/>
  <c r="L261" i="2"/>
  <c r="J261" i="2"/>
  <c r="D261" i="2"/>
  <c r="L260" i="2"/>
  <c r="J260" i="2"/>
  <c r="D260" i="2"/>
  <c r="L259" i="2"/>
  <c r="N105" i="1" s="1"/>
  <c r="J259" i="2"/>
  <c r="L105" i="1" s="1"/>
  <c r="D259" i="2"/>
  <c r="F105" i="1" s="1"/>
  <c r="L258" i="2"/>
  <c r="J258" i="2"/>
  <c r="D258" i="2"/>
  <c r="L257" i="2"/>
  <c r="J257" i="2"/>
  <c r="D257" i="2"/>
  <c r="L256" i="2"/>
  <c r="J256" i="2"/>
  <c r="D256" i="2"/>
  <c r="L255" i="2"/>
  <c r="N104" i="1" s="1"/>
  <c r="J255" i="2"/>
  <c r="L104" i="1" s="1"/>
  <c r="D255" i="2"/>
  <c r="F104" i="1" s="1"/>
  <c r="L254" i="2"/>
  <c r="N103" i="1" s="1"/>
  <c r="J254" i="2"/>
  <c r="L103" i="1" s="1"/>
  <c r="D254" i="2"/>
  <c r="F103" i="1" s="1"/>
  <c r="L253" i="2"/>
  <c r="J253" i="2"/>
  <c r="D253" i="2"/>
  <c r="L252" i="2"/>
  <c r="N102" i="1" s="1"/>
  <c r="J252" i="2"/>
  <c r="L102" i="1" s="1"/>
  <c r="D252" i="2"/>
  <c r="F102" i="1" s="1"/>
  <c r="L251" i="2"/>
  <c r="N101" i="1" s="1"/>
  <c r="J251" i="2"/>
  <c r="L101" i="1" s="1"/>
  <c r="D251" i="2"/>
  <c r="F101" i="1" s="1"/>
  <c r="L250" i="2"/>
  <c r="J250" i="2"/>
  <c r="D250" i="2"/>
  <c r="L249" i="2"/>
  <c r="N100" i="1" s="1"/>
  <c r="J249" i="2"/>
  <c r="L100" i="1" s="1"/>
  <c r="D249" i="2"/>
  <c r="F100" i="1" s="1"/>
  <c r="L248" i="2"/>
  <c r="N99" i="1" s="1"/>
  <c r="J248" i="2"/>
  <c r="L99" i="1" s="1"/>
  <c r="D248" i="2"/>
  <c r="F99" i="1" s="1"/>
  <c r="L247" i="2"/>
  <c r="J247" i="2"/>
  <c r="D247" i="2"/>
  <c r="L246" i="2"/>
  <c r="J246" i="2"/>
  <c r="D246" i="2"/>
  <c r="L245" i="2"/>
  <c r="J245" i="2"/>
  <c r="D245" i="2"/>
  <c r="L244" i="2"/>
  <c r="J244" i="2"/>
  <c r="D244" i="2"/>
  <c r="L243" i="2"/>
  <c r="J243" i="2"/>
  <c r="D243" i="2"/>
  <c r="L242" i="2"/>
  <c r="J242" i="2"/>
  <c r="D242" i="2"/>
  <c r="L241" i="2"/>
  <c r="J241" i="2"/>
  <c r="D241" i="2"/>
  <c r="L240" i="2"/>
  <c r="J240" i="2"/>
  <c r="D240" i="2"/>
  <c r="L239" i="2"/>
  <c r="J239" i="2"/>
  <c r="D239" i="2"/>
  <c r="L238" i="2"/>
  <c r="J238" i="2"/>
  <c r="D238" i="2"/>
  <c r="L237" i="2"/>
  <c r="J237" i="2"/>
  <c r="D237" i="2"/>
  <c r="L236" i="2"/>
  <c r="N98" i="1" s="1"/>
  <c r="J236" i="2"/>
  <c r="L98" i="1" s="1"/>
  <c r="D236" i="2"/>
  <c r="F98" i="1" s="1"/>
  <c r="L235" i="2"/>
  <c r="J235" i="2"/>
  <c r="D235" i="2"/>
  <c r="L234" i="2"/>
  <c r="J234" i="2"/>
  <c r="D234" i="2"/>
  <c r="L233" i="2"/>
  <c r="J233" i="2"/>
  <c r="D233" i="2"/>
  <c r="L232" i="2"/>
  <c r="N97" i="1" s="1"/>
  <c r="J232" i="2"/>
  <c r="L97" i="1" s="1"/>
  <c r="D232" i="2"/>
  <c r="F97" i="1" s="1"/>
  <c r="L231" i="2"/>
  <c r="J231" i="2"/>
  <c r="D231" i="2"/>
  <c r="L230" i="2"/>
  <c r="J230" i="2"/>
  <c r="D230" i="2"/>
  <c r="L229" i="2"/>
  <c r="J229" i="2"/>
  <c r="D229" i="2"/>
  <c r="L228" i="2"/>
  <c r="J228" i="2"/>
  <c r="D228" i="2"/>
  <c r="L227" i="2"/>
  <c r="J227" i="2"/>
  <c r="D227" i="2"/>
  <c r="L226" i="2"/>
  <c r="N96" i="1" s="1"/>
  <c r="J226" i="2"/>
  <c r="L96" i="1" s="1"/>
  <c r="D226" i="2"/>
  <c r="F96" i="1" s="1"/>
  <c r="L225" i="2"/>
  <c r="J225" i="2"/>
  <c r="D225" i="2"/>
  <c r="L224" i="2"/>
  <c r="N95" i="1" s="1"/>
  <c r="J224" i="2"/>
  <c r="L95" i="1" s="1"/>
  <c r="D224" i="2"/>
  <c r="F95" i="1" s="1"/>
  <c r="L223" i="2"/>
  <c r="N94" i="1" s="1"/>
  <c r="J223" i="2"/>
  <c r="L94" i="1" s="1"/>
  <c r="D223" i="2"/>
  <c r="F94" i="1" s="1"/>
  <c r="L222" i="2"/>
  <c r="J222" i="2"/>
  <c r="D222" i="2"/>
  <c r="L221" i="2"/>
  <c r="J221" i="2"/>
  <c r="D221" i="2"/>
  <c r="L220" i="2"/>
  <c r="N93" i="1" s="1"/>
  <c r="J220" i="2"/>
  <c r="L93" i="1" s="1"/>
  <c r="D220" i="2"/>
  <c r="F93" i="1" s="1"/>
  <c r="L219" i="2"/>
  <c r="N92" i="1" s="1"/>
  <c r="J219" i="2"/>
  <c r="L92" i="1" s="1"/>
  <c r="D219" i="2"/>
  <c r="F92" i="1" s="1"/>
  <c r="L218" i="2"/>
  <c r="J218" i="2"/>
  <c r="D218" i="2"/>
  <c r="L217" i="2"/>
  <c r="J217" i="2"/>
  <c r="D217" i="2"/>
  <c r="L216" i="2"/>
  <c r="N91" i="1" s="1"/>
  <c r="J216" i="2"/>
  <c r="L91" i="1" s="1"/>
  <c r="D216" i="2"/>
  <c r="F91" i="1" s="1"/>
  <c r="L215" i="2"/>
  <c r="J215" i="2"/>
  <c r="D215" i="2"/>
  <c r="L214" i="2"/>
  <c r="N90" i="1" s="1"/>
  <c r="J214" i="2"/>
  <c r="L90" i="1" s="1"/>
  <c r="D214" i="2"/>
  <c r="F90" i="1" s="1"/>
  <c r="L213" i="2"/>
  <c r="J213" i="2"/>
  <c r="D213" i="2"/>
  <c r="L212" i="2"/>
  <c r="J212" i="2"/>
  <c r="D212" i="2"/>
  <c r="L211" i="2"/>
  <c r="J211" i="2"/>
  <c r="D211" i="2"/>
  <c r="L210" i="2"/>
  <c r="N89" i="1" s="1"/>
  <c r="J210" i="2"/>
  <c r="L89" i="1" s="1"/>
  <c r="D210" i="2"/>
  <c r="F89" i="1" s="1"/>
  <c r="L209" i="2"/>
  <c r="J209" i="2"/>
  <c r="D209" i="2"/>
  <c r="L208" i="2"/>
  <c r="J208" i="2"/>
  <c r="D208" i="2"/>
  <c r="L207" i="2"/>
  <c r="N88" i="1" s="1"/>
  <c r="J207" i="2"/>
  <c r="L88" i="1" s="1"/>
  <c r="D207" i="2"/>
  <c r="F88" i="1" s="1"/>
  <c r="L206" i="2"/>
  <c r="N87" i="1" s="1"/>
  <c r="J206" i="2"/>
  <c r="L87" i="1" s="1"/>
  <c r="D206" i="2"/>
  <c r="F87" i="1" s="1"/>
  <c r="L205" i="2"/>
  <c r="N86" i="1" s="1"/>
  <c r="J205" i="2"/>
  <c r="L86" i="1" s="1"/>
  <c r="D205" i="2"/>
  <c r="F86" i="1" s="1"/>
  <c r="L204" i="2"/>
  <c r="J204" i="2"/>
  <c r="D204" i="2"/>
  <c r="L203" i="2"/>
  <c r="J203" i="2"/>
  <c r="D203" i="2"/>
  <c r="L202" i="2"/>
  <c r="J202" i="2"/>
  <c r="D202" i="2"/>
  <c r="L201" i="2"/>
  <c r="J201" i="2"/>
  <c r="D201" i="2"/>
  <c r="L200" i="2"/>
  <c r="J200" i="2"/>
  <c r="D200" i="2"/>
  <c r="L199" i="2"/>
  <c r="J199" i="2"/>
  <c r="D199" i="2"/>
  <c r="L198" i="2"/>
  <c r="J198" i="2"/>
  <c r="D198" i="2"/>
  <c r="L197" i="2"/>
  <c r="J197" i="2"/>
  <c r="D197" i="2"/>
  <c r="L196" i="2"/>
  <c r="J196" i="2"/>
  <c r="D196" i="2"/>
  <c r="L195" i="2"/>
  <c r="J195" i="2"/>
  <c r="D195" i="2"/>
  <c r="L194" i="2"/>
  <c r="N85" i="1" s="1"/>
  <c r="J194" i="2"/>
  <c r="L85" i="1" s="1"/>
  <c r="D194" i="2"/>
  <c r="F85" i="1" s="1"/>
  <c r="L193" i="2"/>
  <c r="J193" i="2"/>
  <c r="D193" i="2"/>
  <c r="L192" i="2"/>
  <c r="J192" i="2"/>
  <c r="D192" i="2"/>
  <c r="L191" i="2"/>
  <c r="J191" i="2"/>
  <c r="D191" i="2"/>
  <c r="L190" i="2"/>
  <c r="N84" i="1" s="1"/>
  <c r="J190" i="2"/>
  <c r="L84" i="1" s="1"/>
  <c r="D190" i="2"/>
  <c r="F84" i="1" s="1"/>
  <c r="L189" i="2"/>
  <c r="J189" i="2"/>
  <c r="D189" i="2"/>
  <c r="L188" i="2"/>
  <c r="N83" i="1" s="1"/>
  <c r="J188" i="2"/>
  <c r="L83" i="1" s="1"/>
  <c r="D188" i="2"/>
  <c r="F83" i="1" s="1"/>
  <c r="L187" i="2"/>
  <c r="N82" i="1" s="1"/>
  <c r="J187" i="2"/>
  <c r="L82" i="1" s="1"/>
  <c r="D187" i="2"/>
  <c r="F82" i="1" s="1"/>
  <c r="L186" i="2"/>
  <c r="J186" i="2"/>
  <c r="D186" i="2"/>
  <c r="L185" i="2"/>
  <c r="J185" i="2"/>
  <c r="D185" i="2"/>
  <c r="L184" i="2"/>
  <c r="J184" i="2"/>
  <c r="D184" i="2"/>
  <c r="L183" i="2"/>
  <c r="N81" i="1" s="1"/>
  <c r="J183" i="2"/>
  <c r="L81" i="1" s="1"/>
  <c r="D183" i="2"/>
  <c r="F81" i="1" s="1"/>
  <c r="L182" i="2"/>
  <c r="J182" i="2"/>
  <c r="D182" i="2"/>
  <c r="L181" i="2"/>
  <c r="J181" i="2"/>
  <c r="D181" i="2"/>
  <c r="L180" i="2"/>
  <c r="N80" i="1" s="1"/>
  <c r="J180" i="2"/>
  <c r="L80" i="1" s="1"/>
  <c r="D180" i="2"/>
  <c r="F80" i="1" s="1"/>
  <c r="L179" i="2"/>
  <c r="N79" i="1" s="1"/>
  <c r="J179" i="2"/>
  <c r="L79" i="1" s="1"/>
  <c r="D179" i="2"/>
  <c r="F79" i="1" s="1"/>
  <c r="L178" i="2"/>
  <c r="N78" i="1" s="1"/>
  <c r="J178" i="2"/>
  <c r="L78" i="1" s="1"/>
  <c r="D178" i="2"/>
  <c r="F78" i="1" s="1"/>
  <c r="L177" i="2"/>
  <c r="N77" i="1" s="1"/>
  <c r="J177" i="2"/>
  <c r="L77" i="1" s="1"/>
  <c r="D177" i="2"/>
  <c r="F77" i="1" s="1"/>
  <c r="L176" i="2"/>
  <c r="J176" i="2"/>
  <c r="D176" i="2"/>
  <c r="L175" i="2"/>
  <c r="N76" i="1" s="1"/>
  <c r="J175" i="2"/>
  <c r="L76" i="1" s="1"/>
  <c r="D175" i="2"/>
  <c r="F76" i="1" s="1"/>
  <c r="L174" i="2"/>
  <c r="N75" i="1" s="1"/>
  <c r="J174" i="2"/>
  <c r="L75" i="1" s="1"/>
  <c r="D174" i="2"/>
  <c r="F75" i="1" s="1"/>
  <c r="L173" i="2"/>
  <c r="N74" i="1" s="1"/>
  <c r="J173" i="2"/>
  <c r="L74" i="1" s="1"/>
  <c r="D173" i="2"/>
  <c r="F74" i="1" s="1"/>
  <c r="L172" i="2"/>
  <c r="J172" i="2"/>
  <c r="D172" i="2"/>
  <c r="L171" i="2"/>
  <c r="N73" i="1" s="1"/>
  <c r="J171" i="2"/>
  <c r="L73" i="1" s="1"/>
  <c r="D171" i="2"/>
  <c r="F73" i="1" s="1"/>
  <c r="L170" i="2"/>
  <c r="J170" i="2"/>
  <c r="D170" i="2"/>
  <c r="L169" i="2"/>
  <c r="J169" i="2"/>
  <c r="D169" i="2"/>
  <c r="L168" i="2"/>
  <c r="N72" i="1" s="1"/>
  <c r="J168" i="2"/>
  <c r="L72" i="1" s="1"/>
  <c r="D168" i="2"/>
  <c r="F72" i="1" s="1"/>
  <c r="L167" i="2"/>
  <c r="J167" i="2"/>
  <c r="D167" i="2"/>
  <c r="L166" i="2"/>
  <c r="J166" i="2"/>
  <c r="D166" i="2"/>
  <c r="L165" i="2"/>
  <c r="N71" i="1" s="1"/>
  <c r="J165" i="2"/>
  <c r="L71" i="1" s="1"/>
  <c r="D165" i="2"/>
  <c r="F71" i="1" s="1"/>
  <c r="L164" i="2"/>
  <c r="N70" i="1" s="1"/>
  <c r="J164" i="2"/>
  <c r="L70" i="1" s="1"/>
  <c r="D164" i="2"/>
  <c r="F70" i="1" s="1"/>
  <c r="L163" i="2"/>
  <c r="J163" i="2"/>
  <c r="D163" i="2"/>
  <c r="L162" i="2"/>
  <c r="J162" i="2"/>
  <c r="D162" i="2"/>
  <c r="L161" i="2"/>
  <c r="N69" i="1" s="1"/>
  <c r="J161" i="2"/>
  <c r="L69" i="1" s="1"/>
  <c r="D161" i="2"/>
  <c r="F69" i="1" s="1"/>
  <c r="L160" i="2"/>
  <c r="J160" i="2"/>
  <c r="D160" i="2"/>
  <c r="L159" i="2"/>
  <c r="J159" i="2"/>
  <c r="D159" i="2"/>
  <c r="L158" i="2"/>
  <c r="J158" i="2"/>
  <c r="D158" i="2"/>
  <c r="L157" i="2"/>
  <c r="J157" i="2"/>
  <c r="D157" i="2"/>
  <c r="L156" i="2"/>
  <c r="J156" i="2"/>
  <c r="D156" i="2"/>
  <c r="L155" i="2"/>
  <c r="N68" i="1" s="1"/>
  <c r="J155" i="2"/>
  <c r="L68" i="1" s="1"/>
  <c r="D155" i="2"/>
  <c r="F68" i="1" s="1"/>
  <c r="L154" i="2"/>
  <c r="J154" i="2"/>
  <c r="D154" i="2"/>
  <c r="L153" i="2"/>
  <c r="J153" i="2"/>
  <c r="D153" i="2"/>
  <c r="L152" i="2"/>
  <c r="J152" i="2"/>
  <c r="D152" i="2"/>
  <c r="L151" i="2"/>
  <c r="J151" i="2"/>
  <c r="D151" i="2"/>
  <c r="L150" i="2"/>
  <c r="N67" i="1" s="1"/>
  <c r="J150" i="2"/>
  <c r="L67" i="1" s="1"/>
  <c r="D150" i="2"/>
  <c r="F67" i="1" s="1"/>
  <c r="L149" i="2"/>
  <c r="J149" i="2"/>
  <c r="D149" i="2"/>
  <c r="L148" i="2"/>
  <c r="J148" i="2"/>
  <c r="D148" i="2"/>
  <c r="L147" i="2"/>
  <c r="J147" i="2"/>
  <c r="D147" i="2"/>
  <c r="L146" i="2"/>
  <c r="N66" i="1" s="1"/>
  <c r="J146" i="2"/>
  <c r="L66" i="1" s="1"/>
  <c r="D146" i="2"/>
  <c r="F66" i="1" s="1"/>
  <c r="L145" i="2"/>
  <c r="N65" i="1" s="1"/>
  <c r="J145" i="2"/>
  <c r="L65" i="1" s="1"/>
  <c r="D145" i="2"/>
  <c r="F65" i="1" s="1"/>
  <c r="L144" i="2"/>
  <c r="J144" i="2"/>
  <c r="D144" i="2"/>
  <c r="L143" i="2"/>
  <c r="J143" i="2"/>
  <c r="D143" i="2"/>
  <c r="L142" i="2"/>
  <c r="N64" i="1" s="1"/>
  <c r="J142" i="2"/>
  <c r="L64" i="1" s="1"/>
  <c r="D142" i="2"/>
  <c r="F64" i="1" s="1"/>
  <c r="L141" i="2"/>
  <c r="N63" i="1" s="1"/>
  <c r="J141" i="2"/>
  <c r="L63" i="1" s="1"/>
  <c r="D141" i="2"/>
  <c r="F63" i="1" s="1"/>
  <c r="L140" i="2"/>
  <c r="N62" i="1" s="1"/>
  <c r="J140" i="2"/>
  <c r="L62" i="1" s="1"/>
  <c r="D140" i="2"/>
  <c r="F62" i="1" s="1"/>
  <c r="L139" i="2"/>
  <c r="J139" i="2"/>
  <c r="D139" i="2"/>
  <c r="L138" i="2"/>
  <c r="N61" i="1" s="1"/>
  <c r="J138" i="2"/>
  <c r="L61" i="1" s="1"/>
  <c r="D138" i="2"/>
  <c r="F61" i="1" s="1"/>
  <c r="L137" i="2"/>
  <c r="N60" i="1" s="1"/>
  <c r="J137" i="2"/>
  <c r="L60" i="1" s="1"/>
  <c r="D137" i="2"/>
  <c r="F60" i="1" s="1"/>
  <c r="L136" i="2"/>
  <c r="L135" i="2"/>
  <c r="N59" i="1" s="1"/>
  <c r="L134" i="2"/>
  <c r="N58" i="1" s="1"/>
  <c r="J134" i="2"/>
  <c r="L58" i="1" s="1"/>
  <c r="D134" i="2"/>
  <c r="F58" i="1" s="1"/>
  <c r="L133" i="2"/>
  <c r="N57" i="1" s="1"/>
  <c r="J133" i="2"/>
  <c r="L57" i="1" s="1"/>
  <c r="D133" i="2"/>
  <c r="F57" i="1" s="1"/>
  <c r="L132" i="2"/>
  <c r="N56" i="1" s="1"/>
  <c r="J132" i="2"/>
  <c r="L56" i="1" s="1"/>
  <c r="D132" i="2"/>
  <c r="F56" i="1" s="1"/>
  <c r="L131" i="2"/>
  <c r="J131" i="2"/>
  <c r="D131" i="2"/>
  <c r="L130" i="2"/>
  <c r="N55" i="1" s="1"/>
  <c r="J130" i="2"/>
  <c r="L55" i="1" s="1"/>
  <c r="D130" i="2"/>
  <c r="F55" i="1" s="1"/>
  <c r="L129" i="2"/>
  <c r="J129" i="2"/>
  <c r="D129" i="2"/>
  <c r="L128" i="2"/>
  <c r="N54" i="1" s="1"/>
  <c r="J128" i="2"/>
  <c r="L54" i="1" s="1"/>
  <c r="D128" i="2"/>
  <c r="F54" i="1" s="1"/>
  <c r="L127" i="2"/>
  <c r="N53" i="1" s="1"/>
  <c r="J127" i="2"/>
  <c r="L53" i="1" s="1"/>
  <c r="D127" i="2"/>
  <c r="F53" i="1" s="1"/>
  <c r="L126" i="2"/>
  <c r="N52" i="1" s="1"/>
  <c r="J126" i="2"/>
  <c r="L52" i="1" s="1"/>
  <c r="D126" i="2"/>
  <c r="F52" i="1" s="1"/>
  <c r="L125" i="2"/>
  <c r="N51" i="1" s="1"/>
  <c r="J125" i="2"/>
  <c r="L51" i="1" s="1"/>
  <c r="D125" i="2"/>
  <c r="F51" i="1" s="1"/>
  <c r="L124" i="2"/>
  <c r="J124" i="2"/>
  <c r="D124" i="2"/>
  <c r="L123" i="2"/>
  <c r="J123" i="2"/>
  <c r="D123" i="2"/>
  <c r="L122" i="2"/>
  <c r="J122" i="2"/>
  <c r="D122" i="2"/>
  <c r="L121" i="2"/>
  <c r="J121" i="2"/>
  <c r="D121" i="2"/>
  <c r="L120" i="2"/>
  <c r="J120" i="2"/>
  <c r="D120" i="2"/>
  <c r="L119" i="2"/>
  <c r="N50" i="1" s="1"/>
  <c r="J119" i="2"/>
  <c r="L50" i="1" s="1"/>
  <c r="D119" i="2"/>
  <c r="F50" i="1" s="1"/>
  <c r="L118" i="2"/>
  <c r="J118" i="2"/>
  <c r="D118" i="2"/>
  <c r="L117" i="2"/>
  <c r="N49" i="1" s="1"/>
  <c r="J117" i="2"/>
  <c r="L49" i="1" s="1"/>
  <c r="D117" i="2"/>
  <c r="F49" i="1" s="1"/>
  <c r="L116" i="2"/>
  <c r="N48" i="1" s="1"/>
  <c r="J116" i="2"/>
  <c r="L48" i="1" s="1"/>
  <c r="D116" i="2"/>
  <c r="F48" i="1" s="1"/>
  <c r="L115" i="2"/>
  <c r="N47" i="1" s="1"/>
  <c r="J115" i="2"/>
  <c r="L47" i="1" s="1"/>
  <c r="D115" i="2"/>
  <c r="F47" i="1" s="1"/>
  <c r="L114" i="2"/>
  <c r="N46" i="1" s="1"/>
  <c r="J114" i="2"/>
  <c r="L46" i="1" s="1"/>
  <c r="D114" i="2"/>
  <c r="F46" i="1" s="1"/>
  <c r="L113" i="2"/>
  <c r="N45" i="1" s="1"/>
  <c r="J113" i="2"/>
  <c r="L45" i="1" s="1"/>
  <c r="D113" i="2"/>
  <c r="F45" i="1" s="1"/>
  <c r="L112" i="2"/>
  <c r="N44" i="1" s="1"/>
  <c r="J112" i="2"/>
  <c r="L44" i="1" s="1"/>
  <c r="D112" i="2"/>
  <c r="F44" i="1" s="1"/>
  <c r="L111" i="2"/>
  <c r="N43" i="1" s="1"/>
  <c r="J111" i="2"/>
  <c r="L43" i="1" s="1"/>
  <c r="D111" i="2"/>
  <c r="F43" i="1" s="1"/>
  <c r="L110" i="2"/>
  <c r="N42" i="1" s="1"/>
  <c r="J110" i="2"/>
  <c r="L42" i="1" s="1"/>
  <c r="D110" i="2"/>
  <c r="F42" i="1" s="1"/>
  <c r="L109" i="2"/>
  <c r="J109" i="2"/>
  <c r="D109" i="2"/>
  <c r="L108" i="2"/>
  <c r="N41" i="1" s="1"/>
  <c r="J108" i="2"/>
  <c r="L41" i="1" s="1"/>
  <c r="D108" i="2"/>
  <c r="F41" i="1" s="1"/>
  <c r="L107" i="2"/>
  <c r="N40" i="1" s="1"/>
  <c r="J107" i="2"/>
  <c r="L40" i="1" s="1"/>
  <c r="D107" i="2"/>
  <c r="F40" i="1" s="1"/>
  <c r="L106" i="2"/>
  <c r="N39" i="1" s="1"/>
  <c r="J106" i="2"/>
  <c r="L39" i="1" s="1"/>
  <c r="D106" i="2"/>
  <c r="F39" i="1" s="1"/>
  <c r="L105" i="2"/>
  <c r="N38" i="1" s="1"/>
  <c r="J105" i="2"/>
  <c r="L38" i="1" s="1"/>
  <c r="D105" i="2"/>
  <c r="F38" i="1" s="1"/>
  <c r="L104" i="2"/>
  <c r="N37" i="1" s="1"/>
  <c r="J104" i="2"/>
  <c r="L37" i="1" s="1"/>
  <c r="D104" i="2"/>
  <c r="F37" i="1" s="1"/>
  <c r="L103" i="2"/>
  <c r="N36" i="1" s="1"/>
  <c r="J103" i="2"/>
  <c r="L36" i="1" s="1"/>
  <c r="D103" i="2"/>
  <c r="F36" i="1" s="1"/>
  <c r="L102" i="2"/>
  <c r="N35" i="1" s="1"/>
  <c r="J102" i="2"/>
  <c r="L35" i="1" s="1"/>
  <c r="D102" i="2"/>
  <c r="F35" i="1" s="1"/>
  <c r="L101" i="2"/>
  <c r="J101" i="2"/>
  <c r="D101" i="2"/>
  <c r="L100" i="2"/>
  <c r="N34" i="1" s="1"/>
  <c r="J100" i="2"/>
  <c r="L34" i="1" s="1"/>
  <c r="D100" i="2"/>
  <c r="F34" i="1" s="1"/>
  <c r="L99" i="2"/>
  <c r="J99" i="2"/>
  <c r="D99" i="2"/>
  <c r="L98" i="2"/>
  <c r="J98" i="2"/>
  <c r="D98" i="2"/>
  <c r="L97" i="2"/>
  <c r="N33" i="1" s="1"/>
  <c r="J97" i="2"/>
  <c r="L33" i="1" s="1"/>
  <c r="D97" i="2"/>
  <c r="F33" i="1" s="1"/>
  <c r="L96" i="2"/>
  <c r="J96" i="2"/>
  <c r="D96" i="2"/>
  <c r="L95" i="2"/>
  <c r="N32" i="1" s="1"/>
  <c r="J95" i="2"/>
  <c r="L32" i="1" s="1"/>
  <c r="D95" i="2"/>
  <c r="F32" i="1" s="1"/>
  <c r="L94" i="2"/>
  <c r="J94" i="2"/>
  <c r="D94" i="2"/>
  <c r="L93" i="2"/>
  <c r="J93" i="2"/>
  <c r="D93" i="2"/>
  <c r="L92" i="2"/>
  <c r="J92" i="2"/>
  <c r="D92" i="2"/>
  <c r="L91" i="2"/>
  <c r="J91" i="2"/>
  <c r="D91" i="2"/>
  <c r="L90" i="2"/>
  <c r="J90" i="2"/>
  <c r="D90" i="2"/>
  <c r="L89" i="2"/>
  <c r="J89" i="2"/>
  <c r="D89" i="2"/>
  <c r="L88" i="2"/>
  <c r="J88" i="2"/>
  <c r="D88" i="2"/>
  <c r="L87" i="2"/>
  <c r="J87" i="2"/>
  <c r="D87" i="2"/>
  <c r="L86" i="2"/>
  <c r="N31" i="1" s="1"/>
  <c r="J86" i="2"/>
  <c r="L31" i="1" s="1"/>
  <c r="D86" i="2"/>
  <c r="F31" i="1" s="1"/>
  <c r="L85" i="2"/>
  <c r="J85" i="2"/>
  <c r="D85" i="2"/>
  <c r="L84" i="2"/>
  <c r="J84" i="2"/>
  <c r="D84" i="2"/>
  <c r="L83" i="2"/>
  <c r="N30" i="1" s="1"/>
  <c r="J83" i="2"/>
  <c r="L30" i="1" s="1"/>
  <c r="D83" i="2"/>
  <c r="F30" i="1" s="1"/>
  <c r="L82" i="2"/>
  <c r="J82" i="2"/>
  <c r="D82" i="2"/>
  <c r="L81" i="2"/>
  <c r="J81" i="2"/>
  <c r="D81" i="2"/>
  <c r="L80" i="2"/>
  <c r="J80" i="2"/>
  <c r="D80" i="2"/>
  <c r="L79" i="2"/>
  <c r="N29" i="1" s="1"/>
  <c r="J79" i="2"/>
  <c r="L29" i="1" s="1"/>
  <c r="D79" i="2"/>
  <c r="F29" i="1" s="1"/>
  <c r="L78" i="2"/>
  <c r="J78" i="2"/>
  <c r="D78" i="2"/>
  <c r="L77" i="2"/>
  <c r="J77" i="2"/>
  <c r="D77" i="2"/>
  <c r="L76" i="2"/>
  <c r="N28" i="1" s="1"/>
  <c r="J76" i="2"/>
  <c r="L28" i="1" s="1"/>
  <c r="D76" i="2"/>
  <c r="F28" i="1" s="1"/>
  <c r="L75" i="2"/>
  <c r="J75" i="2"/>
  <c r="D75" i="2"/>
  <c r="L74" i="2"/>
  <c r="J74" i="2"/>
  <c r="D74" i="2"/>
  <c r="L73" i="2"/>
  <c r="J73" i="2"/>
  <c r="D73" i="2"/>
  <c r="L72" i="2"/>
  <c r="J72" i="2"/>
  <c r="D72" i="2"/>
  <c r="L71" i="2"/>
  <c r="N27" i="1" s="1"/>
  <c r="J71" i="2"/>
  <c r="L27" i="1" s="1"/>
  <c r="D71" i="2"/>
  <c r="F27" i="1" s="1"/>
  <c r="L70" i="2"/>
  <c r="J70" i="2"/>
  <c r="D70" i="2"/>
  <c r="L69" i="2"/>
  <c r="J69" i="2"/>
  <c r="D69" i="2"/>
  <c r="L68" i="2"/>
  <c r="J68" i="2"/>
  <c r="D68" i="2"/>
  <c r="L67" i="2"/>
  <c r="J67" i="2"/>
  <c r="D67" i="2"/>
  <c r="L66" i="2"/>
  <c r="N26" i="1" s="1"/>
  <c r="J66" i="2"/>
  <c r="L26" i="1" s="1"/>
  <c r="D66" i="2"/>
  <c r="F26" i="1" s="1"/>
  <c r="L65" i="2"/>
  <c r="J65" i="2"/>
  <c r="D65" i="2"/>
  <c r="L64" i="2"/>
  <c r="J64" i="2"/>
  <c r="D64" i="2"/>
  <c r="L63" i="2"/>
  <c r="J63" i="2"/>
  <c r="D63" i="2"/>
  <c r="L62" i="2"/>
  <c r="J62" i="2"/>
  <c r="D62" i="2"/>
  <c r="L61" i="2"/>
  <c r="J61" i="2"/>
  <c r="D61" i="2"/>
  <c r="L60" i="2"/>
  <c r="J60" i="2"/>
  <c r="D60" i="2"/>
  <c r="L59" i="2"/>
  <c r="J59" i="2"/>
  <c r="D59" i="2"/>
  <c r="L58" i="2"/>
  <c r="J58" i="2"/>
  <c r="D58" i="2"/>
  <c r="L57" i="2"/>
  <c r="J57" i="2"/>
  <c r="D57" i="2"/>
  <c r="L56" i="2"/>
  <c r="J56" i="2"/>
  <c r="D56" i="2"/>
  <c r="L55" i="2"/>
  <c r="J55" i="2"/>
  <c r="D55" i="2"/>
  <c r="L54" i="2"/>
  <c r="J54" i="2"/>
  <c r="D54" i="2"/>
  <c r="L53" i="2"/>
  <c r="J53" i="2"/>
  <c r="D53" i="2"/>
  <c r="L52" i="2"/>
  <c r="J52" i="2"/>
  <c r="D52" i="2"/>
  <c r="L51" i="2"/>
  <c r="J51" i="2"/>
  <c r="D51" i="2"/>
  <c r="L50" i="2"/>
  <c r="J50" i="2"/>
  <c r="D50" i="2"/>
  <c r="L49" i="2"/>
  <c r="J49" i="2"/>
  <c r="D49" i="2"/>
  <c r="L48" i="2"/>
  <c r="J48" i="2"/>
  <c r="D48" i="2"/>
  <c r="L47" i="2"/>
  <c r="J47" i="2"/>
  <c r="D47" i="2"/>
  <c r="L46" i="2"/>
  <c r="N25" i="1" s="1"/>
  <c r="J46" i="2"/>
  <c r="L25" i="1" s="1"/>
  <c r="D46" i="2"/>
  <c r="F25" i="1" s="1"/>
  <c r="L45" i="2"/>
  <c r="N24" i="1" s="1"/>
  <c r="J45" i="2"/>
  <c r="L24" i="1" s="1"/>
  <c r="D45" i="2"/>
  <c r="F24" i="1" s="1"/>
  <c r="L44" i="2"/>
  <c r="N23" i="1" s="1"/>
  <c r="J44" i="2"/>
  <c r="L23" i="1" s="1"/>
  <c r="D44" i="2"/>
  <c r="F23" i="1" s="1"/>
  <c r="L43" i="2"/>
  <c r="J43" i="2"/>
  <c r="D43" i="2"/>
  <c r="L42" i="2"/>
  <c r="J42" i="2"/>
  <c r="D42" i="2"/>
  <c r="L41" i="2"/>
  <c r="N22" i="1" s="1"/>
  <c r="J41" i="2"/>
  <c r="L22" i="1" s="1"/>
  <c r="D41" i="2"/>
  <c r="F22" i="1" s="1"/>
  <c r="L40" i="2"/>
  <c r="N21" i="1" s="1"/>
  <c r="J40" i="2"/>
  <c r="L21" i="1" s="1"/>
  <c r="D40" i="2"/>
  <c r="F21" i="1" s="1"/>
  <c r="L39" i="2"/>
  <c r="J39" i="2"/>
  <c r="D39" i="2"/>
  <c r="L38" i="2"/>
  <c r="N20" i="1" s="1"/>
  <c r="J38" i="2"/>
  <c r="L20" i="1" s="1"/>
  <c r="D38" i="2"/>
  <c r="F20" i="1" s="1"/>
  <c r="L37" i="2"/>
  <c r="J37" i="2"/>
  <c r="D37" i="2"/>
  <c r="L36" i="2"/>
  <c r="J36" i="2"/>
  <c r="D36" i="2"/>
  <c r="L35" i="2"/>
  <c r="N19" i="1" s="1"/>
  <c r="J35" i="2"/>
  <c r="L19" i="1" s="1"/>
  <c r="D35" i="2"/>
  <c r="F19" i="1" s="1"/>
  <c r="L34" i="2"/>
  <c r="N18" i="1" s="1"/>
  <c r="J34" i="2"/>
  <c r="L18" i="1" s="1"/>
  <c r="D34" i="2"/>
  <c r="F18" i="1" s="1"/>
  <c r="L33" i="2"/>
  <c r="N17" i="1" s="1"/>
  <c r="J33" i="2"/>
  <c r="L17" i="1" s="1"/>
  <c r="D33" i="2"/>
  <c r="F17" i="1" s="1"/>
  <c r="L32" i="2"/>
  <c r="N16" i="1" s="1"/>
  <c r="J32" i="2"/>
  <c r="L16" i="1" s="1"/>
  <c r="D32" i="2"/>
  <c r="F16" i="1" s="1"/>
  <c r="L31" i="2"/>
  <c r="J31" i="2"/>
  <c r="D31" i="2"/>
  <c r="L30" i="2"/>
  <c r="N15" i="1" s="1"/>
  <c r="J30" i="2"/>
  <c r="L15" i="1" s="1"/>
  <c r="D30" i="2"/>
  <c r="F15" i="1" s="1"/>
  <c r="L29" i="2"/>
  <c r="N14" i="1" s="1"/>
  <c r="J29" i="2"/>
  <c r="L14" i="1" s="1"/>
  <c r="D29" i="2"/>
  <c r="F14" i="1" s="1"/>
  <c r="L28" i="2"/>
  <c r="J28" i="2"/>
  <c r="D28" i="2"/>
  <c r="L27" i="2"/>
  <c r="J27" i="2"/>
  <c r="D27" i="2"/>
  <c r="L26" i="2"/>
  <c r="N13" i="1" s="1"/>
  <c r="J26" i="2"/>
  <c r="L13" i="1" s="1"/>
  <c r="D26" i="2"/>
  <c r="F13" i="1" s="1"/>
  <c r="L25" i="2"/>
  <c r="J25" i="2"/>
  <c r="D25" i="2"/>
  <c r="L24" i="2"/>
  <c r="N12" i="1" s="1"/>
  <c r="J24" i="2"/>
  <c r="L12" i="1" s="1"/>
  <c r="D24" i="2"/>
  <c r="F12" i="1" s="1"/>
  <c r="L23" i="2"/>
  <c r="J23" i="2"/>
  <c r="D23" i="2"/>
  <c r="L22" i="2"/>
  <c r="N11" i="1" s="1"/>
  <c r="J22" i="2"/>
  <c r="L11" i="1" s="1"/>
  <c r="D22" i="2"/>
  <c r="F11" i="1" s="1"/>
  <c r="L21" i="2"/>
  <c r="N10" i="1" s="1"/>
  <c r="J21" i="2"/>
  <c r="L10" i="1" s="1"/>
  <c r="D21" i="2"/>
  <c r="F10" i="1" s="1"/>
  <c r="L20" i="2"/>
  <c r="J20" i="2"/>
  <c r="D20" i="2"/>
  <c r="L19" i="2"/>
  <c r="J19" i="2"/>
  <c r="D19" i="2"/>
  <c r="L18" i="2"/>
  <c r="N9" i="1" s="1"/>
  <c r="J18" i="2"/>
  <c r="L9" i="1" s="1"/>
  <c r="D18" i="2"/>
  <c r="F9" i="1" s="1"/>
  <c r="L17" i="2"/>
  <c r="J17" i="2"/>
  <c r="D17" i="2"/>
  <c r="L16" i="2"/>
  <c r="N8" i="1" s="1"/>
  <c r="J16" i="2"/>
  <c r="L8" i="1" s="1"/>
  <c r="D16" i="2"/>
  <c r="F8" i="1" s="1"/>
  <c r="L15" i="2"/>
  <c r="J15" i="2"/>
  <c r="D15" i="2"/>
  <c r="L14" i="2"/>
  <c r="N7" i="1" s="1"/>
  <c r="J14" i="2"/>
  <c r="L7" i="1" s="1"/>
  <c r="D14" i="2"/>
  <c r="F7" i="1" s="1"/>
  <c r="L13" i="2"/>
  <c r="N6" i="1" s="1"/>
  <c r="J13" i="2"/>
  <c r="L6" i="1" s="1"/>
  <c r="D13" i="2"/>
  <c r="F6" i="1" s="1"/>
  <c r="L12" i="2"/>
  <c r="J12" i="2"/>
  <c r="D12" i="2"/>
  <c r="L11" i="2"/>
  <c r="J11" i="2"/>
  <c r="D11" i="2"/>
  <c r="L10" i="2"/>
  <c r="J10" i="2"/>
  <c r="D10" i="2"/>
  <c r="L9" i="2"/>
  <c r="J9" i="2"/>
  <c r="D9" i="2"/>
  <c r="L8" i="2"/>
  <c r="J8" i="2"/>
  <c r="D8" i="2"/>
  <c r="L7" i="2"/>
  <c r="J7" i="2"/>
  <c r="D7" i="2"/>
  <c r="L6" i="2"/>
  <c r="N5" i="1" s="1"/>
  <c r="J6" i="2"/>
  <c r="L5" i="1" s="1"/>
  <c r="D6" i="2"/>
  <c r="F5" i="1" s="1"/>
  <c r="L5" i="2"/>
  <c r="N4" i="1" s="1"/>
  <c r="J5" i="2"/>
  <c r="L4" i="1" s="1"/>
  <c r="D5" i="2"/>
  <c r="F4" i="1" s="1"/>
  <c r="L4" i="2"/>
  <c r="N3" i="1" s="1"/>
  <c r="J4" i="2"/>
  <c r="L3" i="1" s="1"/>
  <c r="D4" i="2"/>
  <c r="F3" i="1" s="1"/>
  <c r="L3" i="2"/>
  <c r="J3" i="2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tc={2DE3B4F7-4922-4C44-A719-68EFA2F366E2}</author>
  </authors>
  <commentList>
    <comment ref="B22" authorId="0" shapeId="0" xr:uid="{2DE3B4F7-4922-4C44-A719-68EFA2F366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tc={67561CA0-7B73-4B3D-BDA5-3C396CF29FC4}</author>
  </authors>
  <commentList>
    <comment ref="B41" authorId="0" shapeId="0" xr:uid="{67561CA0-7B73-4B3D-BDA5-3C396CF29F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tc={D31A199F-0D19-4615-BC23-6E75B924B3BA}</author>
    <author>tc={177B8328-ED25-490C-BC70-9029B1C7C356}</author>
    <author>tc={8F00FF0E-6AC5-438E-ADBC-F30F5E5B36EB}</author>
    <author>tc={D5868AAA-7606-4274-97DA-5165C78A0FAA}</author>
    <author>tc={7D01E9A3-66BD-47DF-A520-886226077894}</author>
    <author>tc={FF6C868E-772C-4A09-BFE7-D55629450E13}</author>
    <author>tc={E3D913FC-810F-4A89-A5DF-7953F160D5B9}</author>
    <author>tc={756B53CC-82A8-4D13-98A7-3CCDB0CECDC5}</author>
  </authors>
  <commentList>
    <comment ref="B23" authorId="0" shapeId="0" xr:uid="{D31A199F-0D19-4615-BC23-6E75B924B3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  <comment ref="D29" authorId="1" shapeId="0" xr:uid="{177B8328-ED25-490C-BC70-9029B1C7C3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D31" authorId="2" shapeId="0" xr:uid="{8F00FF0E-6AC5-438E-ADBC-F30F5E5B3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D32" authorId="3" shapeId="0" xr:uid="{D5868AAA-7606-4274-97DA-5165C78A0F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D35" authorId="4" shapeId="0" xr:uid="{7D01E9A3-66BD-47DF-A520-8862260778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G35" authorId="5" shapeId="0" xr:uid="{FF6C868E-772C-4A09-BFE7-D55629450E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M35" authorId="6" shapeId="0" xr:uid="{E3D913FC-810F-4A89-A5DF-7953F160D5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  <comment ref="P35" authorId="7" shapeId="0" xr:uid="{756B53CC-82A8-4D13-98A7-3CCDB0CEC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Balanço orçamentário não possui esse dado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<sst xmlns="http://schemas.openxmlformats.org/spreadsheetml/2006/main" count="1754" uniqueCount="705">
  <si>
    <t>ID</t>
  </si>
  <si>
    <t>Nome</t>
  </si>
  <si>
    <t>CNPJ</t>
  </si>
  <si>
    <t>Estado</t>
  </si>
  <si>
    <t>Região</t>
  </si>
  <si>
    <t>Idade</t>
  </si>
  <si>
    <t>População atendida</t>
  </si>
  <si>
    <t>Número de municípios consorciados</t>
  </si>
  <si>
    <t>Localização</t>
  </si>
  <si>
    <t xml:space="preserve">Quantidade de áreas de atuação </t>
  </si>
  <si>
    <t>Índice Firjan</t>
  </si>
  <si>
    <t>Saneamento Básico Censo 2022</t>
  </si>
  <si>
    <r>
      <t xml:space="preserve">Gasto </t>
    </r>
    <r>
      <rPr>
        <b/>
        <i/>
        <sz val="11"/>
        <color theme="1"/>
        <rFont val="Calibri"/>
        <family val="2"/>
      </rPr>
      <t>per capita</t>
    </r>
  </si>
  <si>
    <t>Covid</t>
  </si>
  <si>
    <t>Despesa com pessoal/Despesa Total</t>
  </si>
  <si>
    <t>Conexão a rede de esgoto (percentual)</t>
  </si>
  <si>
    <t>Abastecimento de água pela rede geral (percentual)</t>
  </si>
  <si>
    <t>Coleta de lixo (percentual)</t>
  </si>
  <si>
    <t>Consórcio Público da Região Polo Sul - CIM POLO SUL</t>
  </si>
  <si>
    <t>02.722.566/0001-52</t>
  </si>
  <si>
    <t>Espirito Santo</t>
  </si>
  <si>
    <t>Sudeste</t>
  </si>
  <si>
    <t>Consórcio Público Intermunicipal de Saúde do Alto Paranaíba - CISALP</t>
  </si>
  <si>
    <t>02.319.394/0001-70</t>
  </si>
  <si>
    <t>Minas Gerais</t>
  </si>
  <si>
    <t>Consórcio Intermunicipal de Saúde da Mata Leste CISLESTE</t>
  </si>
  <si>
    <t>00.738.236/0001-20</t>
  </si>
  <si>
    <t>Consórcio Intermunicipal de Saúde da Microrregião de Viçosa CISMIV</t>
  </si>
  <si>
    <t>02.326.365/0001-36</t>
  </si>
  <si>
    <t>Consórcio Intermunicipal de Saúde do Alto das Vertentes - CISALV</t>
  </si>
  <si>
    <t>02.334.933/0001-40</t>
  </si>
  <si>
    <t>Consorcio Intermunicipal de Especialidades - CIESP</t>
  </si>
  <si>
    <t>07.356.999/0001-55</t>
  </si>
  <si>
    <t>Consórcio Público Intermunicipal de Saúde do Triângulo Mineiro CISTM</t>
  </si>
  <si>
    <t>18.151.467/0001-06</t>
  </si>
  <si>
    <t>Consórcio Intermunicipal de Saúde da Rede de Urgência e Emergência da Região Ampliada do Noroeste CISREUNO</t>
  </si>
  <si>
    <t>20.433.216/0001-58</t>
  </si>
  <si>
    <t>Consórcio Intermunicipal Multifinalitário do Vale de Paraibuna - CIMPAR</t>
  </si>
  <si>
    <t>21.565.740/0001-45</t>
  </si>
  <si>
    <t>Consórcio Intermunicipal de Saúde do Médio Espinhaço CISAME</t>
  </si>
  <si>
    <t>31.974.558/0001-00</t>
  </si>
  <si>
    <t xml:space="preserve">Consórcio Intermunicipal de Saúde do Sistema Microrregional de Saúde de São Lourenço Cis Circuito das Águas </t>
  </si>
  <si>
    <t>71.203.715/0001-90</t>
  </si>
  <si>
    <t>Consórcio Intermunicipal de Desenvolvimento da Região Leste Fluminense - CONLESTE</t>
  </si>
  <si>
    <t>08.932.750/0001-03</t>
  </si>
  <si>
    <t>Rio de Janeiro</t>
  </si>
  <si>
    <t>Consórcio Intermunicipal de Serviços da Nova Alta Paulista - CISNAP</t>
  </si>
  <si>
    <t>02.655.907/0001-14</t>
  </si>
  <si>
    <t>São Paulo</t>
  </si>
  <si>
    <t>Consórcio Público Intermunicipal de Saúde da Região de Jales - CONSIRJ</t>
  </si>
  <si>
    <t>04.685.273/0001-78</t>
  </si>
  <si>
    <t>Consórcio Intermunicipal Serra da Mantiqueira - CISMA</t>
  </si>
  <si>
    <t>04.894.776/0001-53</t>
  </si>
  <si>
    <t>Consórcio Intermunicipal do Vale do Paranapanema: Saúde - CIVAP SAÚDE</t>
  </si>
  <si>
    <t>04.903.422/0001-28</t>
  </si>
  <si>
    <t>Consórcio Intermunicipal de Saúde 8 de Abril - CON8</t>
  </si>
  <si>
    <t>08.996.378/0001-07</t>
  </si>
  <si>
    <t>Consórcio Intermunicipal da Região Oeste Metropolitana de São Paulo - CIOESTE</t>
  </si>
  <si>
    <t>20.301.484/0001-16</t>
  </si>
  <si>
    <t>Consórcio Público Intermunicipal de Saúde da Região de Catanduva - CONSIRC</t>
  </si>
  <si>
    <t>25.103.884/0001-30</t>
  </si>
  <si>
    <t>Consórcio Intermunicipal do Centro do Estado de Sao Paulo - Cicesp - CICESP</t>
  </si>
  <si>
    <t>36.580.300/0001-34</t>
  </si>
  <si>
    <t>Consórcio Público da Região Noroeste - CIM NOROESTE</t>
  </si>
  <si>
    <t>02.236.721/0001-20</t>
  </si>
  <si>
    <t>Espírito Santo</t>
  </si>
  <si>
    <t>Consórcio Público da Região Sudoeste Serrana - CIM PEDRA AZUL</t>
  </si>
  <si>
    <t>02.760.004/0001-01</t>
  </si>
  <si>
    <t>Consórcio Público da Região Expandida Sul - CIM EXPANDIDA SUL</t>
  </si>
  <si>
    <t>03.657.784/0001-13</t>
  </si>
  <si>
    <t>Consórcio Intermunicipal de Saúde da Região do Vale do Itapecerica - CISVI</t>
  </si>
  <si>
    <t>00.639.952/0001-50</t>
  </si>
  <si>
    <t>Consórcio Intermunicipal de Saúde do Alto Jequitinhonha - CISAJE</t>
  </si>
  <si>
    <t>00.699.767/0001-50</t>
  </si>
  <si>
    <t>Consórcio Intermunicipal de Saúde do Centro Leste - CISCEL</t>
  </si>
  <si>
    <t>01.921.228/0001-87</t>
  </si>
  <si>
    <t>Consórcio Intermunicipal de Saúde dos Municípios da Região dos Lagos do Sul de Minas - CISLAGOS</t>
  </si>
  <si>
    <t>01.243.423/0001-03</t>
  </si>
  <si>
    <t>Consórcio Intermunicipal de Saúde das Vertentes - CISVER</t>
  </si>
  <si>
    <t>01.098.929/0001-68</t>
  </si>
  <si>
    <t>Consórcio Intermunicipal de Saúde Verde - CISVERDE</t>
  </si>
  <si>
    <t>02.034.350/0001-02</t>
  </si>
  <si>
    <t>Consórcio Intermunicipal de Saúde dos Municípios da Microrregião do Alto Sapucaí - CISMAS</t>
  </si>
  <si>
    <t>01.111.142/0001-99</t>
  </si>
  <si>
    <t>Agência de Cooperação Intermunicipal em Saúde Pé da Serra - ACISPES</t>
  </si>
  <si>
    <t>01.203.485/0001-83</t>
  </si>
  <si>
    <t>Consórcio Público Intermunicipal de Saúde do Norte e Noroeste Fluminense - CISNOVO</t>
  </si>
  <si>
    <t>27.927.406/0001-70</t>
  </si>
  <si>
    <t>Consórcio Intermunicipal de Saúde da Região Serrana - CIS-SERRA</t>
  </si>
  <si>
    <t>07.015.626/0001-10</t>
  </si>
  <si>
    <t>Consórcio Público Intermunicipal de Saúde da Região dos Grandes Lagos - CONSAGRA</t>
  </si>
  <si>
    <t>00.973.293/0001-93</t>
  </si>
  <si>
    <t>Consórcio Intermunicipal do Extremo Noroeste de São Paulo - CIENSP</t>
  </si>
  <si>
    <t>07.309.266/0001-60</t>
  </si>
  <si>
    <t>Consórcio Intermunicipal de Saúde - CIMSA</t>
  </si>
  <si>
    <t>03.714.880/0001-56</t>
  </si>
  <si>
    <t>Consórcio Intermunicipal de Saúde da Microrregião de Penápolis - CIMPE</t>
  </si>
  <si>
    <t>55.750.301/0001-24</t>
  </si>
  <si>
    <t>Consórcio Regional Intermunicipal de Saúde - CRIS</t>
  </si>
  <si>
    <t>07.833.463/0001-83</t>
  </si>
  <si>
    <t>Consórcio de Desenvolvimento do Vale do Rio Grande - CODEVAR</t>
  </si>
  <si>
    <t>23.816.422/0001-35</t>
  </si>
  <si>
    <t>Consórcio Intermunicipal de Saúde do Circuito das Águas - CONISCA</t>
  </si>
  <si>
    <t>06.138.766/0001-13</t>
  </si>
  <si>
    <t>Consórcio Intermunicipal de Saúde da Região Metropolitana de Campinas - CISMETRO</t>
  </si>
  <si>
    <t>19.947.645/0001-64</t>
  </si>
  <si>
    <t>União dos Municípios da Média Sorocabana - UMMES</t>
  </si>
  <si>
    <t>01.488.169/0001-03</t>
  </si>
  <si>
    <t>Consórcio Intermunicipal do Alto Vale do Paranapanema - AMVAPA</t>
  </si>
  <si>
    <t>03.753.263/0001-60</t>
  </si>
  <si>
    <t>Consórcio de Desenvolvimento das Regiões Sul e Sudoeste do Estado de São Paulo - CONDERSUL</t>
  </si>
  <si>
    <t>01.089.454/0001-43</t>
  </si>
  <si>
    <t>Consórcio Intermunicipal Três Rios - COINTRI</t>
  </si>
  <si>
    <t>04.611.637/0001-75</t>
  </si>
  <si>
    <t>Consórcio de Desenvolvimento dos Municípios do Alto Tietê - CONDEMAT</t>
  </si>
  <si>
    <t>13.569.532/0001-96</t>
  </si>
  <si>
    <t>Consórcio Intermunicipal Grande Abc - CIGABC</t>
  </si>
  <si>
    <t>58.151.580/0001-06</t>
  </si>
  <si>
    <t>Consórcio Intermunicipal da Região Sudoeste da Grande São Paulo - CONISUD</t>
  </si>
  <si>
    <t>05.031.043/0001-58</t>
  </si>
  <si>
    <t>Consórcio Intermunicipal de Saúde da Região de Fernandópolis - CISARF</t>
  </si>
  <si>
    <t>05.655.308/0001-99</t>
  </si>
  <si>
    <t>Consórcio Público Intermunicipal de Inovacao e Desenvolvimento do Estado de Sao Paulo - CinDesp - CINDESP</t>
  </si>
  <si>
    <t>29.185.021/0001-00</t>
  </si>
  <si>
    <t>Consórcio de Municípios da Região Central - CONCEM</t>
  </si>
  <si>
    <t>45.080.766/0001-61</t>
  </si>
  <si>
    <t>Consórcio Intermunicipal da Região de Saúde de Itapeva - CIRSIT</t>
  </si>
  <si>
    <t>34.909.476/0001-61</t>
  </si>
  <si>
    <t>Consórcio Intermunicipal de Saúde da Rede de Urgência Centro Sul - CISRU</t>
  </si>
  <si>
    <t>11.938.399/0001-72</t>
  </si>
  <si>
    <t>Consórcio Intermunicipal de Saúde Para Gerenciamento da Rede de Urgência e Emergência da Macro Sudeste - CISDESTE</t>
  </si>
  <si>
    <t>17.813.026/0001-51</t>
  </si>
  <si>
    <t>Consórcio Intermunicipal de Saúde da Macrorregião do Sul de Minas - CISSUL</t>
  </si>
  <si>
    <t>13.985.869/0001-84</t>
  </si>
  <si>
    <t>Consórcio Inetmunicipal de Saúde da Baixada Fluminense - CISBAF</t>
  </si>
  <si>
    <t>03.681.070/0001-40</t>
  </si>
  <si>
    <t>Consórcio Intermunicipal de Saúde do Alto Vale do Paraíba - CONSAVAP</t>
  </si>
  <si>
    <t>19.701.130/0001-80</t>
  </si>
  <si>
    <t>Consórcio Intermunicipal de Saúde do Norte do Paraná - CISNOP</t>
  </si>
  <si>
    <t>00.126.737/0001-55</t>
  </si>
  <si>
    <t>Paraná</t>
  </si>
  <si>
    <t>Sul</t>
  </si>
  <si>
    <t>Consórcio Intermunicipal de Saúde - CONIMS</t>
  </si>
  <si>
    <t>00.136.858/0001-88</t>
  </si>
  <si>
    <t>Consórcio Intergestores Paraná Saúde - CIPS</t>
  </si>
  <si>
    <t>03.273.207/0001-28</t>
  </si>
  <si>
    <t>Consórcio Intermunicipal de Saúde do Litoral do Paraná - CISLIPA</t>
  </si>
  <si>
    <t>13.681.884/0001-39</t>
  </si>
  <si>
    <t>Consórcio Intermunicipal de Saúde Cisa Amerios 12º R.S.</t>
  </si>
  <si>
    <t>86.689.023/0001-70</t>
  </si>
  <si>
    <t>Consórcio Intermunicipal do Noroeste do Estado do Rio Grande do Sul - CISA-IJUI</t>
  </si>
  <si>
    <t>02.231.696/0001-92</t>
  </si>
  <si>
    <t>Rio grande do Sul</t>
  </si>
  <si>
    <t>Consórcio Intermunicipal de Saúde das Missões - CISMISSÕES</t>
  </si>
  <si>
    <t>02.264.781/0001-57</t>
  </si>
  <si>
    <t>Consórcio de Saúde Intermunicipal e desenvolvimento Regional - CONSIM</t>
  </si>
  <si>
    <t>08.007.591/0001-30</t>
  </si>
  <si>
    <t>Consórcio Intermunicipal de Saúde do Nordeste de Santa Catarina - CISNORDESTE</t>
  </si>
  <si>
    <t>03.222.337/0001-31</t>
  </si>
  <si>
    <t>Santa Catarina</t>
  </si>
  <si>
    <t>Consórcio Público Intermunicipal de Saúde do Centro Noroeste da Região do Paraná - CISCENOP</t>
  </si>
  <si>
    <t>01.178.931/0001-47</t>
  </si>
  <si>
    <t>Consórcio Intermunicipal de Saúde do Vale do Ivai e Região - CISVIR</t>
  </si>
  <si>
    <t>01.010.042/0001-76</t>
  </si>
  <si>
    <t>Consórcio Público Intermunicipal de Saúde do Norte Pioneiro - CISNORPI</t>
  </si>
  <si>
    <t>00.476.612/0001-55</t>
  </si>
  <si>
    <t>Consórcio Intermunicipal Para o Desenvolvimento Regional do Território Divisa Norte do Paraná - CODREN</t>
  </si>
  <si>
    <t>16.834.978/0001-99</t>
  </si>
  <si>
    <t>Consórcio Público Intermunicipal de Atenção A Sanidade Agropecuária, Desenvolvimento Rural e Urbano Sustentável da Região Central do Estado do Paraná - CID CENTRO</t>
  </si>
  <si>
    <t>11.881.350/0001-20</t>
  </si>
  <si>
    <t>Consórcio Intergestores de Saúde da 5A Região de Saúde do Parana - CIS5RS</t>
  </si>
  <si>
    <t>36.330.988/0001-02</t>
  </si>
  <si>
    <t>Consórcio Intermunicipal de Saúde dos Campos Gerais - CIMSAÚDE</t>
  </si>
  <si>
    <t>03.878.900/0001-24</t>
  </si>
  <si>
    <t>Consórcio Intermunicipal de Saúde da Região Amcespar - CIS AMCESPAR</t>
  </si>
  <si>
    <t> 00.358.098/0001-53</t>
  </si>
  <si>
    <t>Consórcio Intermunicipal de Saúde do Vale do Iguaçu - CISVALI</t>
  </si>
  <si>
    <t>00.956.801/0001-25</t>
  </si>
  <si>
    <t>Consórcio Intermunicipal da Fronteira - CIF</t>
  </si>
  <si>
    <t>10.865.793/0001-65</t>
  </si>
  <si>
    <t>Consórcio Intermunicipal de Saúde Iguaçu - CISI</t>
  </si>
  <si>
    <t>00.879.976/0001-86</t>
  </si>
  <si>
    <t>Consórcio Público da Fronteira Noroeste - COFRON</t>
  </si>
  <si>
    <t>94.188.208/0001-20</t>
  </si>
  <si>
    <t>Rio Grande do Sul</t>
  </si>
  <si>
    <t>Consórcio Intermunicipal de Saúde da Microrregião de São Luiz Gonzaga - COIS</t>
  </si>
  <si>
    <t>93.592.368/0001-77</t>
  </si>
  <si>
    <t>Consórcio Público Intermunicipal Para Assuntos Estratégicos do G8 - CIPAE G8</t>
  </si>
  <si>
    <t>11.884.641/0001-72</t>
  </si>
  <si>
    <t>Consórcio Intermunicipal do Vale do Rio Caí - CISCAÍ</t>
  </si>
  <si>
    <t>07.662.324/0001-34</t>
  </si>
  <si>
    <t>Consórcio Intermunicipal Ci Centro-Sul - CI CENTRO-SUL</t>
  </si>
  <si>
    <t>07.926.117/0001-40</t>
  </si>
  <si>
    <t>Consórcio Intermunicipal de Saúde da Ameosc - CIS AMEOSC</t>
  </si>
  <si>
    <t>02.311.972/0001-22</t>
  </si>
  <si>
    <t>Consórcio Intermunicipal de Saúde do Oeste do Paraná - CISOP</t>
  </si>
  <si>
    <t>00.944.673/0001-08</t>
  </si>
  <si>
    <t>Consórcio Intermunicipal de Saúde do Médio Paranapanema - CISMEPAR</t>
  </si>
  <si>
    <t>00.445.188/0001-81</t>
  </si>
  <si>
    <t>Associação Intermunicipal de Saúde do Centro Oeste do Parana-Assiscop - ASSISCOP</t>
  </si>
  <si>
    <t>02.322.413/0001-18</t>
  </si>
  <si>
    <t>Consórcio Intermunicipal de Desenvolvimento do Pampa Gaúcho - CODEPAMPA</t>
  </si>
  <si>
    <t>23.639.923/0001-93</t>
  </si>
  <si>
    <t>Consórcio Intermunicipal da Rede de Urgência e Emergência do Noroeste do Paraná - CIUENP</t>
  </si>
  <si>
    <t>15.718.459/0001-00</t>
  </si>
  <si>
    <t>Consórcio Público Intermunicipal de Gestão da Amusep - PROAMUSEP</t>
  </si>
  <si>
    <t>17.989.386/0001-09</t>
  </si>
  <si>
    <t>Consórcio Regional de Resíduos Sólidos do Sertão Alagoano - CRERSSAL</t>
  </si>
  <si>
    <t>19.019.626/0001-78</t>
  </si>
  <si>
    <t>Alagoas</t>
  </si>
  <si>
    <t>Nordeste</t>
  </si>
  <si>
    <t>Consórcio Intermunicipal do Agreste Alagoano - CONAGRESTE</t>
  </si>
  <si>
    <t>19.904.298/0001-92</t>
  </si>
  <si>
    <t>Consórcio Público da Saúde da Microrregião de Russas - CPSMR</t>
  </si>
  <si>
    <t>11.487.835/0001-34</t>
  </si>
  <si>
    <t>Ceara</t>
  </si>
  <si>
    <t>Consórcio Público de Saúde da Microrregião Iguatu - CPSMIG</t>
  </si>
  <si>
    <t>14.770.466/0001-80</t>
  </si>
  <si>
    <t>Consórcio Público Intermunicipal do Agreste Pernambucano e Fronteiras - CONIAPE</t>
  </si>
  <si>
    <t>15.091.751/0001-38</t>
  </si>
  <si>
    <t>Pernambuco</t>
  </si>
  <si>
    <t>Consórcio Intermunicipal de Desenvolvimento do Circuito do Diamante da Chapada Diamantina - CIDCD</t>
  </si>
  <si>
    <t>18.810.874/0001-70</t>
  </si>
  <si>
    <t>Bahia</t>
  </si>
  <si>
    <t>Consórcio Público de Desenvolvimento Sustentável do Território de Identidade do Médio Sudoeste da Bahia - CDS DO COTEMESB</t>
  </si>
  <si>
    <t>19.299.110/0001-24</t>
  </si>
  <si>
    <t>Consórcio Público de Saúde Microrregião de Sobral - CPSMS</t>
  </si>
  <si>
    <t>12.208.466/0001-66</t>
  </si>
  <si>
    <t>Ceará</t>
  </si>
  <si>
    <t>Consórcio Público de Saúde da Microrregião de Acaraú - CPSMA</t>
  </si>
  <si>
    <t>11.795.563/0001-30</t>
  </si>
  <si>
    <t>Consórcio Público de Saúde da Microrregião de Canindé - CPSMCA</t>
  </si>
  <si>
    <t>13.179.412/0001-82</t>
  </si>
  <si>
    <t>Consórcio Público de Saúde do Maciço de Baturite - CPSMB</t>
  </si>
  <si>
    <t>11.490.043/0001-19</t>
  </si>
  <si>
    <t>Consórcio Público de Saúde da Microrregião de Juazeiro do Norte - CPSMJN</t>
  </si>
  <si>
    <t>11.436.747/0001-03</t>
  </si>
  <si>
    <t>Consórcio Público de Saúde da Microrregião de Quixadá - CPSMQ</t>
  </si>
  <si>
    <t>14.530.768/0001-81</t>
  </si>
  <si>
    <t>Consórcio Público de Saúde da Região de Maracanaú - Cpsrm - CPSRM</t>
  </si>
  <si>
    <t>12.940.254/0001-79</t>
  </si>
  <si>
    <t>Consórcio Intermunicipal Multimodal - CIM</t>
  </si>
  <si>
    <t>18.562.245/0001-78</t>
  </si>
  <si>
    <t>Maranhão</t>
  </si>
  <si>
    <t>Consórcio Público Intermunicipal de Saúde do Cariri Oriental - CISCOR</t>
  </si>
  <si>
    <t>08.609.617/0001-10</t>
  </si>
  <si>
    <t>Paraíba</t>
  </si>
  <si>
    <t>Consórcio de Integração do Municípios do Pajeú - CIMPAJEÚ</t>
  </si>
  <si>
    <t>08.915.880/0001-38</t>
  </si>
  <si>
    <t>Consórcio Público Para o Desenvolvimento da Região Agreste Meridional de Pernambuco - CODEAM</t>
  </si>
  <si>
    <t>11.274.563/0001-94</t>
  </si>
  <si>
    <t>Consórcio Intermunicipal Portal da Mata Sul - PORTAL SUL CONSORCIO</t>
  </si>
  <si>
    <t>18.538.240/0001-00</t>
  </si>
  <si>
    <t>Consórcio Intermunicipal do Vale do São Francisco - CONIVALES</t>
  </si>
  <si>
    <t>28.715.986/0001-03</t>
  </si>
  <si>
    <t>Sergipe</t>
  </si>
  <si>
    <t>Consórcio dos Municípios Pernambucanos - COMUPE</t>
  </si>
  <si>
    <t>22.824.173/0001-67</t>
  </si>
  <si>
    <t>Consórcio Intermunicipal de Saúde da Região do Garças/Araguaia CISRGA</t>
  </si>
  <si>
    <t>02.575.700/0001-30</t>
  </si>
  <si>
    <t>Mato Grosso</t>
  </si>
  <si>
    <t>Centro-oeste</t>
  </si>
  <si>
    <t>Consórcio Intermunicipal Para o Desenvolvimento Sustentável da Bacia do Rio Taquari COINTA</t>
  </si>
  <si>
    <t>02.104.328/0001-83</t>
  </si>
  <si>
    <t>Mato grosso do Sul</t>
  </si>
  <si>
    <t>Consórcio Nacional de Vacinas das Cidades Brasileiras - CONECTAR</t>
  </si>
  <si>
    <t>41.774.599/0001-06</t>
  </si>
  <si>
    <t>Distrito Federal</t>
  </si>
  <si>
    <t>Consórcio Intermunicipal Para o Desenvolvimento da Costa Leste - CIDECOL</t>
  </si>
  <si>
    <t>22.067.253/0001-15</t>
  </si>
  <si>
    <t>Mato Grosso do Sul</t>
  </si>
  <si>
    <t>Consórcio Intermunicipal de Saúde da Região do Alto Tapajós - CISRAT</t>
  </si>
  <si>
    <t>02.228.364/0001-59</t>
  </si>
  <si>
    <t>Consórcio Intermunicipal de Saúde da Região Norte Matogrossense - CISRNM</t>
  </si>
  <si>
    <t>02.056.667/0001-31</t>
  </si>
  <si>
    <t>Consórcio Público de Saúde Vale do Teles Pires - CONSÓRCIO VALE DO TELES PIRES</t>
  </si>
  <si>
    <t>23.019.551/0001-00</t>
  </si>
  <si>
    <t>Consórcio Intermunicipal de Saúde da Região Centro-Norte de Mato Grosso - CISCN</t>
  </si>
  <si>
    <t>07.588.711/0001-78</t>
  </si>
  <si>
    <t>Consórcio Intermunicipal de Saúde do Vale do Juruena - CISVJ</t>
  </si>
  <si>
    <t>04.931.808/0001-43</t>
  </si>
  <si>
    <r>
      <t xml:space="preserve">Produção ambulatorial </t>
    </r>
    <r>
      <rPr>
        <b/>
        <i/>
        <sz val="11"/>
        <color theme="1"/>
        <rFont val="Calibri"/>
        <family val="2"/>
      </rPr>
      <t>per capita</t>
    </r>
  </si>
  <si>
    <t>COVID 19</t>
  </si>
  <si>
    <t>Consórcio Público da Região Polinorte - CIM POLINORTE</t>
  </si>
  <si>
    <t>02.618.132/0001-07</t>
  </si>
  <si>
    <t>Consórcio Intermunicipal de Saúde da Microrregião do Vale do Suaçuí CISVAS</t>
  </si>
  <si>
    <t>00.794.962/0001-60</t>
  </si>
  <si>
    <t>Consórcio Intermunicipal de Saúde União da Mata CISUM</t>
  </si>
  <si>
    <t>00.877.406/0001-57</t>
  </si>
  <si>
    <t>Consorcio Intermunicipal de Saúde da Microrregião de Caratinga CIS-MIRECAR</t>
  </si>
  <si>
    <t>00.980.259/0001-46</t>
  </si>
  <si>
    <t>Consórcio Intermunicipal de Saúde Grão Mogol CIS GRÃO MOGOL</t>
  </si>
  <si>
    <t>01.058.207/0001-80</t>
  </si>
  <si>
    <t>Consórcio Intermunicipal de Saúde da Microrregião de Piumhi CINSC</t>
  </si>
  <si>
    <t>01.197.487/0001-07</t>
  </si>
  <si>
    <t>Consórcio Intermunicipal multifinalitário do Médio São Francisco CIMMESF</t>
  </si>
  <si>
    <t>01.275.576/0001-24</t>
  </si>
  <si>
    <t>Consórcio de Saúde e Desenvolvimento dos Vales do Noroeste de Minas CONVALES</t>
  </si>
  <si>
    <t>06.070.075/0001-25</t>
  </si>
  <si>
    <t>Consórcio Intermunicipal de Saúde da Rede de Urgência do Norte de Minas CISRUN</t>
  </si>
  <si>
    <t>11.636.961/0001-03</t>
  </si>
  <si>
    <t>Consórcio Público Intermunicipal de Saúde da Rede de Urgência e Emergência da Macrorregião do Triângulo Norte - CISTRI</t>
  </si>
  <si>
    <t>19.455.924/0001-00</t>
  </si>
  <si>
    <t>Consórcio Intermunicipal de Saúde da Rede de Urgência e Emergência do Leste de Minas CONSURGE</t>
  </si>
  <si>
    <t>20.101.246/0001-67</t>
  </si>
  <si>
    <t>Consórcio Integrado Multifinalitário do Vale do Jequitinhonha CIM JEQUITINHONHA</t>
  </si>
  <si>
    <t>22.835.076/0001-70</t>
  </si>
  <si>
    <t>Consórcio Intermunicipal Multifinalitario do Baixo Sapucai  - CIMBASP</t>
  </si>
  <si>
    <t>46.125.774/0001-40</t>
  </si>
  <si>
    <t>Consórcio Intermunicipal Aliança Para A Saúde - CIAS</t>
  </si>
  <si>
    <t>97.550.393/0001-49</t>
  </si>
  <si>
    <t>Consórcio Intermunicipal de Saúde da Região Médio Paraíba - CISMEPA</t>
  </si>
  <si>
    <t>02.615.925/0001-72</t>
  </si>
  <si>
    <t>Consórcio Intermunicipal de Saúde da Alta Paulista - CISAP</t>
  </si>
  <si>
    <t>02.675.363/0001-52</t>
  </si>
  <si>
    <t>Consórcio Intermunicipal de Saúde do Aquífero Guarani, Vale das Cachoeiras e Horizonte Verde - CIS-AVH</t>
  </si>
  <si>
    <t>17.781.651/0001-69</t>
  </si>
  <si>
    <t>Consórcio Intermunicipal do Oeste Paulista - CIOP</t>
  </si>
  <si>
    <t>18.960.233/0001-00</t>
  </si>
  <si>
    <t>Consórcio Intermunicipal do Noroeste Paulista - CINORP</t>
  </si>
  <si>
    <t>20.834.317/0001-30</t>
  </si>
  <si>
    <t>Consórcio Intermunicipal de Saúde do Vale do Ribeira e Litoral Sul - CONSAÚDE</t>
  </si>
  <si>
    <t>57.740.490/0001-80</t>
  </si>
  <si>
    <t>Consórcio Público da Região Norte do Espírito Santo - CIM NORTE/ES</t>
  </si>
  <si>
    <t>03.008.926/0001-11</t>
  </si>
  <si>
    <t>Consórcio Intermunicipal de Saúde do Alto Médio São Francisco - CISAMSF</t>
  </si>
  <si>
    <t>01.289.973/0001-55</t>
  </si>
  <si>
    <t>Consórcio Intermunicipal de Saúde da Micro Região de Manga - Mg - CISMMA</t>
  </si>
  <si>
    <t>03.869.109/0001-58</t>
  </si>
  <si>
    <t>Consórcio Multifinalitário Intermunicipal de Desenvolvimento Sustentável da Microrregião da Serra Geral de Minas - UNIÃO DA SERRA GERAL</t>
  </si>
  <si>
    <t>12.333.051/0001-14</t>
  </si>
  <si>
    <t>Consórcio Intermunicipal de Saúde do Norte de Minas - CISNORTE</t>
  </si>
  <si>
    <t>00.905.312/0001-44</t>
  </si>
  <si>
    <t>Consórcio Intermunicipal Para o Desenvolvimento Sustentável do Médio Jequitinhonha - CIDSMEJE</t>
  </si>
  <si>
    <t>20.357.048/0001-69</t>
  </si>
  <si>
    <t>Consórcio Infraestrutura e Desenvolvimento de Minas Gerais - INFRAMINAS</t>
  </si>
  <si>
    <t>28.078.941/0001-67</t>
  </si>
  <si>
    <t>Consórcio Intermunicipal de Saúde do Entorno de Salinas - CISNES</t>
  </si>
  <si>
    <t>07.333.598/0001-80</t>
  </si>
  <si>
    <t>Consórcio Intermunicipal de Saúde do Alto Rio Pardo - CISARP</t>
  </si>
  <si>
    <t>01.172.959/0001-77</t>
  </si>
  <si>
    <t>Consórcio Intermunicipal de Saúde da Região de Almenara - CISRAL</t>
  </si>
  <si>
    <t>28.168.515/0001-14</t>
  </si>
  <si>
    <t>Consórcio Intermunicipal Multifinalitário do Baixo Jequitinhonha - CIMBAJE</t>
  </si>
  <si>
    <t>07.306.549/0001-58</t>
  </si>
  <si>
    <t>Consórcio Intermunicipal de Saúde da Microrregião do Médio Jequitinhonha - CISMEJE</t>
  </si>
  <si>
    <t>00.745.932/0001-63</t>
  </si>
  <si>
    <t>Consórcio Intermunicipal de Saúde da Rede de Urgência e Emergência da Macrorregião do Triângulo Sul - CISVALEGRAN</t>
  </si>
  <si>
    <t>09.310.999/0001-40</t>
  </si>
  <si>
    <t>Consórcio Intermunicipal de Saúde da Microrregião de Passos - CISMIP</t>
  </si>
  <si>
    <t>01.208.564/0001-87</t>
  </si>
  <si>
    <t>Consórcio Intermunicipal de Saúde dos Municípios do Lago de Peixoto - CISLAP</t>
  </si>
  <si>
    <t>01.256.507/0001-73</t>
  </si>
  <si>
    <t>Consórcio Intermunicipal de Saúde do Sudoeste Mineiro - CISSM</t>
  </si>
  <si>
    <t>01.257.142/0001-00</t>
  </si>
  <si>
    <t>Consórcio Intermunicipal da Baixa Mogiana - CIMOG</t>
  </si>
  <si>
    <t>32.308.233/0001-42</t>
  </si>
  <si>
    <t>Consórcio Intermunicipal de Saúde da Microrregião do Centro Oeste Mineiro - CISCOM</t>
  </si>
  <si>
    <t>00.931.990/0001-81</t>
  </si>
  <si>
    <t>Consórcio Intermunicipal de Saúde do Alto São Francisco - CISASF</t>
  </si>
  <si>
    <t>64.486.822/0001-07</t>
  </si>
  <si>
    <t>Consórcio Intermunicipal do Médio Rio Doce - CONSARDOCE</t>
  </si>
  <si>
    <t>01.124.788/0001-00</t>
  </si>
  <si>
    <t>Consórcio Intermunicipal de Saúde do Alto Rio Pará - CISPARA</t>
  </si>
  <si>
    <t>01.260.691/0001-25</t>
  </si>
  <si>
    <t>Consórcio Intermunicipal de Saúde da Microrregião de Sete Lagoas - CISMISEL</t>
  </si>
  <si>
    <t>01.202.226/0001-38</t>
  </si>
  <si>
    <t>Consórcio Intermunicipal de Saúde do Médio Rio das Velhas - CISMEV</t>
  </si>
  <si>
    <t>00.995.538/0001-83</t>
  </si>
  <si>
    <t>Consórcio Intermunicipal Multifinalitário Portal do Norte - CISPORTAL</t>
  </si>
  <si>
    <t>01.994.407/0001-44</t>
  </si>
  <si>
    <t>Consórcio Intermunicipal de Saúde e de Políticas de Desenvolvimento da Região do Calcário - CISREC</t>
  </si>
  <si>
    <t>01.272.081/0001-41</t>
  </si>
  <si>
    <t>Consórcio Intermunicipal de Saúde do Centro Nordeste - CIS/CEN</t>
  </si>
  <si>
    <t>00.773.222/0001-47</t>
  </si>
  <si>
    <t>Iniciativa Pública Estratégica e Regional - IPER</t>
  </si>
  <si>
    <t>17.904.158/0001-99</t>
  </si>
  <si>
    <t>Consórcio Intermunicipal de Saúde da Microrregião Norte do Rio Doce - CONSONORTE</t>
  </si>
  <si>
    <t>00.784.548/0001-70</t>
  </si>
  <si>
    <t>Consórcio Intermunicipal Multissetorial do Médio Rio Piracicaba - CONSMEPI</t>
  </si>
  <si>
    <t>21.325.226/0001-32</t>
  </si>
  <si>
    <t>Consórcio Intermunicipal de Saúde do Médio Piracicaba - CISMEPI</t>
  </si>
  <si>
    <t>02.031.332/0001-69</t>
  </si>
  <si>
    <t>Consórcio Intermunicipal de Saúde dos Municípios da Microrregião do Alto Rio Pardo - CISMARPA</t>
  </si>
  <si>
    <t> 01.990.521/0001-04</t>
  </si>
  <si>
    <t>Consórcio Intermunicipal de Saúde da Microrregião Lavras - CISLAV</t>
  </si>
  <si>
    <t>03.735.788/0001-72</t>
  </si>
  <si>
    <t>Consórcio Intermunicipal de Saúde dos Municípios da Microrregião do Alto Rio Grande - CISMARG</t>
  </si>
  <si>
    <t>00.079.634/0001-81</t>
  </si>
  <si>
    <t>Consórcio Público Intermunicipal de Saúde do Alto Paraopeba e Vale do Piranga - CISAP VP</t>
  </si>
  <si>
    <t>02.401.218/0001-83</t>
  </si>
  <si>
    <t>Consórcio Intermunicipal de Saúde da Microrregião de Ponte Nova - CISAMAPI</t>
  </si>
  <si>
    <t>01.095.667/0001-88</t>
  </si>
  <si>
    <t>Consórcio Intermunicipal Multissetorial Entorno do Caparaó - CIS-CAPARAÓ</t>
  </si>
  <si>
    <t>01.999.898/0001-16</t>
  </si>
  <si>
    <t>Consórcio Intermunicipal de Saúde da Microrregião do Vale do Aço - CONSAÚDE</t>
  </si>
  <si>
    <t>00.853.908/0001-48</t>
  </si>
  <si>
    <t>Consórcio Intermunicipal de Saúde dos Vales - CISVALES</t>
  </si>
  <si>
    <t>23.866.705/0001-91</t>
  </si>
  <si>
    <t>Consórcio Intermunicipal de Desenvolvimento Economico e Social dos Municipios do Leste de Minas - CIDES-LESTE</t>
  </si>
  <si>
    <t>12.963.113/0001-71</t>
  </si>
  <si>
    <t/>
  </si>
  <si>
    <t>Consorcio Intermunicipal Multissetorial dos Municipios do Leste de Minas Gerais - Cimleste</t>
  </si>
  <si>
    <t>21.534.350/0001-08</t>
  </si>
  <si>
    <t>Consórcio Intermunicipal de Saúde de Uba e Região - SIMSAÚDE</t>
  </si>
  <si>
    <t>11.592.737/0001-67</t>
  </si>
  <si>
    <t>Consórcio Intermunicipal Multifinalitário do Médio Sapucaí - CIMMES</t>
  </si>
  <si>
    <t>21.564.247/0001-00</t>
  </si>
  <si>
    <t>Associação dos Municípios da Microrregião do Médio Sapucaí - AMESP</t>
  </si>
  <si>
    <t>20.362.307/0001-40</t>
  </si>
  <si>
    <t>Consórcio Intermunicipal de Saúde da Microrregião de Caxambu - CISCAXAMBU</t>
  </si>
  <si>
    <t>00.622.039/0001-40</t>
  </si>
  <si>
    <t>Consórcio Intermunicipal Para Desenvolvimento da Saúde Pública - CODESP</t>
  </si>
  <si>
    <t>12.925.454/0001-52</t>
  </si>
  <si>
    <t>Consórcio de Saúde Pública do Noroeste - CONSPNOR</t>
  </si>
  <si>
    <t>09.528.346/0001-31</t>
  </si>
  <si>
    <t>Consórcio Público Intermunicipal de Desenvolvimento do Norte e Noroeste Fluminense - CIDENNF</t>
  </si>
  <si>
    <t>32.233.059/0001-16</t>
  </si>
  <si>
    <t>Consórcio de Desenvolvimento da Região de Governo de São João da Boa Vista - CONDERG</t>
  </si>
  <si>
    <t>52.356.268/0002-45</t>
  </si>
  <si>
    <t>Consórcio Intermunicipal dos Municípios da Bacia do Juqueri - CIMBAJU</t>
  </si>
  <si>
    <t>96.493.663/0001-64</t>
  </si>
  <si>
    <t>Consórcio Intermunicipal da Saúde da Microrregião do Paranaíba - CIS PARANAÍBA</t>
  </si>
  <si>
    <t>07.346.147/0001-87</t>
  </si>
  <si>
    <t>Consórcio Intermunicipal de Saúde da Microrregião do Alto Rio Verde Grande - CISARVG</t>
  </si>
  <si>
    <t>01.906.088/0001-78</t>
  </si>
  <si>
    <t>Consórcio Intermunicipal de Saúde entre Os Vales do Mucuri e Jequitinhonha - CIS-EVMJ</t>
  </si>
  <si>
    <t>01.014.332/0001-98</t>
  </si>
  <si>
    <t>Consórcio Intermunicipal do Serviço de Inspeção do Centro Oeste Mineiro - CISICOM - CISICOM</t>
  </si>
  <si>
    <t>45.758.212/0001-70</t>
  </si>
  <si>
    <t>Consórcio Intermunicipal de Saúde dos Municípios da Microrregião Médio Sapucaí - CIS AMESP</t>
  </si>
  <si>
    <t>01.080.759/0001-94</t>
  </si>
  <si>
    <t>Consórcio Intermunicipal de Saúde da Rede de Urgência e Emergência Macro Nordeste Jequitinhonha - CISNORJE</t>
  </si>
  <si>
    <t>13.220.150/0001-52</t>
  </si>
  <si>
    <t>Consórcio Intermunicipal de Saúde da Região Ampliada Oeste Para Gerenciamento dos Serviços de Urgência e Emergência Cis-Urg Oeste - CIS URG OESTE</t>
  </si>
  <si>
    <t>20.059.618/0001-34</t>
  </si>
  <si>
    <t>Consórcio Regional de Saúde de Serviço de Atendimento Móvel de Urgência - CRESAMU</t>
  </si>
  <si>
    <t>13.398.747/0001-91</t>
  </si>
  <si>
    <t>Associação Regional de Saúde do Sudoeste - ARSS</t>
  </si>
  <si>
    <t>00.333.678/0001-96</t>
  </si>
  <si>
    <t>Consórcio Intermunicipal de Saúde da Comunidade dos Municípios da Região de Campo Mourão - CISCOMCAM</t>
  </si>
  <si>
    <t>95.640.322/0001-01</t>
  </si>
  <si>
    <t>Consórcio Intermunicipal de Saúde - CONISA</t>
  </si>
  <si>
    <t>01.987.787/0001-90</t>
  </si>
  <si>
    <t>Consórcio Público da Associação dos Municípios do Litoral Norte - CP AMLINORTE</t>
  </si>
  <si>
    <t>03.043.185/0001-00</t>
  </si>
  <si>
    <t>Consórcio Intermunicipal do Vale do Jacuí - CI/JACUI</t>
  </si>
  <si>
    <t>06.205.888/0001-85</t>
  </si>
  <si>
    <t>Consórcio Intermunicipal de Serviços do Vale do Taquari - CONSISA</t>
  </si>
  <si>
    <t>07.242.772/0001-89</t>
  </si>
  <si>
    <t>Consórcio Intermunicipal da Região NorDeste do Rio Grande do Sul - CIRENOR</t>
  </si>
  <si>
    <t>15.344.304/0001-43</t>
  </si>
  <si>
    <t>Consórcio Público da Associação dos Municípios do Vale do Rio dos Sinos - CPSINOS</t>
  </si>
  <si>
    <t>26.646.188/0001-33</t>
  </si>
  <si>
    <t>Consórcio Intermunicipal da Região do Planalto Médio - CIPLAM</t>
  </si>
  <si>
    <t>28.976.123/0001-81</t>
  </si>
  <si>
    <t>Consórcio Intermunicipal de Saúde do Oeste de Santa Catarina - CISAMOSC</t>
  </si>
  <si>
    <t>01.336.261/0001-40</t>
  </si>
  <si>
    <t>Consórcio Intermunicipal de Saúde da Região do Contestado - CISAMURC</t>
  </si>
  <si>
    <t>03.887.256/0001-50</t>
  </si>
  <si>
    <t>Consórcio Intermunicipal de Saúde da Região da Foz do Rio Itajai - CIS-AMFRI</t>
  </si>
  <si>
    <t>07.510.376/0001-95</t>
  </si>
  <si>
    <t>Consórcio Intermunicipal de Saúde e Multifinalitário dos Municípios da Amavi - CIS-AMAVI</t>
  </si>
  <si>
    <t>09.069.217/0001-22</t>
  </si>
  <si>
    <t>Consórcio Intermunicipal de Saúde da Região da Amrec - CISAMREC</t>
  </si>
  <si>
    <t>13.791.885/0001-36</t>
  </si>
  <si>
    <t>Consórcio Intermunicipal de Saúde /AMUNPAR - CIS/AMUNPAR</t>
  </si>
  <si>
    <t>73.966.913/0001-30</t>
  </si>
  <si>
    <t>Consórcio Intermunicipal de Saúde do Vale Paranapanema - CISVAP</t>
  </si>
  <si>
    <t>86.763.828/0001-17</t>
  </si>
  <si>
    <t>Consórcio Público Intermunicipal de Saúde do Setentrião Paranaense - CISAMUSEP</t>
  </si>
  <si>
    <t>04.956.153/0001-68</t>
  </si>
  <si>
    <t>Consórcio Intermunicipal Para o Desenvolvimento do Território Regional da Bacia do Paranapanema - G5</t>
  </si>
  <si>
    <t>12.731.728/0001-72</t>
  </si>
  <si>
    <t>Consórcio Intermunicipal Para o Desenvolvimento do Território do Vale do Rio Cinzas - CIVARC</t>
  </si>
  <si>
    <t>08.976.528/0001-02</t>
  </si>
  <si>
    <t>Consórcio Intermunicipal de Saúde da Vigésima Segunda Regional de Ivaiporã - CIS IVAIPORA</t>
  </si>
  <si>
    <t>02.586.019/0001-97</t>
  </si>
  <si>
    <t>Consórcio Intermunicipal de Saúde Paraná Centro - CIS PARANÁ CENTRO</t>
  </si>
  <si>
    <t>14.810.317/0001-06</t>
  </si>
  <si>
    <t>Consórcio Intermunicipal de Saúde da Região do Centro Oeste do Paraná - CIS CENTRO OESTE</t>
  </si>
  <si>
    <t>03.601.519/0001-13</t>
  </si>
  <si>
    <t>Consórcio Metropolitano de Saúde do Paraná - COMESP</t>
  </si>
  <si>
    <t>08.061.295/0001-18</t>
  </si>
  <si>
    <t>Consórcio Intermunicipal do Médio Alto Uruguai - CIMAU</t>
  </si>
  <si>
    <t>02.493.318/0001-87</t>
  </si>
  <si>
    <t>Consórcio de Desenvolvimento dos Municípios do Norte do Rio Grande do Sul - Comunors - COMUNORS</t>
  </si>
  <si>
    <t>42.786.868/0001-09</t>
  </si>
  <si>
    <t>Consórcio de Desenvolvimento Intermunicipal dos Municípios do Alto Jacuí e Alto da Serra do Botucaraí - COMAJA</t>
  </si>
  <si>
    <t>03.656.200/0001-95</t>
  </si>
  <si>
    <t>Consórcio Intermunicipal da Região Centro do Rio Grande do Sul (Público) - CI-CENTRO</t>
  </si>
  <si>
    <t>94.446.804/0001-62</t>
  </si>
  <si>
    <t>Consórcio Intermunicpal de Serviços do Vale do Rio Pardo - CISVALE</t>
  </si>
  <si>
    <t>07.664.821/0001-71</t>
  </si>
  <si>
    <t>Consórcio Intermunicipal de Infraestrutura Rodoviaria Urbana e Rural - Cidirur - CIDIRUR</t>
  </si>
  <si>
    <t>30.926.649/0001-07</t>
  </si>
  <si>
    <t>Consórcio Público do Extremo Sul - COPES</t>
  </si>
  <si>
    <t>11.312.086/0001-04</t>
  </si>
  <si>
    <t>Consórcio Público Intermunicipal de Desenvolvimento Econômico, Social e Ambiental da Bacia do Rio Jaguarão - CIDEJA</t>
  </si>
  <si>
    <t>12.028.813/0001-79</t>
  </si>
  <si>
    <t>Consórcio Intermunicipal de Desenvolvimento Sustentável da Serra Gaúcha - CISGA</t>
  </si>
  <si>
    <t>14.662.467/0001-01</t>
  </si>
  <si>
    <t>Consórcio da Região do Rio Sargento de Integração Municipal - CRESIM</t>
  </si>
  <si>
    <t>23.279.570/0001-68</t>
  </si>
  <si>
    <t>Consórcio Intermunicipal de Saúde da Amerios - CISAMERIOS</t>
  </si>
  <si>
    <t>01.201.427/0001-10</t>
  </si>
  <si>
    <t>Consórcio Intermunicipal Velho Coronel - CVC</t>
  </si>
  <si>
    <t>14.688.861/0001-19</t>
  </si>
  <si>
    <t>Consórcio Intermunicipal de Saúde do Alto Vale do Rio do Peixe - CISAMARP</t>
  </si>
  <si>
    <t>11.023.771/0001-10</t>
  </si>
  <si>
    <t>Consórcio Intermunicipal de Saúde da Região da Grande Florianópolis - CIS-GRANFPOLIS</t>
  </si>
  <si>
    <t>42.499.226/0001-29</t>
  </si>
  <si>
    <t>Consórcio Intermunicipal de Saúde da Amurel - CISAMUREL</t>
  </si>
  <si>
    <t>02.715.882/0001-05</t>
  </si>
  <si>
    <t>Consórcio Intermunicipal Multifinalitario dos Municipios da Amurel - CIM-AMUREL</t>
  </si>
  <si>
    <t>28.692.509/0001-61</t>
  </si>
  <si>
    <t>Consórcio Intermunicipal de Saúde da Associação dos Municípios do Extremo Sul de Santa Catarina - CISAMESC</t>
  </si>
  <si>
    <t>01.356.308/0001-37</t>
  </si>
  <si>
    <t>Consórcio Intermunicipal de Assistencia Social e Saúde - CIASS</t>
  </si>
  <si>
    <t>21.938.445/0001-97</t>
  </si>
  <si>
    <t>Consórcio Intermunicipal de Saúde Costa Oeste do Paraná - CISCOPAR</t>
  </si>
  <si>
    <t>73.449.977/0001-64</t>
  </si>
  <si>
    <t>Consórcio Intermunicipal de Saúde Guarapuava Pinhão e Turvo - CISGAP</t>
  </si>
  <si>
    <t>07.540.117/0001-07</t>
  </si>
  <si>
    <t>Consórcio Intermunicipal de Saúde do Grande Sarandi - CISGS</t>
  </si>
  <si>
    <t>04.828.326/0001-62</t>
  </si>
  <si>
    <t>Consórcio Intermunicipal de Saúde do Alto Uruguai Catarinense - CISAMAUC</t>
  </si>
  <si>
    <t>07.654.807/0001-97</t>
  </si>
  <si>
    <t>Consórcio Intermunicipal de Saúde da Microrregião da Amures - CIS-AMURES</t>
  </si>
  <si>
    <t>07.383.800/0001-88</t>
  </si>
  <si>
    <t>Consórcio Intermunicipal de Atenção Psicossocial - CIAPS</t>
  </si>
  <si>
    <t>21.568.943/0001-95</t>
  </si>
  <si>
    <t>Consórcio Intermunicipal Samu Oeste - CONSAMU</t>
  </si>
  <si>
    <t>17.420.047/0001-07</t>
  </si>
  <si>
    <t>xxxx</t>
  </si>
  <si>
    <t>Consórcio Intermunicipal Samu Campos Gerais - Cimsamu - CIMSAMU</t>
  </si>
  <si>
    <t>30.462.323/0001-68</t>
  </si>
  <si>
    <t>Consórcio Intermunicipal da Rede de Urgência e Emergência do Noroeste do Paraná - CIRUSPAR</t>
  </si>
  <si>
    <t>14.896.759/0001-09</t>
  </si>
  <si>
    <t>Consórcio Público de Desenvolvimento Sustentável do Território Portal do Sertão - Portal do Sertão</t>
  </si>
  <si>
    <t>11.786.798/0001-65</t>
  </si>
  <si>
    <t>Consórcio Público Interfederativo de Saúde de Senhor do Bonfim - CISSB</t>
  </si>
  <si>
    <t>32.077.528/0001-55</t>
  </si>
  <si>
    <t>Consórcio Público de Saúde da Microrregião de Limoeiro do Norte - CPSMLN</t>
  </si>
  <si>
    <t>13.328.683/0001-52</t>
  </si>
  <si>
    <t>Consórcio Intermunicipal de Saúde dos Municípios da Microrregião do Serido Oriental  - CIS/AMSO</t>
  </si>
  <si>
    <t>12.397.803/0001-00</t>
  </si>
  <si>
    <t>Consórcio Intermunicipal do Sul do Estado de Alagoas - CONISUL</t>
  </si>
  <si>
    <t>18.538.208/0001-24</t>
  </si>
  <si>
    <t>Consórcio Interfederativo de Saúde Região Barreiras e Ibotirama - CONSOB</t>
  </si>
  <si>
    <t>33.177.475/0001-07</t>
  </si>
  <si>
    <t>Consórcio Público Interfederativo da Saúde da Região do Alto Sertão - CIS ALTO SERTÃO</t>
  </si>
  <si>
    <t>27.024.544/0001-40</t>
  </si>
  <si>
    <t>Consórcio Intermunicipal Bacia do Rio Corrente - CIBARC</t>
  </si>
  <si>
    <t>15.122.475/0001-28</t>
  </si>
  <si>
    <t>Consórcio Intermunicipal do Vale do Rio Gavião - CIVALERG</t>
  </si>
  <si>
    <t>18.694.089/0001-07</t>
  </si>
  <si>
    <t>Consórcio Interfederativo de Saúde da Região de Jequié - CISRJ</t>
  </si>
  <si>
    <t>26.037.369/0001-62</t>
  </si>
  <si>
    <t>Consórcio Público Interfederativo de Saúde da Região de Vitoria da Conquista/Itapetinga - CISVITA</t>
  </si>
  <si>
    <t>31.550.540/0001-72</t>
  </si>
  <si>
    <t>Consórcio Público Interfederativo de Saúde do Extremo Sul da Bahia - CONSAUDE</t>
  </si>
  <si>
    <t>26.042.718/0001-34</t>
  </si>
  <si>
    <t>Consórcio Público Interfederativo de Saúde da Região do Baixo Sul - BAIXO SUL</t>
  </si>
  <si>
    <t>29.707.393/0001-50</t>
  </si>
  <si>
    <t>Consórcio Público Interfederativo de Saúde da Região do Metrô Recôncavo Norte - Mrn - MRN</t>
  </si>
  <si>
    <t>30.390.856/0001-81</t>
  </si>
  <si>
    <t>Consorcio de Desenvolvimento Sustentável do Território do Litoral Norte e Agreste Baiano - CDS DO TERRITORIO DO LITORAL NORTE E AGRESTE BAIANO</t>
  </si>
  <si>
    <t>20.682.667/0001-29</t>
  </si>
  <si>
    <t>Consórcio Público Interfederativo de Saúde Região da Região de Feira de Santana - PORTAL DO SERTÃO</t>
  </si>
  <si>
    <t>29.664.289/0001-25</t>
  </si>
  <si>
    <t>Consórcio Público Interfederativo de Saúde da Região de Serrinha - CONPIS</t>
  </si>
  <si>
    <t>38.247.590/0001-24</t>
  </si>
  <si>
    <t>Consórcio Público Interfederativo de Saúde Piemonte da Chapada Norte - CONSAN</t>
  </si>
  <si>
    <t>32.104.619/0001-32</t>
  </si>
  <si>
    <t>Consórcio Público Interfederativo de Saúde da Região de Paulo Afonso - CISRP</t>
  </si>
  <si>
    <t>31.469.764/0001-54</t>
  </si>
  <si>
    <t>Consórcio Público Interfederativo de Saúde da Região de Juazeiro - CPISRJ</t>
  </si>
  <si>
    <t>32.090.677/0001-54</t>
  </si>
  <si>
    <t>Consórcio Público de Saúde da Microrregião de Camocim - CPSMCAM</t>
  </si>
  <si>
    <t>12.609.221/0001-40</t>
  </si>
  <si>
    <t>Consórcio Público de Saúde da Ibiapaba - CPSI</t>
  </si>
  <si>
    <t>11.210.107/0001-80</t>
  </si>
  <si>
    <t>Consórcio Público de Saúde da Microrregião de Itapipoca - CPSMIT</t>
  </si>
  <si>
    <t>12.939.977/0001-58</t>
  </si>
  <si>
    <t>Consórcio de Desenvolvimento do Sertão Central Sul - CODESSUL</t>
  </si>
  <si>
    <t>08.873.411/0001-01</t>
  </si>
  <si>
    <t>Consórcio Público de Saúde Interfederativo do Vale do Curu - CISVALE</t>
  </si>
  <si>
    <t>12.768.835/0001-75</t>
  </si>
  <si>
    <t>Consórcio Público de Saúde da Microrregião de Aracati - Cpsmar - CPSMAR</t>
  </si>
  <si>
    <t>12.986.520/0001-02</t>
  </si>
  <si>
    <t>Consórcio Público Saúde da Microrregião de Brejo Santo - CPSMBS</t>
  </si>
  <si>
    <t>12.987.708/0001-67</t>
  </si>
  <si>
    <t>Consórcio Público Intermunicipal das Mesorregiões Norte e Leste Maranhense - CONLESTE MARANHENSE</t>
  </si>
  <si>
    <t>07.387.311/0001-02</t>
  </si>
  <si>
    <t>Consórcio da Floresta dos Guaras - CONGUARAS</t>
  </si>
  <si>
    <t>10.807.713/0001-15</t>
  </si>
  <si>
    <t>Consórcio Intermunicipal de Desenvolvimento Regional dos Lagos Maranhenses - CONLAGOS</t>
  </si>
  <si>
    <t>07.553.554/0001-65</t>
  </si>
  <si>
    <t>Consórcio Intermunicipal de Desenvolvimento do Estado do Maranhão - CIDEM</t>
  </si>
  <si>
    <t>35.548.093/0001-78</t>
  </si>
  <si>
    <t>Ame Saúde - Consórcio Intermunicipal de Saúde dos Municípios do Alto Sertão Paraibano - AMESAUDE</t>
  </si>
  <si>
    <t>10.876.240/0001-08</t>
  </si>
  <si>
    <t>Consórcio Público Intermunicipal de Saúde do Curimataú e Seridó Paraibano - CIMSC</t>
  </si>
  <si>
    <t>01.958.301/0001-95</t>
  </si>
  <si>
    <t>Consórcio Público Intermunicipal de Saúde do Cariri Ocidental - CISCO-OCIDENTAL</t>
  </si>
  <si>
    <t>02.471.378/0001-07</t>
  </si>
  <si>
    <t>Consórcio Intermunicipal do Sertão do Araripe Pernambucano - CISAPE</t>
  </si>
  <si>
    <t>10.283.138/0001-07</t>
  </si>
  <si>
    <t>Consórcio Intermunicipal do Submedio São Francisco - COMRIO</t>
  </si>
  <si>
    <t>20.596.196/0001-36</t>
  </si>
  <si>
    <t>Consórcio Intermunicipal de Desenvolvimento Sustentável do Sertão Central - CINDESC</t>
  </si>
  <si>
    <t>18.463.003/0001-27</t>
  </si>
  <si>
    <t>Consórcio dos Municípios do Sertão de Itaparica e Moxotó - COMSIM</t>
  </si>
  <si>
    <t>19.019.448/0001-85</t>
  </si>
  <si>
    <t>Consórcio dos Municípios da Mata Norte e Agreste Setentrional de Pernambuco - COMANAS</t>
  </si>
  <si>
    <t>09.242.465/0001-23</t>
  </si>
  <si>
    <t>Consórcio de Municípios do Agreste e Mata Sul do Estado de Pernambuco - COMAGSUL</t>
  </si>
  <si>
    <t>07.753.868/0001-01</t>
  </si>
  <si>
    <t>Consórcio dos Municípios do Médio Parnaiba-PI - COMEPA</t>
  </si>
  <si>
    <t>20.485.741/0001-17</t>
  </si>
  <si>
    <t>Consórcio Intermunicipal Buritis - CONSÓRCIO INTERMUNICIPAL BURITIS</t>
  </si>
  <si>
    <t>33.632.625/0001-25</t>
  </si>
  <si>
    <t>Consórcio Intermunicipal de Sanidade Agropecuária Sertão e Mar - SIM SERTÃO E MAR</t>
  </si>
  <si>
    <t>37.578.335/0001-00</t>
  </si>
  <si>
    <t>Consórcio Público Intermunicipal do Rio Grande do Norte - COPIRN</t>
  </si>
  <si>
    <t>12.120.272/0001-04</t>
  </si>
  <si>
    <t>Consórcio Público Interfederativo de Saúde Nordeste II - COISAN</t>
  </si>
  <si>
    <t>28.589.145/0001-99</t>
  </si>
  <si>
    <t>Consórcio Interfederativo de Saúde do Litoral Norte e Agreste Baiano - CLINAB</t>
  </si>
  <si>
    <t>27.697.707/0001-55</t>
  </si>
  <si>
    <t>Consórcio Público Interfederativo de Saúde Reconvale - RECONVALE</t>
  </si>
  <si>
    <t>29.551.521/0001-19</t>
  </si>
  <si>
    <t>Consórcio Intermunicipal do Mosaico das Apas do Baixo Sul - CIAPRA BAIXO SUL</t>
  </si>
  <si>
    <t>10.355.504/0001-88</t>
  </si>
  <si>
    <t>Consórcio Público de Saúde da Microrregião de Cascavel - CPSMCAS</t>
  </si>
  <si>
    <t>12.850.235/0001-51</t>
  </si>
  <si>
    <t>Consórcio Público de Saúde da Microrregião de Icó - CPSMIC</t>
  </si>
  <si>
    <t>13.044.206/0001-65</t>
  </si>
  <si>
    <t>Consócio Público de Saúde da Microrregião do Crato - CPSMC</t>
  </si>
  <si>
    <t>11.552.755/0001-15</t>
  </si>
  <si>
    <t>Consórcio Público de Saúde da Microrregião de Tauá - CPSMT</t>
  </si>
  <si>
    <t>12.116.566/0001-62</t>
  </si>
  <si>
    <t>Consórcio Público de Saúde da Microrregião de Crateús - CPSMCR</t>
  </si>
  <si>
    <t>13.427.383/0001-20</t>
  </si>
  <si>
    <t>Consórcio Intermunicipal de Desenvolvimento da Região Norte de Goias CIDERNORTE</t>
  </si>
  <si>
    <t>22.654.174/0001-00</t>
  </si>
  <si>
    <t>Consórcio Pela Vida dos Municípios do Estado de Goias </t>
  </si>
  <si>
    <t>41.260.989/0001-50</t>
  </si>
  <si>
    <t>Consórcio Intermunicipal de Saúde do Médio Araguaia - CODEMA</t>
  </si>
  <si>
    <t>02.427.361/0001-44</t>
  </si>
  <si>
    <t>Consórcio Intermunicipal de Saúde da Região do Vale do Peixoto CISVP</t>
  </si>
  <si>
    <t>02.997.711/0001-08</t>
  </si>
  <si>
    <t>Consórcio Intermunicipal de Saúde do Vale do Arinos CISVA</t>
  </si>
  <si>
    <t>06.153.406/0001-90</t>
  </si>
  <si>
    <t>Consórcio Intermunicipal de Saúde Vale do Rio Cuiaba CISVARC</t>
  </si>
  <si>
    <t>36.833.348/0001-07</t>
  </si>
  <si>
    <t>Consórcio Público de Desenvolvimento do Vale do Ivinhema CODEVALE</t>
  </si>
  <si>
    <t>14.173.522/0001-08</t>
  </si>
  <si>
    <t>Consórcio Sul Fronteira</t>
  </si>
  <si>
    <t>47.203.050/0001-30</t>
  </si>
  <si>
    <t>Consórcio de Desenvolvimento Integrado dos Municípios da Região da Serra da Mesa - CIDISEM</t>
  </si>
  <si>
    <t>02.763.350/0001-35</t>
  </si>
  <si>
    <t>Consórcio Intermunicipal de Saúde da Região do Vale do São Patrício - CISVALE</t>
  </si>
  <si>
    <t>23.296.962/0001-35</t>
  </si>
  <si>
    <t>Consórcio Intermunicipal de Desenvolvimento da Região São Patrício - CIDERSP</t>
  </si>
  <si>
    <t>18.693.174/0001-42</t>
  </si>
  <si>
    <t>Consórcio Público Intermunicipal de Saúde Rio Vermelho Araguaia - CISRIVA</t>
  </si>
  <si>
    <t>23.269.789/0001-86</t>
  </si>
  <si>
    <t>Consórcio Intermunicipal de Saúde da Região Oeste II - CISOII</t>
  </si>
  <si>
    <t>19.455.857/0001-24</t>
  </si>
  <si>
    <t>Consórcio Intermunicipal de Saúde do Sudoeste Goiano - CISSGO</t>
  </si>
  <si>
    <t>21.045.071/0001-80</t>
  </si>
  <si>
    <t>Consórcio Intermunicipal de Saúde do Araguaia Xingu - CISAX</t>
  </si>
  <si>
    <t>02.601.738/0001-30</t>
  </si>
  <si>
    <t>Consórcio Intermunicipal de Saúde do Araguaia - CISA</t>
  </si>
  <si>
    <t>04.805.882/0001-13</t>
  </si>
  <si>
    <t>Consórcio Regional de Saúde Sul de Mato Grosso - CORESS-MT</t>
  </si>
  <si>
    <t>05.238.413/0001-22</t>
  </si>
  <si>
    <t>Consórcio Intermunicipal de Saúde do Oeste de Mato Grosso - CISOMT</t>
  </si>
  <si>
    <t>01.870.663/0001-20</t>
  </si>
  <si>
    <t>Consórcio Intermunicipal de Saúde da Região do Médio Norte Matogrossense - CISMNORTE</t>
  </si>
  <si>
    <t>02.451.265/0001-31</t>
  </si>
  <si>
    <t>Consórcio Intermunicipal de Saúde da Região do Vale do Guaporé - CISVAG</t>
  </si>
  <si>
    <t>07.770.343/0001-84</t>
  </si>
  <si>
    <t>Consórcio Intermunicipal de Desenvolvimento Econômico, Social, Ambiental e Turístico do Alto do Rio Paraguai - CIDES- ALTO DO RIO PARAGUAI</t>
  </si>
  <si>
    <t>07.898.631/0001-19</t>
  </si>
  <si>
    <t>Consórcio Público Intermunicipal de Saúde do Araguaia e Tocantins - CISAT</t>
  </si>
  <si>
    <t>02.995.993/0001-04</t>
  </si>
  <si>
    <t>Norte</t>
  </si>
  <si>
    <t>Consórcio de Desenvolvimento Sócio Econômico Intermunicipal - CODESEI</t>
  </si>
  <si>
    <t>04.504.120/0001-87</t>
  </si>
  <si>
    <t>Consórcio Integrado dos Municípios Paraenses - COIMP</t>
  </si>
  <si>
    <t>03.112.951/0001-40</t>
  </si>
  <si>
    <t>Consórcio Público Intermunicipal da Região Centro Leste do Estado de Rondônia - CIMCERO</t>
  </si>
  <si>
    <t>02.049.227/0001-57</t>
  </si>
  <si>
    <t>Consórcio Intermunicipal de Desenvolvimento Sustentável Vale do Rio Manuel Alves - CIDSMA</t>
  </si>
  <si>
    <t>34.119.165/0001-07</t>
  </si>
  <si>
    <t>Consórcio Intermunicipal do Vale do Araguaia - Consórcio Vale do Araguaia</t>
  </si>
  <si>
    <t>47.080.084/0001-84</t>
  </si>
  <si>
    <t>Consórcio Intermunicipal de Saúde do Vale do Araguaia - Consórcio Vale de Saúde do Vale do Araguaia </t>
  </si>
  <si>
    <t>44.298.690/0001-82</t>
  </si>
  <si>
    <t>Despesa com pessoal</t>
  </si>
  <si>
    <t>Despesa total</t>
  </si>
  <si>
    <t>Despesa com pessoal/Despesa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</si>
</sst>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_-[$R$-416]\ * #,##0.00_-;\-[$R$-416]\ * #,##0.00_-;_-[$R$-416]\ * &quot;-&quot;??_-;_-@_-"/>
    <numFmt numFmtId="166" formatCode="0.0000"/>
    <numFmt numFmtId="167" formatCode="_-* #,##0_-;\-* #,##0_-;_-* &quot;-&quot;??_-;_-@_-"/>
    <numFmt numFmtId="180" formatCode="0.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8"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164" fontId="7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0" fillId="2" borderId="3" xfId="0" applyFill="1" applyBorder="1"/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0" fillId="2" borderId="8" xfId="0" applyFill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" fontId="0" fillId="0" borderId="0" xfId="0" applyNumberFormat="1"/>
    <xf numFmtId="44" fontId="9" fillId="0" borderId="12" xfId="0" applyNumberFormat="1" applyFont="1" applyBorder="1" applyAlignment="1">
      <alignment vertical="center"/>
    </xf>
    <xf numFmtId="44" fontId="9" fillId="3" borderId="12" xfId="0" applyNumberFormat="1" applyFont="1" applyFill="1" applyBorder="1" applyAlignment="1">
      <alignment vertical="center"/>
    </xf>
    <xf numFmtId="44" fontId="9" fillId="4" borderId="12" xfId="0" applyNumberFormat="1" applyFont="1" applyFill="1" applyBorder="1" applyAlignment="1">
      <alignment vertical="center"/>
    </xf>
    <xf numFmtId="44" fontId="9" fillId="3" borderId="13" xfId="0" applyNumberFormat="1" applyFont="1" applyFill="1" applyBorder="1" applyAlignment="1">
      <alignment vertical="center"/>
    </xf>
    <xf numFmtId="44" fontId="7" fillId="0" borderId="12" xfId="0" applyNumberFormat="1" applyFont="1" applyBorder="1" applyAlignment="1">
      <alignment vertical="center"/>
    </xf>
    <xf numFmtId="44" fontId="7" fillId="3" borderId="12" xfId="0" applyNumberFormat="1" applyFont="1" applyFill="1" applyBorder="1" applyAlignment="1">
      <alignment vertical="center"/>
    </xf>
    <xf numFmtId="44" fontId="9" fillId="5" borderId="12" xfId="0" applyNumberFormat="1" applyFont="1" applyFill="1" applyBorder="1" applyAlignment="1">
      <alignment vertical="center"/>
    </xf>
    <xf numFmtId="44" fontId="9" fillId="0" borderId="14" xfId="0" applyNumberFormat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9" fillId="0" borderId="16" xfId="1" applyFont="1" applyBorder="1" applyAlignment="1">
      <alignment vertical="center"/>
    </xf>
    <xf numFmtId="43" fontId="9" fillId="0" borderId="17" xfId="1" applyFont="1" applyBorder="1" applyAlignment="1">
      <alignment vertical="center"/>
    </xf>
    <xf numFmtId="0" fontId="0" fillId="0" borderId="1" xfId="0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166" fontId="7" fillId="0" borderId="3" xfId="1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43" fontId="7" fillId="6" borderId="3" xfId="1" applyFont="1" applyFill="1" applyBorder="1"/>
    <xf numFmtId="0" fontId="7" fillId="6" borderId="3" xfId="0" applyFont="1" applyFill="1" applyBorder="1"/>
    <xf numFmtId="166" fontId="4" fillId="6" borderId="3" xfId="0" applyNumberFormat="1" applyFont="1" applyFill="1" applyBorder="1" applyAlignment="1">
      <alignment horizontal="center"/>
    </xf>
    <xf numFmtId="166" fontId="7" fillId="0" borderId="3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/>
    </xf>
    <xf numFmtId="10" fontId="4" fillId="0" borderId="3" xfId="2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7" fontId="3" fillId="0" borderId="3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166" fontId="7" fillId="5" borderId="3" xfId="0" applyNumberFormat="1" applyFont="1" applyFill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43" fontId="7" fillId="5" borderId="3" xfId="1" applyFont="1" applyFill="1" applyBorder="1" applyAlignment="1">
      <alignment horizontal="center"/>
    </xf>
    <xf numFmtId="43" fontId="7" fillId="0" borderId="8" xfId="1" applyFont="1" applyBorder="1" applyAlignment="1">
      <alignment horizontal="center"/>
    </xf>
    <xf numFmtId="180" fontId="7" fillId="0" borderId="3" xfId="0" applyNumberFormat="1" applyFont="1" applyBorder="1" applyAlignment="1">
      <alignment horizontal="center"/>
    </xf>
    <xf numFmtId="180" fontId="7" fillId="0" borderId="8" xfId="0" applyNumberFormat="1" applyFont="1" applyBorder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6" fontId="7" fillId="5" borderId="0" xfId="0" applyNumberFormat="1" applyFont="1" applyFill="1" applyBorder="1" applyAlignment="1">
      <alignment horizontal="center"/>
    </xf>
    <xf numFmtId="167" fontId="3" fillId="0" borderId="8" xfId="1" applyNumberFormat="1" applyFont="1" applyBorder="1" applyAlignment="1">
      <alignment horizontal="center" vertical="center"/>
    </xf>
    <xf numFmtId="166" fontId="7" fillId="0" borderId="9" xfId="0" applyNumberFormat="1" applyFont="1" applyBorder="1" applyAlignment="1">
      <alignment horizontal="center"/>
    </xf>
    <xf numFmtId="167" fontId="2" fillId="0" borderId="3" xfId="1" applyNumberFormat="1" applyFont="1" applyBorder="1" applyAlignment="1">
      <alignment horizontal="center" vertical="center"/>
    </xf>
    <xf numFmtId="167" fontId="2" fillId="0" borderId="8" xfId="1" applyNumberFormat="1" applyFont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599560dc2f212cc/DOutorado/coleta%20de%20dados/Fatores%20determinantes/Cons&#243;rcios%20sudeste%20-%20fatores%20determinantes.xlsx" TargetMode="External"/><Relationship Id="rId1" Type="http://schemas.openxmlformats.org/officeDocument/2006/relationships/externalLinkPath" Target="Cons&#243;rcios%20sudeste%20-%20fatores%20determina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2"/>
    </sheetNames>
    <sheetDataSet>
      <sheetData sheetId="0"/>
      <sheetData sheetId="1">
        <row r="3">
          <cell r="C3" t="str">
            <v>19.019.626/0001-78</v>
          </cell>
          <cell r="D3">
            <v>8</v>
          </cell>
          <cell r="I3">
            <v>11</v>
          </cell>
          <cell r="J3">
            <v>41</v>
          </cell>
        </row>
        <row r="4">
          <cell r="C4" t="str">
            <v>19.904.298/0001-92</v>
          </cell>
          <cell r="D4">
            <v>20</v>
          </cell>
          <cell r="I4">
            <v>11</v>
          </cell>
          <cell r="J4">
            <v>14</v>
          </cell>
        </row>
        <row r="5">
          <cell r="C5" t="str">
            <v>11.786.798/0001-65</v>
          </cell>
          <cell r="D5">
            <v>16</v>
          </cell>
          <cell r="I5">
            <v>14</v>
          </cell>
          <cell r="J5">
            <v>43</v>
          </cell>
        </row>
        <row r="6">
          <cell r="C6" t="str">
            <v>32.077.528/0001-55</v>
          </cell>
          <cell r="D6">
            <v>13</v>
          </cell>
          <cell r="I6">
            <v>6</v>
          </cell>
          <cell r="J6">
            <v>3</v>
          </cell>
        </row>
        <row r="7">
          <cell r="C7" t="str">
            <v>11.487.835/0001-34</v>
          </cell>
          <cell r="D7">
            <v>5</v>
          </cell>
          <cell r="I7">
            <v>15</v>
          </cell>
          <cell r="J7">
            <v>4</v>
          </cell>
        </row>
        <row r="8">
          <cell r="C8" t="str">
            <v>14.770.466/0001-80</v>
          </cell>
          <cell r="D8">
            <v>9</v>
          </cell>
          <cell r="I8">
            <v>15</v>
          </cell>
          <cell r="J8">
            <v>1</v>
          </cell>
        </row>
        <row r="9">
          <cell r="C9" t="str">
            <v>13.328.683/0001-52</v>
          </cell>
          <cell r="D9">
            <v>11</v>
          </cell>
          <cell r="I9">
            <v>15</v>
          </cell>
          <cell r="J9">
            <v>3</v>
          </cell>
        </row>
        <row r="10">
          <cell r="C10" t="str">
            <v>02.618.132/0001-07</v>
          </cell>
          <cell r="D10">
            <v>10</v>
          </cell>
          <cell r="I10">
            <v>26</v>
          </cell>
          <cell r="J10">
            <v>5</v>
          </cell>
        </row>
        <row r="11">
          <cell r="C11" t="str">
            <v>02.722.566/0001-52</v>
          </cell>
          <cell r="D11">
            <v>25</v>
          </cell>
          <cell r="I11">
            <v>26</v>
          </cell>
          <cell r="J11">
            <v>5</v>
          </cell>
        </row>
        <row r="12">
          <cell r="C12" t="str">
            <v>22.654.174/0001-00</v>
          </cell>
          <cell r="D12">
            <v>9</v>
          </cell>
          <cell r="I12">
            <v>9</v>
          </cell>
          <cell r="J12">
            <v>45</v>
          </cell>
        </row>
        <row r="13">
          <cell r="C13" t="str">
            <v>41.260.989/0001-50</v>
          </cell>
          <cell r="D13">
            <v>9</v>
          </cell>
          <cell r="I13">
            <v>3</v>
          </cell>
          <cell r="J13">
            <v>1</v>
          </cell>
        </row>
        <row r="14">
          <cell r="C14" t="str">
            <v>02.427.361/0001-44</v>
          </cell>
          <cell r="D14">
            <v>11</v>
          </cell>
          <cell r="I14">
            <v>26</v>
          </cell>
          <cell r="J14">
            <v>20</v>
          </cell>
        </row>
        <row r="15">
          <cell r="C15" t="str">
            <v>02.575.700/0001-30</v>
          </cell>
          <cell r="D15">
            <v>9</v>
          </cell>
          <cell r="I15">
            <v>26</v>
          </cell>
          <cell r="J15">
            <v>4</v>
          </cell>
        </row>
        <row r="16">
          <cell r="C16" t="str">
            <v>02.997.711/0001-08</v>
          </cell>
          <cell r="D16">
            <v>4</v>
          </cell>
          <cell r="I16">
            <v>25</v>
          </cell>
          <cell r="J16">
            <v>1</v>
          </cell>
        </row>
        <row r="17">
          <cell r="C17" t="str">
            <v>06.153.406/0001-90</v>
          </cell>
          <cell r="D17">
            <v>4</v>
          </cell>
          <cell r="I17">
            <v>20</v>
          </cell>
          <cell r="J17">
            <v>3</v>
          </cell>
        </row>
        <row r="18">
          <cell r="C18" t="str">
            <v>36.833.348/0001-07</v>
          </cell>
          <cell r="D18">
            <v>11</v>
          </cell>
          <cell r="I18">
            <v>4</v>
          </cell>
          <cell r="J18">
            <v>3</v>
          </cell>
        </row>
        <row r="19">
          <cell r="C19" t="str">
            <v>02.104.328/0001-83</v>
          </cell>
          <cell r="D19">
            <v>14</v>
          </cell>
          <cell r="I19">
            <v>27</v>
          </cell>
          <cell r="J19">
            <v>28</v>
          </cell>
        </row>
        <row r="20">
          <cell r="C20" t="str">
            <v>14.173.522/0001-08</v>
          </cell>
          <cell r="D20">
            <v>11</v>
          </cell>
          <cell r="I20">
            <v>13</v>
          </cell>
          <cell r="J20">
            <v>49</v>
          </cell>
        </row>
        <row r="21">
          <cell r="C21" t="str">
            <v>47.203.050/0001-30</v>
          </cell>
          <cell r="D21">
            <v>6</v>
          </cell>
          <cell r="I21">
            <v>2</v>
          </cell>
          <cell r="J21">
            <v>5</v>
          </cell>
        </row>
        <row r="22">
          <cell r="C22" t="str">
            <v>02.319.394/0001-70</v>
          </cell>
          <cell r="D22">
            <v>21</v>
          </cell>
          <cell r="I22">
            <v>26</v>
          </cell>
          <cell r="J22">
            <v>3</v>
          </cell>
        </row>
        <row r="23">
          <cell r="C23" t="str">
            <v>00.738.236/0001-20</v>
          </cell>
          <cell r="D23">
            <v>18</v>
          </cell>
          <cell r="I23">
            <v>29</v>
          </cell>
          <cell r="J23">
            <v>4</v>
          </cell>
        </row>
        <row r="24">
          <cell r="C24" t="str">
            <v>00.794.962/0001-60</v>
          </cell>
          <cell r="D24">
            <v>8</v>
          </cell>
          <cell r="I24">
            <v>29</v>
          </cell>
          <cell r="J24">
            <v>4</v>
          </cell>
        </row>
        <row r="25">
          <cell r="C25" t="str">
            <v>00.877.406/0001-57</v>
          </cell>
          <cell r="D25">
            <v>14</v>
          </cell>
          <cell r="I25">
            <v>29</v>
          </cell>
          <cell r="J25">
            <v>3</v>
          </cell>
        </row>
        <row r="26">
          <cell r="C26" t="str">
            <v>00.980.259/0001-46</v>
          </cell>
          <cell r="D26">
            <v>2</v>
          </cell>
          <cell r="I26">
            <v>29</v>
          </cell>
          <cell r="J26">
            <v>3</v>
          </cell>
        </row>
        <row r="27">
          <cell r="C27" t="str">
            <v>01.058.207/0001-80</v>
          </cell>
          <cell r="D27">
            <v>6</v>
          </cell>
          <cell r="I27">
            <v>28</v>
          </cell>
          <cell r="J27">
            <v>2</v>
          </cell>
        </row>
        <row r="28">
          <cell r="C28" t="str">
            <v>01.197.487/0001-07</v>
          </cell>
          <cell r="D28">
            <v>10</v>
          </cell>
          <cell r="I28">
            <v>28</v>
          </cell>
          <cell r="J28">
            <v>1</v>
          </cell>
        </row>
        <row r="29">
          <cell r="C29" t="str">
            <v>01.275.576/0001-24</v>
          </cell>
          <cell r="D29">
            <v>8</v>
          </cell>
          <cell r="I29">
            <v>28</v>
          </cell>
          <cell r="J29">
            <v>36</v>
          </cell>
        </row>
        <row r="30">
          <cell r="C30" t="str">
            <v>02.326.365/0001-36</v>
          </cell>
          <cell r="D30">
            <v>10</v>
          </cell>
          <cell r="I30">
            <v>27</v>
          </cell>
          <cell r="J30">
            <v>2</v>
          </cell>
        </row>
        <row r="31">
          <cell r="C31" t="str">
            <v>02.334.933/0001-40</v>
          </cell>
          <cell r="D31">
            <v>21</v>
          </cell>
          <cell r="I31">
            <v>27</v>
          </cell>
          <cell r="J31">
            <v>3</v>
          </cell>
        </row>
        <row r="32">
          <cell r="C32" t="str">
            <v>06.070.075/0001-25</v>
          </cell>
          <cell r="D32">
            <v>19</v>
          </cell>
          <cell r="I32">
            <v>21</v>
          </cell>
          <cell r="J32">
            <v>20</v>
          </cell>
        </row>
        <row r="33">
          <cell r="C33" t="str">
            <v>07.356.999/0001-55</v>
          </cell>
          <cell r="D33">
            <v>12</v>
          </cell>
          <cell r="I33">
            <v>19</v>
          </cell>
          <cell r="J33">
            <v>3</v>
          </cell>
        </row>
        <row r="34">
          <cell r="C34" t="str">
            <v>11.636.961/0001-03</v>
          </cell>
          <cell r="D34">
            <v>85</v>
          </cell>
          <cell r="I34">
            <v>14</v>
          </cell>
          <cell r="J34">
            <v>3</v>
          </cell>
        </row>
        <row r="35">
          <cell r="C35" t="str">
            <v>18.151.467/0001-06</v>
          </cell>
          <cell r="D35">
            <v>22</v>
          </cell>
          <cell r="I35">
            <v>11</v>
          </cell>
          <cell r="J35">
            <v>2</v>
          </cell>
        </row>
        <row r="36">
          <cell r="C36" t="str">
            <v>19.455.924/0001-00</v>
          </cell>
          <cell r="D36">
            <v>26</v>
          </cell>
          <cell r="I36">
            <v>11</v>
          </cell>
          <cell r="J36">
            <v>2</v>
          </cell>
        </row>
        <row r="37">
          <cell r="C37" t="str">
            <v>20.101.246/0001-67</v>
          </cell>
          <cell r="D37">
            <v>51</v>
          </cell>
          <cell r="I37">
            <v>10</v>
          </cell>
          <cell r="J37">
            <v>4</v>
          </cell>
        </row>
        <row r="38">
          <cell r="C38" t="str">
            <v>20.433.216/0001-58</v>
          </cell>
          <cell r="D38">
            <v>33</v>
          </cell>
          <cell r="I38">
            <v>10</v>
          </cell>
          <cell r="J38">
            <v>3</v>
          </cell>
        </row>
        <row r="39">
          <cell r="C39" t="str">
            <v>21.565.740/0001-45</v>
          </cell>
          <cell r="D39">
            <v>17</v>
          </cell>
          <cell r="I39">
            <v>10</v>
          </cell>
          <cell r="J39">
            <v>21</v>
          </cell>
        </row>
        <row r="40">
          <cell r="C40" t="str">
            <v>22.835.076/0001-70</v>
          </cell>
          <cell r="D40">
            <v>19</v>
          </cell>
          <cell r="I40">
            <v>9</v>
          </cell>
          <cell r="J40">
            <v>20</v>
          </cell>
        </row>
        <row r="41">
          <cell r="C41" t="str">
            <v>31.974.558/0001-00</v>
          </cell>
          <cell r="D41">
            <v>3</v>
          </cell>
          <cell r="I41">
            <v>6</v>
          </cell>
          <cell r="J41">
            <v>4</v>
          </cell>
        </row>
        <row r="42">
          <cell r="C42" t="str">
            <v>46.125.774/0001-40</v>
          </cell>
          <cell r="D42">
            <v>11</v>
          </cell>
          <cell r="I42">
            <v>2</v>
          </cell>
          <cell r="J42">
            <v>44</v>
          </cell>
        </row>
        <row r="43">
          <cell r="C43" t="str">
            <v>71.203.715/0001-90</v>
          </cell>
          <cell r="D43">
            <v>15</v>
          </cell>
          <cell r="I43">
            <v>30</v>
          </cell>
          <cell r="J43">
            <v>3</v>
          </cell>
        </row>
        <row r="44">
          <cell r="C44" t="str">
            <v>97.550.393/0001-49</v>
          </cell>
          <cell r="D44">
            <v>87</v>
          </cell>
          <cell r="I44">
            <v>13</v>
          </cell>
          <cell r="J44">
            <v>4</v>
          </cell>
        </row>
        <row r="45">
          <cell r="C45" t="str">
            <v>02.995.993/0001-04</v>
          </cell>
          <cell r="D45">
            <v>14</v>
          </cell>
          <cell r="I45">
            <v>26</v>
          </cell>
          <cell r="J45">
            <v>3</v>
          </cell>
        </row>
        <row r="46">
          <cell r="C46" t="str">
            <v>00.126.737/0001-55</v>
          </cell>
          <cell r="D46">
            <v>21</v>
          </cell>
          <cell r="I46">
            <v>30</v>
          </cell>
          <cell r="J46">
            <v>5</v>
          </cell>
        </row>
        <row r="47">
          <cell r="C47" t="str">
            <v>00.136.858/0001-88</v>
          </cell>
          <cell r="D47">
            <v>26</v>
          </cell>
          <cell r="I47">
            <v>30</v>
          </cell>
          <cell r="J47">
            <v>2</v>
          </cell>
        </row>
        <row r="48">
          <cell r="C48" t="str">
            <v>00.333.678/0001-96</v>
          </cell>
          <cell r="D48">
            <v>27</v>
          </cell>
          <cell r="I48">
            <v>30</v>
          </cell>
          <cell r="J48">
            <v>2</v>
          </cell>
        </row>
        <row r="49">
          <cell r="C49" t="str">
            <v>03.273.207/0001-28</v>
          </cell>
          <cell r="D49">
            <v>397</v>
          </cell>
          <cell r="I49">
            <v>25</v>
          </cell>
          <cell r="J49">
            <v>1</v>
          </cell>
        </row>
        <row r="50">
          <cell r="C50" t="str">
            <v>13.681.884/0001-39</v>
          </cell>
          <cell r="D50">
            <v>7</v>
          </cell>
          <cell r="I50">
            <v>14</v>
          </cell>
          <cell r="J50">
            <v>3</v>
          </cell>
        </row>
        <row r="51">
          <cell r="C51" t="str">
            <v>86.689.023/0001-70</v>
          </cell>
          <cell r="D51">
            <v>20</v>
          </cell>
          <cell r="I51">
            <v>31</v>
          </cell>
          <cell r="J51">
            <v>2</v>
          </cell>
        </row>
        <row r="52">
          <cell r="C52" t="str">
            <v>95.640.322/0001-01</v>
          </cell>
          <cell r="D52">
            <v>25</v>
          </cell>
          <cell r="I52">
            <v>31</v>
          </cell>
          <cell r="J52">
            <v>2</v>
          </cell>
        </row>
        <row r="53">
          <cell r="C53" t="str">
            <v>15.091.751/0001-38</v>
          </cell>
          <cell r="D53">
            <v>24</v>
          </cell>
          <cell r="I53">
            <v>13</v>
          </cell>
          <cell r="J53">
            <v>7</v>
          </cell>
        </row>
        <row r="54">
          <cell r="C54" t="str">
            <v>02.615.925/0001-72</v>
          </cell>
          <cell r="D54">
            <v>12</v>
          </cell>
          <cell r="I54">
            <v>26</v>
          </cell>
          <cell r="J54">
            <v>7</v>
          </cell>
        </row>
        <row r="55">
          <cell r="C55" t="str">
            <v>08.932.750/0001-03</v>
          </cell>
          <cell r="D55">
            <v>17</v>
          </cell>
          <cell r="I55">
            <v>18</v>
          </cell>
          <cell r="J55">
            <v>26</v>
          </cell>
        </row>
        <row r="56">
          <cell r="C56" t="str">
            <v>12.397.803/0001-00</v>
          </cell>
          <cell r="D56">
            <v>20</v>
          </cell>
          <cell r="I56">
            <v>25</v>
          </cell>
          <cell r="J56">
            <v>3</v>
          </cell>
        </row>
        <row r="57">
          <cell r="C57" t="str">
            <v>01.987.787/0001-90</v>
          </cell>
          <cell r="D57">
            <v>36</v>
          </cell>
          <cell r="I57">
            <v>27</v>
          </cell>
          <cell r="J57">
            <v>2</v>
          </cell>
        </row>
        <row r="58">
          <cell r="C58" t="str">
            <v>02.231.696/0001-92</v>
          </cell>
          <cell r="D58">
            <v>46</v>
          </cell>
          <cell r="I58">
            <v>27</v>
          </cell>
          <cell r="J58">
            <v>11</v>
          </cell>
        </row>
        <row r="59">
          <cell r="C59" t="str">
            <v>02.264.781/0001-57</v>
          </cell>
          <cell r="D59">
            <v>27</v>
          </cell>
          <cell r="I59">
            <v>27</v>
          </cell>
          <cell r="J59">
            <v>2</v>
          </cell>
        </row>
        <row r="60">
          <cell r="C60" t="str">
            <v>03.043.185/0001-00</v>
          </cell>
          <cell r="D60">
            <v>23</v>
          </cell>
          <cell r="I60">
            <v>25</v>
          </cell>
          <cell r="J60">
            <v>2</v>
          </cell>
        </row>
        <row r="61">
          <cell r="C61" t="str">
            <v>06.205.888/0001-85</v>
          </cell>
          <cell r="D61">
            <v>13</v>
          </cell>
          <cell r="I61">
            <v>20</v>
          </cell>
          <cell r="J61">
            <v>10</v>
          </cell>
        </row>
        <row r="62">
          <cell r="C62" t="str">
            <v>07.242.772/0001-89</v>
          </cell>
          <cell r="D62">
            <v>39</v>
          </cell>
          <cell r="I62">
            <v>19</v>
          </cell>
          <cell r="J62">
            <v>12</v>
          </cell>
        </row>
        <row r="63">
          <cell r="C63" t="str">
            <v>08.007.591/0001-30</v>
          </cell>
          <cell r="D63">
            <v>14</v>
          </cell>
          <cell r="I63">
            <v>18</v>
          </cell>
          <cell r="J63">
            <v>42</v>
          </cell>
        </row>
        <row r="64">
          <cell r="C64" t="str">
            <v>15.344.304/0001-43</v>
          </cell>
          <cell r="D64">
            <v>19</v>
          </cell>
          <cell r="I64">
            <v>13</v>
          </cell>
          <cell r="J64">
            <v>33</v>
          </cell>
        </row>
        <row r="65">
          <cell r="C65" t="str">
            <v>26.646.188/0001-33</v>
          </cell>
          <cell r="D65">
            <v>7</v>
          </cell>
          <cell r="I65">
            <v>8</v>
          </cell>
          <cell r="J65">
            <v>10</v>
          </cell>
        </row>
        <row r="66">
          <cell r="C66" t="str">
            <v>28.976.123/0001-81</v>
          </cell>
          <cell r="D66">
            <v>18</v>
          </cell>
          <cell r="I66">
            <v>7</v>
          </cell>
          <cell r="J66">
            <v>5</v>
          </cell>
        </row>
        <row r="67">
          <cell r="C67" t="str">
            <v>01.336.261/0001-40</v>
          </cell>
          <cell r="D67">
            <v>52</v>
          </cell>
          <cell r="I67">
            <v>28</v>
          </cell>
          <cell r="J67">
            <v>3</v>
          </cell>
        </row>
        <row r="68">
          <cell r="C68" t="str">
            <v>03.222.337/0001-31</v>
          </cell>
          <cell r="D68">
            <v>17</v>
          </cell>
          <cell r="I68">
            <v>26</v>
          </cell>
          <cell r="J68">
            <v>4</v>
          </cell>
        </row>
        <row r="69">
          <cell r="C69" t="str">
            <v>03.887.256/0001-50</v>
          </cell>
          <cell r="D69">
            <v>10</v>
          </cell>
          <cell r="I69">
            <v>24</v>
          </cell>
          <cell r="J69">
            <v>2</v>
          </cell>
        </row>
        <row r="70">
          <cell r="C70" t="str">
            <v>07.510.376/0001-95</v>
          </cell>
          <cell r="D70">
            <v>11</v>
          </cell>
          <cell r="I70">
            <v>19</v>
          </cell>
          <cell r="J70">
            <v>2</v>
          </cell>
        </row>
        <row r="71">
          <cell r="C71" t="str">
            <v>09.069.217/0001-22</v>
          </cell>
          <cell r="D71">
            <v>28</v>
          </cell>
          <cell r="I71">
            <v>17</v>
          </cell>
          <cell r="J71">
            <v>34</v>
          </cell>
        </row>
        <row r="72">
          <cell r="C72" t="str">
            <v>13.791.885/0001-36</v>
          </cell>
          <cell r="D72">
            <v>27</v>
          </cell>
          <cell r="I72">
            <v>14</v>
          </cell>
          <cell r="J72">
            <v>4</v>
          </cell>
        </row>
        <row r="73">
          <cell r="C73" t="str">
            <v>02.655.907/0001-14</v>
          </cell>
          <cell r="D73">
            <v>11</v>
          </cell>
          <cell r="I73">
            <v>26</v>
          </cell>
          <cell r="J73">
            <v>25</v>
          </cell>
        </row>
        <row r="74">
          <cell r="C74" t="str">
            <v>02.675.363/0001-52</v>
          </cell>
          <cell r="D74">
            <v>6</v>
          </cell>
          <cell r="I74">
            <v>26</v>
          </cell>
          <cell r="J74">
            <v>2</v>
          </cell>
        </row>
        <row r="75">
          <cell r="C75" t="str">
            <v>04.685.273/0001-78</v>
          </cell>
          <cell r="D75">
            <v>16</v>
          </cell>
          <cell r="I75">
            <v>23</v>
          </cell>
          <cell r="J75">
            <v>3</v>
          </cell>
        </row>
        <row r="76">
          <cell r="C76" t="str">
            <v>04.894.776/0001-53</v>
          </cell>
          <cell r="D76">
            <v>6</v>
          </cell>
          <cell r="I76">
            <v>23</v>
          </cell>
          <cell r="J76">
            <v>31</v>
          </cell>
        </row>
        <row r="77">
          <cell r="C77" t="str">
            <v>04.903.422/0001-28</v>
          </cell>
          <cell r="D77">
            <v>12</v>
          </cell>
          <cell r="I77">
            <v>23</v>
          </cell>
          <cell r="J77">
            <v>3</v>
          </cell>
        </row>
        <row r="78">
          <cell r="C78" t="str">
            <v>08.996.378/0001-07</v>
          </cell>
          <cell r="D78">
            <v>6</v>
          </cell>
          <cell r="I78">
            <v>17</v>
          </cell>
          <cell r="J78">
            <v>3</v>
          </cell>
        </row>
        <row r="79">
          <cell r="C79" t="str">
            <v>17.781.651/0001-69</v>
          </cell>
          <cell r="D79">
            <v>37</v>
          </cell>
          <cell r="I79">
            <v>11</v>
          </cell>
          <cell r="J79">
            <v>4</v>
          </cell>
        </row>
        <row r="80">
          <cell r="C80" t="str">
            <v>18.960.233/0001-00</v>
          </cell>
          <cell r="D80">
            <v>27</v>
          </cell>
          <cell r="I80">
            <v>11</v>
          </cell>
          <cell r="J80">
            <v>32</v>
          </cell>
        </row>
        <row r="81">
          <cell r="C81" t="str">
            <v>20.301.484/0001-16</v>
          </cell>
          <cell r="D81">
            <v>12</v>
          </cell>
          <cell r="I81">
            <v>11</v>
          </cell>
          <cell r="J81">
            <v>41</v>
          </cell>
        </row>
        <row r="82">
          <cell r="C82" t="str">
            <v>20.834.317/0001-30</v>
          </cell>
          <cell r="D82">
            <v>21</v>
          </cell>
          <cell r="I82">
            <v>10</v>
          </cell>
          <cell r="J82">
            <v>12</v>
          </cell>
        </row>
        <row r="83">
          <cell r="C83" t="str">
            <v>25.103.884/0001-30</v>
          </cell>
          <cell r="D83">
            <v>22</v>
          </cell>
          <cell r="I83">
            <v>8</v>
          </cell>
          <cell r="J83">
            <v>4</v>
          </cell>
        </row>
        <row r="84">
          <cell r="C84" t="str">
            <v>36.580.300/0001-34</v>
          </cell>
          <cell r="D84">
            <v>8</v>
          </cell>
          <cell r="I84">
            <v>6</v>
          </cell>
          <cell r="J84">
            <v>26</v>
          </cell>
        </row>
        <row r="85">
          <cell r="C85" t="str">
            <v>57.740.490/0001-80</v>
          </cell>
          <cell r="D85">
            <v>20</v>
          </cell>
          <cell r="I85">
            <v>35</v>
          </cell>
          <cell r="J85">
            <v>4</v>
          </cell>
        </row>
        <row r="86">
          <cell r="C86" t="str">
            <v>41.774.599/0001-06</v>
          </cell>
          <cell r="D86">
            <v>1898</v>
          </cell>
          <cell r="I86">
            <v>3</v>
          </cell>
          <cell r="J86">
            <v>2</v>
          </cell>
        </row>
        <row r="87">
          <cell r="C87" t="str">
            <v>04.504.120/0001-87</v>
          </cell>
          <cell r="D87">
            <v>7</v>
          </cell>
          <cell r="I87">
            <v>23</v>
          </cell>
          <cell r="J87">
            <v>4</v>
          </cell>
        </row>
        <row r="88">
          <cell r="C88" t="str">
            <v>18.538.208/0001-24</v>
          </cell>
          <cell r="D88">
            <v>50</v>
          </cell>
          <cell r="I88">
            <v>11</v>
          </cell>
          <cell r="J88">
            <v>12</v>
          </cell>
        </row>
        <row r="89">
          <cell r="C89" t="str">
            <v>33.177.475/0001-07</v>
          </cell>
          <cell r="D89">
            <v>23</v>
          </cell>
          <cell r="I89">
            <v>6</v>
          </cell>
          <cell r="J89">
            <v>1</v>
          </cell>
        </row>
        <row r="90">
          <cell r="C90" t="str">
            <v>27.024.544/0001-40</v>
          </cell>
          <cell r="D90">
            <v>23</v>
          </cell>
          <cell r="I90">
            <v>8</v>
          </cell>
          <cell r="J90">
            <v>1</v>
          </cell>
        </row>
        <row r="91">
          <cell r="C91" t="str">
            <v>15.122.475/0001-28</v>
          </cell>
          <cell r="D91">
            <v>13</v>
          </cell>
          <cell r="I91">
            <v>13</v>
          </cell>
          <cell r="J91">
            <v>1</v>
          </cell>
        </row>
        <row r="92">
          <cell r="C92" t="str">
            <v>18.810.874/0001-70</v>
          </cell>
          <cell r="D92">
            <v>16</v>
          </cell>
          <cell r="I92">
            <v>11</v>
          </cell>
          <cell r="J92">
            <v>17</v>
          </cell>
        </row>
        <row r="93">
          <cell r="C93" t="str">
            <v>18.694.089/0001-07</v>
          </cell>
          <cell r="D93">
            <v>19</v>
          </cell>
          <cell r="I93">
            <v>11</v>
          </cell>
          <cell r="J93">
            <v>35</v>
          </cell>
        </row>
        <row r="94">
          <cell r="C94" t="str">
            <v>26.037.369/0001-62</v>
          </cell>
          <cell r="D94">
            <v>28</v>
          </cell>
          <cell r="I94">
            <v>8</v>
          </cell>
          <cell r="J94">
            <v>1</v>
          </cell>
        </row>
        <row r="95">
          <cell r="C95" t="str">
            <v>31.550.540/0001-72</v>
          </cell>
          <cell r="D95">
            <v>31</v>
          </cell>
          <cell r="I95">
            <v>7</v>
          </cell>
          <cell r="J95">
            <v>1</v>
          </cell>
        </row>
        <row r="96">
          <cell r="C96" t="str">
            <v>19.299.110/0001-24</v>
          </cell>
          <cell r="D96">
            <v>14</v>
          </cell>
          <cell r="I96">
            <v>11</v>
          </cell>
          <cell r="J96">
            <v>23</v>
          </cell>
        </row>
        <row r="97">
          <cell r="C97" t="str">
            <v>19.299.110/0001-24</v>
          </cell>
          <cell r="D97">
            <v>14</v>
          </cell>
          <cell r="I97">
            <v>11</v>
          </cell>
          <cell r="J97">
            <v>23</v>
          </cell>
        </row>
        <row r="98">
          <cell r="C98" t="str">
            <v>26.042.718/0001-34</v>
          </cell>
          <cell r="D98">
            <v>13</v>
          </cell>
          <cell r="I98">
            <v>8</v>
          </cell>
          <cell r="J98">
            <v>1</v>
          </cell>
        </row>
        <row r="99">
          <cell r="C99" t="str">
            <v>29.707.393/0001-50</v>
          </cell>
          <cell r="D99">
            <v>13</v>
          </cell>
          <cell r="I99">
            <v>7</v>
          </cell>
          <cell r="J99">
            <v>1</v>
          </cell>
        </row>
        <row r="100">
          <cell r="C100" t="str">
            <v>30.390.856/0001-81</v>
          </cell>
          <cell r="D100">
            <v>6</v>
          </cell>
          <cell r="I100">
            <v>7</v>
          </cell>
          <cell r="J100">
            <v>1</v>
          </cell>
        </row>
        <row r="101">
          <cell r="C101" t="str">
            <v>20.682.667/0001-29</v>
          </cell>
          <cell r="D101">
            <v>22</v>
          </cell>
          <cell r="I101">
            <v>10</v>
          </cell>
          <cell r="J101">
            <v>33</v>
          </cell>
        </row>
        <row r="102">
          <cell r="C102" t="str">
            <v>29.664.289/0001-25</v>
          </cell>
          <cell r="D102">
            <v>28</v>
          </cell>
          <cell r="I102">
            <v>7</v>
          </cell>
          <cell r="J102">
            <v>1</v>
          </cell>
        </row>
        <row r="103">
          <cell r="C103" t="str">
            <v>38.247.590/0001-24</v>
          </cell>
          <cell r="D103">
            <v>13</v>
          </cell>
          <cell r="I103">
            <v>4</v>
          </cell>
          <cell r="J103">
            <v>1</v>
          </cell>
        </row>
        <row r="104">
          <cell r="C104" t="str">
            <v>32.104.619/0001-32</v>
          </cell>
          <cell r="D104">
            <v>17</v>
          </cell>
          <cell r="I104">
            <v>6</v>
          </cell>
          <cell r="J104">
            <v>1</v>
          </cell>
        </row>
        <row r="105">
          <cell r="C105" t="str">
            <v>31.469.764/0001-54</v>
          </cell>
          <cell r="D105">
            <v>9</v>
          </cell>
          <cell r="I105">
            <v>6</v>
          </cell>
          <cell r="J105">
            <v>1</v>
          </cell>
        </row>
        <row r="106">
          <cell r="C106" t="str">
            <v>32.090.677/0001-54</v>
          </cell>
          <cell r="D106">
            <v>10</v>
          </cell>
          <cell r="I106">
            <v>6</v>
          </cell>
          <cell r="J106">
            <v>1</v>
          </cell>
        </row>
        <row r="107">
          <cell r="C107" t="str">
            <v>12.609.221/0001-40</v>
          </cell>
          <cell r="D107">
            <v>5</v>
          </cell>
          <cell r="I107">
            <v>14</v>
          </cell>
          <cell r="J107">
            <v>1</v>
          </cell>
        </row>
        <row r="108">
          <cell r="C108" t="str">
            <v>11.210.107/0001-80</v>
          </cell>
          <cell r="D108">
            <v>8</v>
          </cell>
          <cell r="I108">
            <v>15</v>
          </cell>
          <cell r="J108">
            <v>1</v>
          </cell>
        </row>
        <row r="109">
          <cell r="C109" t="str">
            <v>12.208.466/0001-66</v>
          </cell>
          <cell r="D109">
            <v>24</v>
          </cell>
          <cell r="I109">
            <v>14</v>
          </cell>
          <cell r="J109">
            <v>1</v>
          </cell>
        </row>
        <row r="110">
          <cell r="C110" t="str">
            <v>11.795.563/0001-30</v>
          </cell>
          <cell r="D110">
            <v>7</v>
          </cell>
          <cell r="I110">
            <v>14</v>
          </cell>
          <cell r="J110">
            <v>1</v>
          </cell>
        </row>
        <row r="111">
          <cell r="C111" t="str">
            <v>12.939.977/0001-58</v>
          </cell>
          <cell r="D111">
            <v>7</v>
          </cell>
          <cell r="I111">
            <v>15</v>
          </cell>
          <cell r="J111">
            <v>1</v>
          </cell>
        </row>
        <row r="112">
          <cell r="C112" t="str">
            <v>13.179.412/0001-82</v>
          </cell>
          <cell r="D112">
            <v>6</v>
          </cell>
          <cell r="I112">
            <v>15</v>
          </cell>
          <cell r="J112">
            <v>2</v>
          </cell>
        </row>
        <row r="113">
          <cell r="C113" t="str">
            <v>11.490.043/0001-19</v>
          </cell>
          <cell r="D113">
            <v>8</v>
          </cell>
          <cell r="I113">
            <v>15</v>
          </cell>
          <cell r="J113">
            <v>1</v>
          </cell>
        </row>
        <row r="114">
          <cell r="C114" t="str">
            <v>08.873.411/0001-01</v>
          </cell>
          <cell r="D114">
            <v>8</v>
          </cell>
          <cell r="I114">
            <v>17</v>
          </cell>
          <cell r="J114">
            <v>28</v>
          </cell>
        </row>
        <row r="115">
          <cell r="C115" t="str">
            <v>11.436.747/0001-03</v>
          </cell>
          <cell r="D115">
            <v>6</v>
          </cell>
          <cell r="I115">
            <v>15</v>
          </cell>
          <cell r="J115">
            <v>2</v>
          </cell>
        </row>
        <row r="116">
          <cell r="C116" t="str">
            <v>14.530.768/0001-81</v>
          </cell>
          <cell r="D116">
            <v>10</v>
          </cell>
          <cell r="I116">
            <v>15</v>
          </cell>
          <cell r="J116">
            <v>1</v>
          </cell>
        </row>
        <row r="117">
          <cell r="C117" t="str">
            <v>12.768.835/0001-75</v>
          </cell>
          <cell r="D117">
            <v>10</v>
          </cell>
          <cell r="I117">
            <v>15</v>
          </cell>
          <cell r="J117">
            <v>1</v>
          </cell>
        </row>
        <row r="118">
          <cell r="C118" t="str">
            <v>12.986.520/0001-02</v>
          </cell>
          <cell r="D118">
            <v>4</v>
          </cell>
          <cell r="I118">
            <v>15</v>
          </cell>
          <cell r="J118">
            <v>1</v>
          </cell>
        </row>
        <row r="119">
          <cell r="C119" t="str">
            <v>12.987.708/0001-67</v>
          </cell>
          <cell r="D119">
            <v>9</v>
          </cell>
          <cell r="I119">
            <v>14</v>
          </cell>
          <cell r="J119">
            <v>1</v>
          </cell>
        </row>
        <row r="120">
          <cell r="C120" t="str">
            <v>12.940.254/0001-79</v>
          </cell>
          <cell r="D120">
            <v>8</v>
          </cell>
          <cell r="I120">
            <v>15</v>
          </cell>
          <cell r="J120">
            <v>1</v>
          </cell>
        </row>
        <row r="121">
          <cell r="C121" t="str">
            <v>03.008.926/0001-11</v>
          </cell>
          <cell r="D121">
            <v>14</v>
          </cell>
          <cell r="I121">
            <v>26</v>
          </cell>
          <cell r="J121">
            <v>39</v>
          </cell>
        </row>
        <row r="122">
          <cell r="C122" t="str">
            <v>02.236.721/0001-20</v>
          </cell>
          <cell r="D122">
            <v>16</v>
          </cell>
          <cell r="I122">
            <v>31</v>
          </cell>
          <cell r="J122">
            <v>17</v>
          </cell>
        </row>
        <row r="123">
          <cell r="C123" t="str">
            <v>02.760.004/0001-01</v>
          </cell>
          <cell r="D123">
            <v>17</v>
          </cell>
          <cell r="I123">
            <v>26</v>
          </cell>
          <cell r="J123">
            <v>1</v>
          </cell>
        </row>
        <row r="124">
          <cell r="C124" t="str">
            <v>03.657.784/0001-13</v>
          </cell>
          <cell r="D124">
            <v>8</v>
          </cell>
          <cell r="I124">
            <v>19</v>
          </cell>
          <cell r="J124">
            <v>6</v>
          </cell>
        </row>
        <row r="125">
          <cell r="C125" t="str">
            <v>02.763.350/0001-35</v>
          </cell>
          <cell r="D125">
            <v>12</v>
          </cell>
          <cell r="I125">
            <v>26</v>
          </cell>
          <cell r="J125">
            <v>1</v>
          </cell>
        </row>
        <row r="126">
          <cell r="C126" t="str">
            <v>23.296.962/0001-35</v>
          </cell>
          <cell r="D126">
            <v>12</v>
          </cell>
          <cell r="I126">
            <v>10</v>
          </cell>
          <cell r="J126">
            <v>1</v>
          </cell>
        </row>
        <row r="127">
          <cell r="C127" t="str">
            <v>18.693.174/0001-42</v>
          </cell>
          <cell r="D127">
            <v>12</v>
          </cell>
          <cell r="I127">
            <v>11</v>
          </cell>
          <cell r="J127">
            <v>4</v>
          </cell>
        </row>
        <row r="128">
          <cell r="C128" t="str">
            <v>23.269.789/0001-86</v>
          </cell>
          <cell r="D128">
            <v>17</v>
          </cell>
          <cell r="I128">
            <v>10</v>
          </cell>
          <cell r="J128">
            <v>1</v>
          </cell>
        </row>
        <row r="129">
          <cell r="C129" t="str">
            <v>19.455.857/0001-24</v>
          </cell>
          <cell r="D129">
            <v>13</v>
          </cell>
          <cell r="I129">
            <v>11</v>
          </cell>
          <cell r="J129">
            <v>1</v>
          </cell>
        </row>
        <row r="130">
          <cell r="C130" t="str">
            <v>21.045.071/0001-80</v>
          </cell>
          <cell r="D130">
            <v>18</v>
          </cell>
          <cell r="I130">
            <v>10</v>
          </cell>
          <cell r="J130">
            <v>1</v>
          </cell>
        </row>
        <row r="131">
          <cell r="C131" t="str">
            <v>07.387.311/0001-02</v>
          </cell>
          <cell r="D131">
            <v>37</v>
          </cell>
          <cell r="I131">
            <v>19</v>
          </cell>
          <cell r="J131">
            <v>32</v>
          </cell>
        </row>
        <row r="132">
          <cell r="C132" t="str">
            <v>10.807.713/0001-15</v>
          </cell>
          <cell r="D132">
            <v>10</v>
          </cell>
          <cell r="I132">
            <v>16</v>
          </cell>
          <cell r="J132">
            <v>43</v>
          </cell>
        </row>
        <row r="133">
          <cell r="C133" t="str">
            <v>18.562.245/0001-78</v>
          </cell>
          <cell r="D133">
            <v>25</v>
          </cell>
          <cell r="I133">
            <v>11</v>
          </cell>
          <cell r="J133">
            <v>43</v>
          </cell>
        </row>
        <row r="134">
          <cell r="C134" t="str">
            <v>07.553.554/0001-65</v>
          </cell>
          <cell r="D134">
            <v>23</v>
          </cell>
          <cell r="I134">
            <v>19</v>
          </cell>
          <cell r="J134">
            <v>36</v>
          </cell>
        </row>
        <row r="135">
          <cell r="C135" t="str">
            <v>35.548.093/0001-78</v>
          </cell>
          <cell r="D135">
            <v>10</v>
          </cell>
          <cell r="I135">
            <v>5</v>
          </cell>
          <cell r="J135">
            <v>18</v>
          </cell>
        </row>
        <row r="136">
          <cell r="C136" t="str">
            <v>01.289.973/0001-55</v>
          </cell>
          <cell r="D136">
            <v>9</v>
          </cell>
          <cell r="I136">
            <v>28</v>
          </cell>
          <cell r="J136">
            <v>1</v>
          </cell>
        </row>
        <row r="137">
          <cell r="C137" t="str">
            <v>03.869.109/0001-58</v>
          </cell>
          <cell r="D137">
            <v>3</v>
          </cell>
          <cell r="I137">
            <v>24</v>
          </cell>
          <cell r="J137">
            <v>1</v>
          </cell>
        </row>
        <row r="138">
          <cell r="C138" t="str">
            <v>12.333.051/0001-14</v>
          </cell>
          <cell r="D138">
            <v>15</v>
          </cell>
          <cell r="I138">
            <v>14</v>
          </cell>
          <cell r="J138">
            <v>8</v>
          </cell>
        </row>
        <row r="139">
          <cell r="C139" t="str">
            <v>00.905.312/0001-44</v>
          </cell>
          <cell r="D139">
            <v>15</v>
          </cell>
          <cell r="I139">
            <v>29</v>
          </cell>
          <cell r="J139">
            <v>1</v>
          </cell>
        </row>
        <row r="140">
          <cell r="C140" t="str">
            <v>20.357.048/0001-69</v>
          </cell>
          <cell r="D140">
            <v>19</v>
          </cell>
          <cell r="I140">
            <v>10</v>
          </cell>
          <cell r="J140">
            <v>32</v>
          </cell>
        </row>
        <row r="141">
          <cell r="C141" t="str">
            <v>28.078.941/0001-67</v>
          </cell>
          <cell r="D141">
            <v>5</v>
          </cell>
          <cell r="I141">
            <v>7</v>
          </cell>
          <cell r="J141">
            <v>23</v>
          </cell>
        </row>
        <row r="142">
          <cell r="C142" t="str">
            <v>07.333.598/0001-80</v>
          </cell>
          <cell r="D142">
            <v>6</v>
          </cell>
          <cell r="I142">
            <v>19</v>
          </cell>
          <cell r="J142">
            <v>2</v>
          </cell>
        </row>
        <row r="143">
          <cell r="C143" t="str">
            <v>01.172.959/0001-77</v>
          </cell>
          <cell r="D143">
            <v>14</v>
          </cell>
          <cell r="I143">
            <v>28</v>
          </cell>
          <cell r="J143">
            <v>1</v>
          </cell>
        </row>
        <row r="144">
          <cell r="C144" t="str">
            <v>28.168.515/0001-14</v>
          </cell>
          <cell r="D144">
            <v>9</v>
          </cell>
          <cell r="I144">
            <v>7</v>
          </cell>
          <cell r="J144">
            <v>1</v>
          </cell>
        </row>
        <row r="145">
          <cell r="C145" t="str">
            <v>07.306.549/0001-58</v>
          </cell>
          <cell r="D145">
            <v>14</v>
          </cell>
          <cell r="I145">
            <v>19</v>
          </cell>
          <cell r="J145">
            <v>49</v>
          </cell>
        </row>
        <row r="146">
          <cell r="C146" t="str">
            <v>00.745.932/0001-63</v>
          </cell>
          <cell r="D146">
            <v>11</v>
          </cell>
          <cell r="I146">
            <v>29</v>
          </cell>
          <cell r="J146">
            <v>1</v>
          </cell>
        </row>
        <row r="147">
          <cell r="C147" t="str">
            <v>09.310.999/0001-40</v>
          </cell>
          <cell r="D147">
            <v>10</v>
          </cell>
          <cell r="I147">
            <v>10</v>
          </cell>
          <cell r="J147">
            <v>2</v>
          </cell>
        </row>
        <row r="148">
          <cell r="C148" t="str">
            <v>01.208.564/0001-87</v>
          </cell>
          <cell r="D148">
            <v>20</v>
          </cell>
          <cell r="I148">
            <v>28</v>
          </cell>
          <cell r="J148">
            <v>1</v>
          </cell>
        </row>
        <row r="149">
          <cell r="C149" t="str">
            <v>01.256.507/0001-73</v>
          </cell>
          <cell r="D149">
            <v>5</v>
          </cell>
          <cell r="I149">
            <v>28</v>
          </cell>
          <cell r="J149">
            <v>2</v>
          </cell>
        </row>
        <row r="150">
          <cell r="C150" t="str">
            <v>01.257.142/0001-00</v>
          </cell>
          <cell r="D150">
            <v>7</v>
          </cell>
          <cell r="I150">
            <v>28</v>
          </cell>
          <cell r="J150">
            <v>1</v>
          </cell>
        </row>
        <row r="151">
          <cell r="C151" t="str">
            <v>32.308.233/0001-42</v>
          </cell>
          <cell r="D151">
            <v>16</v>
          </cell>
          <cell r="I151">
            <v>6</v>
          </cell>
          <cell r="J151">
            <v>48</v>
          </cell>
        </row>
        <row r="152">
          <cell r="C152" t="str">
            <v>00.931.990/0001-81</v>
          </cell>
          <cell r="D152">
            <v>4</v>
          </cell>
          <cell r="I152">
            <v>29</v>
          </cell>
          <cell r="J152">
            <v>4</v>
          </cell>
        </row>
        <row r="153">
          <cell r="C153" t="str">
            <v>64.486.822/0001-07</v>
          </cell>
          <cell r="D153">
            <v>14</v>
          </cell>
          <cell r="I153">
            <v>31</v>
          </cell>
          <cell r="J153">
            <v>1</v>
          </cell>
        </row>
        <row r="154">
          <cell r="C154" t="str">
            <v>01.124.788/0001-00</v>
          </cell>
          <cell r="D154">
            <v>5</v>
          </cell>
          <cell r="I154">
            <v>28</v>
          </cell>
          <cell r="J154">
            <v>1</v>
          </cell>
        </row>
        <row r="155">
          <cell r="C155" t="str">
            <v>00.639.952/0001-50</v>
          </cell>
          <cell r="D155">
            <v>10</v>
          </cell>
          <cell r="I155">
            <v>29</v>
          </cell>
          <cell r="J155">
            <v>1</v>
          </cell>
        </row>
        <row r="156">
          <cell r="C156" t="str">
            <v>01.260.691/0001-25</v>
          </cell>
          <cell r="D156">
            <v>15</v>
          </cell>
          <cell r="I156">
            <v>28</v>
          </cell>
          <cell r="J156">
            <v>4</v>
          </cell>
        </row>
        <row r="157">
          <cell r="C157" t="str">
            <v>01.202.226/0001-38</v>
          </cell>
          <cell r="D157">
            <v>14</v>
          </cell>
          <cell r="I157">
            <v>28</v>
          </cell>
          <cell r="J157">
            <v>1</v>
          </cell>
        </row>
        <row r="158">
          <cell r="C158" t="str">
            <v>00.995.538/0001-83</v>
          </cell>
          <cell r="D158">
            <v>11</v>
          </cell>
          <cell r="I158">
            <v>29</v>
          </cell>
          <cell r="J158">
            <v>1</v>
          </cell>
        </row>
        <row r="159">
          <cell r="C159" t="str">
            <v>01.994.407/0001-44</v>
          </cell>
          <cell r="D159">
            <v>9</v>
          </cell>
          <cell r="I159">
            <v>28</v>
          </cell>
          <cell r="J159">
            <v>10</v>
          </cell>
        </row>
        <row r="160">
          <cell r="C160" t="str">
            <v>00.699.767/0001-50</v>
          </cell>
          <cell r="D160">
            <v>23</v>
          </cell>
          <cell r="I160">
            <v>29</v>
          </cell>
          <cell r="J160">
            <v>2</v>
          </cell>
        </row>
        <row r="161">
          <cell r="C161" t="str">
            <v>01.272.081/0001-41</v>
          </cell>
          <cell r="D161">
            <v>17</v>
          </cell>
          <cell r="I161">
            <v>28</v>
          </cell>
          <cell r="J161">
            <v>32</v>
          </cell>
        </row>
        <row r="162">
          <cell r="C162" t="str">
            <v>00.773.222/0001-47</v>
          </cell>
          <cell r="D162">
            <v>11</v>
          </cell>
          <cell r="I162">
            <v>29</v>
          </cell>
          <cell r="J162">
            <v>1</v>
          </cell>
        </row>
        <row r="163">
          <cell r="C163" t="str">
            <v>17.904.158/0001-99</v>
          </cell>
          <cell r="D163">
            <v>7</v>
          </cell>
          <cell r="I163">
            <v>11</v>
          </cell>
          <cell r="J163">
            <v>20</v>
          </cell>
        </row>
        <row r="164">
          <cell r="C164" t="str">
            <v>00.784.548/0001-70</v>
          </cell>
          <cell r="D164">
            <v>6</v>
          </cell>
          <cell r="I164">
            <v>29</v>
          </cell>
          <cell r="J164">
            <v>1</v>
          </cell>
        </row>
        <row r="165">
          <cell r="C165" t="str">
            <v>01.921.228/0001-87</v>
          </cell>
          <cell r="D165">
            <v>12</v>
          </cell>
          <cell r="I165">
            <v>28</v>
          </cell>
          <cell r="J165">
            <v>2</v>
          </cell>
        </row>
        <row r="166">
          <cell r="C166" t="str">
            <v>21.325.226/0001-32</v>
          </cell>
          <cell r="D166">
            <v>15</v>
          </cell>
          <cell r="I166">
            <v>10</v>
          </cell>
          <cell r="J166">
            <v>49</v>
          </cell>
        </row>
        <row r="167">
          <cell r="C167" t="str">
            <v>02.031.332/0001-69</v>
          </cell>
          <cell r="D167">
            <v>6</v>
          </cell>
          <cell r="I167">
            <v>27</v>
          </cell>
          <cell r="J167">
            <v>1</v>
          </cell>
        </row>
        <row r="168">
          <cell r="C168" t="str">
            <v>01.243.423/0001-03</v>
          </cell>
          <cell r="D168">
            <v>39</v>
          </cell>
          <cell r="I168">
            <v>28</v>
          </cell>
          <cell r="J168">
            <v>1</v>
          </cell>
        </row>
        <row r="169">
          <cell r="C169" t="str">
            <v> 01.990.521/0001-04</v>
          </cell>
          <cell r="D169">
            <v>22</v>
          </cell>
          <cell r="I169">
            <v>27</v>
          </cell>
          <cell r="J169">
            <v>1</v>
          </cell>
        </row>
        <row r="170">
          <cell r="C170" t="str">
            <v>03.735.788/0001-72</v>
          </cell>
          <cell r="D170">
            <v>10</v>
          </cell>
          <cell r="I170">
            <v>24</v>
          </cell>
          <cell r="J170">
            <v>2</v>
          </cell>
        </row>
        <row r="171">
          <cell r="C171" t="str">
            <v>00.079.634/0001-81</v>
          </cell>
          <cell r="D171">
            <v>12</v>
          </cell>
          <cell r="I171">
            <v>30</v>
          </cell>
          <cell r="J171">
            <v>1</v>
          </cell>
        </row>
        <row r="172">
          <cell r="C172" t="str">
            <v>01.098.929/0001-68</v>
          </cell>
          <cell r="D172">
            <v>16</v>
          </cell>
          <cell r="I172">
            <v>28</v>
          </cell>
          <cell r="J172">
            <v>3</v>
          </cell>
        </row>
        <row r="173">
          <cell r="C173" t="str">
            <v>02.401.218/0001-83</v>
          </cell>
          <cell r="D173">
            <v>13</v>
          </cell>
          <cell r="I173">
            <v>27</v>
          </cell>
          <cell r="J173">
            <v>1</v>
          </cell>
        </row>
        <row r="174">
          <cell r="C174" t="str">
            <v>01.095.667/0001-88</v>
          </cell>
          <cell r="D174">
            <v>22</v>
          </cell>
          <cell r="I174">
            <v>29</v>
          </cell>
          <cell r="J174">
            <v>2</v>
          </cell>
        </row>
        <row r="175">
          <cell r="C175" t="str">
            <v>02.034.350/0001-02</v>
          </cell>
          <cell r="D175">
            <v>17</v>
          </cell>
          <cell r="I175">
            <v>27</v>
          </cell>
          <cell r="J175">
            <v>1</v>
          </cell>
        </row>
        <row r="176">
          <cell r="C176" t="str">
            <v>01.999.898/0001-16</v>
          </cell>
          <cell r="D176">
            <v>15</v>
          </cell>
          <cell r="I176">
            <v>19</v>
          </cell>
          <cell r="J176">
            <v>15</v>
          </cell>
        </row>
        <row r="177">
          <cell r="C177" t="str">
            <v>00.853.908/0001-48</v>
          </cell>
          <cell r="D177">
            <v>18</v>
          </cell>
          <cell r="I177">
            <v>29</v>
          </cell>
          <cell r="J177">
            <v>2</v>
          </cell>
        </row>
        <row r="178">
          <cell r="C178" t="str">
            <v>23.866.705/0001-91</v>
          </cell>
          <cell r="D178">
            <v>34</v>
          </cell>
          <cell r="I178">
            <v>9</v>
          </cell>
          <cell r="J178">
            <v>1</v>
          </cell>
        </row>
        <row r="179">
          <cell r="C179" t="str">
            <v>12.963.113/0001-71</v>
          </cell>
          <cell r="D179">
            <v>21</v>
          </cell>
          <cell r="I179">
            <v>14</v>
          </cell>
          <cell r="J179">
            <v>26</v>
          </cell>
        </row>
        <row r="180">
          <cell r="C180" t="str">
            <v>21.534.350/0001-08</v>
          </cell>
          <cell r="D180">
            <v>19</v>
          </cell>
          <cell r="I180">
            <v>39</v>
          </cell>
          <cell r="J180">
            <v>2</v>
          </cell>
        </row>
        <row r="181">
          <cell r="C181" t="str">
            <v>11.592.737/0001-67</v>
          </cell>
          <cell r="D181">
            <v>24</v>
          </cell>
          <cell r="I181">
            <v>15</v>
          </cell>
          <cell r="J181">
            <v>1</v>
          </cell>
        </row>
        <row r="182">
          <cell r="C182" t="str">
            <v>21.564.247/0001-00</v>
          </cell>
          <cell r="D182">
            <v>3</v>
          </cell>
          <cell r="I182">
            <v>10</v>
          </cell>
          <cell r="J182">
            <v>21</v>
          </cell>
        </row>
        <row r="183">
          <cell r="C183" t="str">
            <v>20.362.307/0001-40</v>
          </cell>
          <cell r="D183">
            <v>30</v>
          </cell>
          <cell r="I183">
            <v>46</v>
          </cell>
          <cell r="J183">
            <v>21</v>
          </cell>
        </row>
        <row r="184">
          <cell r="C184" t="str">
            <v>01.111.142/0001-99</v>
          </cell>
          <cell r="D184">
            <v>15</v>
          </cell>
          <cell r="I184">
            <v>29</v>
          </cell>
          <cell r="J184">
            <v>1</v>
          </cell>
        </row>
        <row r="185">
          <cell r="C185" t="str">
            <v>00.622.039/0001-40</v>
          </cell>
          <cell r="D185">
            <v>8</v>
          </cell>
          <cell r="I185">
            <v>29</v>
          </cell>
          <cell r="J185">
            <v>1</v>
          </cell>
        </row>
        <row r="186">
          <cell r="C186" t="str">
            <v>01.203.485/0001-83</v>
          </cell>
          <cell r="D186">
            <v>27</v>
          </cell>
          <cell r="I186">
            <v>28</v>
          </cell>
          <cell r="J186">
            <v>1</v>
          </cell>
        </row>
        <row r="187">
          <cell r="C187" t="str">
            <v>22.067.253/0001-15</v>
          </cell>
          <cell r="D187">
            <v>8</v>
          </cell>
          <cell r="I187">
            <v>10</v>
          </cell>
          <cell r="J187">
            <v>29</v>
          </cell>
        </row>
        <row r="188">
          <cell r="C188" t="str">
            <v>02.228.364/0001-59</v>
          </cell>
          <cell r="D188">
            <v>6</v>
          </cell>
          <cell r="I188">
            <v>27</v>
          </cell>
          <cell r="J188">
            <v>2</v>
          </cell>
        </row>
        <row r="189">
          <cell r="C189" t="str">
            <v>02.056.667/0001-31</v>
          </cell>
          <cell r="D189">
            <v>6</v>
          </cell>
          <cell r="I189">
            <v>27</v>
          </cell>
          <cell r="J189">
            <v>2</v>
          </cell>
        </row>
        <row r="190">
          <cell r="C190" t="str">
            <v>23.019.551/0001-00</v>
          </cell>
          <cell r="D190">
            <v>15</v>
          </cell>
          <cell r="I190">
            <v>9</v>
          </cell>
          <cell r="J190">
            <v>1</v>
          </cell>
        </row>
        <row r="191">
          <cell r="C191" t="str">
            <v>02.601.738/0001-30</v>
          </cell>
          <cell r="D191">
            <v>7</v>
          </cell>
          <cell r="I191">
            <v>26</v>
          </cell>
          <cell r="J191">
            <v>1</v>
          </cell>
        </row>
        <row r="192">
          <cell r="C192" t="str">
            <v>04.805.882/0001-13</v>
          </cell>
          <cell r="D192">
            <v>3</v>
          </cell>
          <cell r="I192">
            <v>23</v>
          </cell>
          <cell r="J192">
            <v>1</v>
          </cell>
        </row>
        <row r="193">
          <cell r="C193" t="str">
            <v>05.238.413/0001-22</v>
          </cell>
          <cell r="D193">
            <v>19</v>
          </cell>
          <cell r="I193">
            <v>22</v>
          </cell>
          <cell r="J193">
            <v>2</v>
          </cell>
        </row>
        <row r="194">
          <cell r="C194" t="str">
            <v>07.588.711/0001-78</v>
          </cell>
          <cell r="D194">
            <v>4</v>
          </cell>
          <cell r="I194">
            <v>19</v>
          </cell>
          <cell r="J194">
            <v>1</v>
          </cell>
        </row>
        <row r="195">
          <cell r="C195" t="str">
            <v>01.870.663/0001-20</v>
          </cell>
          <cell r="D195">
            <v>14</v>
          </cell>
          <cell r="I195">
            <v>27</v>
          </cell>
          <cell r="J195">
            <v>2</v>
          </cell>
        </row>
        <row r="196">
          <cell r="C196" t="str">
            <v>02.451.265/0001-31</v>
          </cell>
          <cell r="D196">
            <v>9</v>
          </cell>
          <cell r="I196">
            <v>26</v>
          </cell>
          <cell r="J196">
            <v>3</v>
          </cell>
        </row>
        <row r="197">
          <cell r="C197" t="str">
            <v>07.770.343/0001-84</v>
          </cell>
          <cell r="D197">
            <v>7</v>
          </cell>
          <cell r="I197">
            <v>19</v>
          </cell>
          <cell r="J197">
            <v>1</v>
          </cell>
        </row>
        <row r="198">
          <cell r="C198" t="str">
            <v>07.898.631/0001-19</v>
          </cell>
          <cell r="D198">
            <v>14</v>
          </cell>
          <cell r="I198">
            <v>19</v>
          </cell>
          <cell r="J198">
            <v>19</v>
          </cell>
        </row>
        <row r="199">
          <cell r="C199" t="str">
            <v>03.112.951/0001-40</v>
          </cell>
          <cell r="D199">
            <v>32</v>
          </cell>
          <cell r="I199">
            <v>25</v>
          </cell>
          <cell r="J199">
            <v>8</v>
          </cell>
        </row>
        <row r="200">
          <cell r="C200" t="str">
            <v>10.876.240/0001-08</v>
          </cell>
          <cell r="D200">
            <v>0</v>
          </cell>
          <cell r="I200">
            <v>5</v>
          </cell>
          <cell r="J200">
            <v>1</v>
          </cell>
        </row>
        <row r="201">
          <cell r="C201" t="str">
            <v>01.958.301/0001-95</v>
          </cell>
          <cell r="D201">
            <v>16</v>
          </cell>
          <cell r="I201">
            <v>28</v>
          </cell>
          <cell r="J201">
            <v>1</v>
          </cell>
        </row>
        <row r="202">
          <cell r="C202" t="str">
            <v>02.471.378/0001-07</v>
          </cell>
          <cell r="D202">
            <v>18</v>
          </cell>
          <cell r="I202">
            <v>26</v>
          </cell>
          <cell r="J202">
            <v>1</v>
          </cell>
        </row>
        <row r="203">
          <cell r="C203" t="str">
            <v>08.609.617/0001-10</v>
          </cell>
          <cell r="D203">
            <v>8</v>
          </cell>
          <cell r="I203">
            <v>18</v>
          </cell>
          <cell r="J203">
            <v>1</v>
          </cell>
        </row>
        <row r="204">
          <cell r="C204" t="str">
            <v>10.283.138/0001-07</v>
          </cell>
          <cell r="D204">
            <v>13</v>
          </cell>
          <cell r="I204">
            <v>17</v>
          </cell>
          <cell r="J204">
            <v>40</v>
          </cell>
        </row>
        <row r="205">
          <cell r="C205" t="str">
            <v>20.596.196/0001-36</v>
          </cell>
          <cell r="D205">
            <v>4</v>
          </cell>
          <cell r="I205">
            <v>10</v>
          </cell>
          <cell r="J205">
            <v>1</v>
          </cell>
        </row>
        <row r="206">
          <cell r="C206" t="str">
            <v>18.463.003/0001-27</v>
          </cell>
          <cell r="D206">
            <v>7</v>
          </cell>
          <cell r="I206">
            <v>15</v>
          </cell>
          <cell r="J206">
            <v>7</v>
          </cell>
        </row>
        <row r="207">
          <cell r="C207" t="str">
            <v>19.019.448/0001-85</v>
          </cell>
          <cell r="D207">
            <v>8</v>
          </cell>
          <cell r="I207">
            <v>11</v>
          </cell>
          <cell r="J207">
            <v>9</v>
          </cell>
        </row>
        <row r="208">
          <cell r="C208" t="str">
            <v>08.915.880/0001-38</v>
          </cell>
          <cell r="D208">
            <v>20</v>
          </cell>
          <cell r="I208">
            <v>17</v>
          </cell>
          <cell r="J208">
            <v>15</v>
          </cell>
        </row>
        <row r="209">
          <cell r="C209" t="str">
            <v>11.274.563/0001-94</v>
          </cell>
          <cell r="D209">
            <v>22</v>
          </cell>
          <cell r="I209">
            <v>15</v>
          </cell>
          <cell r="J209">
            <v>22</v>
          </cell>
        </row>
        <row r="210">
          <cell r="C210" t="str">
            <v>09.242.465/0001-23</v>
          </cell>
          <cell r="D210">
            <v>25</v>
          </cell>
          <cell r="I210">
            <v>17</v>
          </cell>
          <cell r="J210">
            <v>20</v>
          </cell>
        </row>
        <row r="211">
          <cell r="C211" t="str">
            <v>18.538.240/0001-00</v>
          </cell>
          <cell r="D211">
            <v>6</v>
          </cell>
          <cell r="I211">
            <v>11</v>
          </cell>
          <cell r="J211">
            <v>19</v>
          </cell>
        </row>
        <row r="212">
          <cell r="C212" t="str">
            <v>07.753.868/0001-01</v>
          </cell>
          <cell r="D212">
            <v>23</v>
          </cell>
          <cell r="I212">
            <v>22</v>
          </cell>
          <cell r="J212">
            <v>10</v>
          </cell>
        </row>
        <row r="213">
          <cell r="C213" t="str">
            <v>20.485.741/0001-17</v>
          </cell>
          <cell r="D213">
            <v>7</v>
          </cell>
          <cell r="I213">
            <v>10</v>
          </cell>
          <cell r="J213">
            <v>23</v>
          </cell>
        </row>
        <row r="214">
          <cell r="C214" t="str">
            <v>33.632.625/0001-25</v>
          </cell>
          <cell r="D214">
            <v>4</v>
          </cell>
          <cell r="I214">
            <v>5</v>
          </cell>
          <cell r="J214">
            <v>43</v>
          </cell>
        </row>
        <row r="215">
          <cell r="C215" t="str">
            <v>73.966.913/0001-30</v>
          </cell>
          <cell r="D215">
            <v>28</v>
          </cell>
          <cell r="I215">
            <v>31</v>
          </cell>
          <cell r="J215">
            <v>1</v>
          </cell>
        </row>
        <row r="216">
          <cell r="C216" t="str">
            <v>01.178.931/0001-47</v>
          </cell>
          <cell r="D216">
            <v>11</v>
          </cell>
          <cell r="I216">
            <v>28</v>
          </cell>
          <cell r="J216">
            <v>2</v>
          </cell>
        </row>
        <row r="217">
          <cell r="C217" t="str">
            <v>86.763.828/0001-17</v>
          </cell>
          <cell r="D217">
            <v>9</v>
          </cell>
          <cell r="I217">
            <v>31</v>
          </cell>
          <cell r="J217">
            <v>1</v>
          </cell>
        </row>
        <row r="218">
          <cell r="C218" t="str">
            <v>04.956.153/0001-68</v>
          </cell>
          <cell r="D218">
            <v>30</v>
          </cell>
          <cell r="I218">
            <v>22</v>
          </cell>
          <cell r="J218">
            <v>1</v>
          </cell>
        </row>
        <row r="219">
          <cell r="C219" t="str">
            <v>01.010.042/0001-76</v>
          </cell>
          <cell r="D219">
            <v>18</v>
          </cell>
          <cell r="I219">
            <v>29</v>
          </cell>
          <cell r="J219">
            <v>1</v>
          </cell>
        </row>
        <row r="220">
          <cell r="C220" t="str">
            <v>00.476.612/0001-55</v>
          </cell>
          <cell r="D220">
            <v>22</v>
          </cell>
          <cell r="I220">
            <v>29</v>
          </cell>
          <cell r="J220">
            <v>4</v>
          </cell>
        </row>
        <row r="221">
          <cell r="C221" t="str">
            <v>12.731.728/0001-72</v>
          </cell>
          <cell r="D221">
            <v>4</v>
          </cell>
          <cell r="I221">
            <v>14</v>
          </cell>
          <cell r="J221">
            <v>33</v>
          </cell>
        </row>
        <row r="222">
          <cell r="C222" t="str">
            <v>08.976.528/0001-02</v>
          </cell>
          <cell r="D222">
            <v>7</v>
          </cell>
          <cell r="I222">
            <v>17</v>
          </cell>
          <cell r="J222">
            <v>11</v>
          </cell>
        </row>
        <row r="223">
          <cell r="C223" t="str">
            <v>16.834.978/0001-99</v>
          </cell>
          <cell r="D223">
            <v>3</v>
          </cell>
          <cell r="I223">
            <v>12</v>
          </cell>
          <cell r="J223">
            <v>16</v>
          </cell>
        </row>
        <row r="224">
          <cell r="C224" t="str">
            <v>02.586.019/0001-97</v>
          </cell>
          <cell r="D224">
            <v>16</v>
          </cell>
          <cell r="I224">
            <v>26</v>
          </cell>
          <cell r="J224">
            <v>2</v>
          </cell>
        </row>
        <row r="225">
          <cell r="C225" t="str">
            <v>14.810.317/0001-06</v>
          </cell>
          <cell r="D225">
            <v>7</v>
          </cell>
          <cell r="I225">
            <v>13</v>
          </cell>
          <cell r="J225">
            <v>1</v>
          </cell>
        </row>
        <row r="226">
          <cell r="C226" t="str">
            <v>11.881.350/0001-20</v>
          </cell>
          <cell r="D226">
            <v>31</v>
          </cell>
          <cell r="I226">
            <v>14</v>
          </cell>
          <cell r="J226">
            <v>23</v>
          </cell>
        </row>
        <row r="227">
          <cell r="C227" t="str">
            <v>03.601.519/0001-13</v>
          </cell>
          <cell r="D227">
            <v>13</v>
          </cell>
          <cell r="I227">
            <v>25</v>
          </cell>
          <cell r="J227">
            <v>2</v>
          </cell>
        </row>
        <row r="228">
          <cell r="C228" t="str">
            <v>36.330.988/0001-02</v>
          </cell>
          <cell r="D228">
            <v>20</v>
          </cell>
          <cell r="I228">
            <v>6</v>
          </cell>
          <cell r="J228">
            <v>3</v>
          </cell>
        </row>
        <row r="229">
          <cell r="C229" t="str">
            <v>03.878.900/0001-24</v>
          </cell>
          <cell r="D229">
            <v>19</v>
          </cell>
          <cell r="I229">
            <v>23</v>
          </cell>
          <cell r="J229">
            <v>1</v>
          </cell>
        </row>
        <row r="230">
          <cell r="C230" t="str">
            <v> 00.358.098/0001-53</v>
          </cell>
          <cell r="D230">
            <v>9</v>
          </cell>
          <cell r="I230">
            <v>30</v>
          </cell>
          <cell r="J230">
            <v>2</v>
          </cell>
        </row>
        <row r="231">
          <cell r="C231" t="str">
            <v>08.061.295/0001-18</v>
          </cell>
          <cell r="D231">
            <v>32</v>
          </cell>
          <cell r="I231">
            <v>19</v>
          </cell>
          <cell r="J231">
            <v>9</v>
          </cell>
        </row>
        <row r="232">
          <cell r="C232" t="str">
            <v>00.956.801/0001-25</v>
          </cell>
          <cell r="D232">
            <v>9</v>
          </cell>
          <cell r="I232">
            <v>29</v>
          </cell>
          <cell r="J232">
            <v>1</v>
          </cell>
        </row>
        <row r="233">
          <cell r="C233" t="str">
            <v>10.865.793/0001-65</v>
          </cell>
          <cell r="D233">
            <v>3</v>
          </cell>
          <cell r="I233">
            <v>15</v>
          </cell>
          <cell r="J233">
            <v>31</v>
          </cell>
        </row>
        <row r="234">
          <cell r="C234" t="str">
            <v>00.879.976/0001-86</v>
          </cell>
          <cell r="D234">
            <v>7</v>
          </cell>
          <cell r="I234">
            <v>29</v>
          </cell>
          <cell r="J234">
            <v>1</v>
          </cell>
        </row>
        <row r="235">
          <cell r="C235" t="str">
            <v>12.925.454/0001-52</v>
          </cell>
          <cell r="D235">
            <v>2</v>
          </cell>
          <cell r="I235">
            <v>14</v>
          </cell>
          <cell r="J235">
            <v>1</v>
          </cell>
        </row>
        <row r="236">
          <cell r="C236" t="str">
            <v>09.528.346/0001-31</v>
          </cell>
          <cell r="D236">
            <v>9</v>
          </cell>
          <cell r="I236">
            <v>17</v>
          </cell>
          <cell r="J236">
            <v>1</v>
          </cell>
        </row>
        <row r="237">
          <cell r="C237" t="str">
            <v>27.927.406/0001-70</v>
          </cell>
          <cell r="D237">
            <v>6</v>
          </cell>
          <cell r="I237">
            <v>7</v>
          </cell>
          <cell r="J237">
            <v>2</v>
          </cell>
        </row>
        <row r="238">
          <cell r="C238" t="str">
            <v>32.233.059/0001-16</v>
          </cell>
          <cell r="D238">
            <v>7</v>
          </cell>
          <cell r="I238">
            <v>6</v>
          </cell>
          <cell r="J238">
            <v>38</v>
          </cell>
        </row>
        <row r="239">
          <cell r="C239" t="str">
            <v>07.015.626/0001-10</v>
          </cell>
          <cell r="D239">
            <v>14</v>
          </cell>
          <cell r="I239">
            <v>20</v>
          </cell>
          <cell r="J239">
            <v>2</v>
          </cell>
        </row>
        <row r="240">
          <cell r="C240" t="str">
            <v>37.578.335/0001-00</v>
          </cell>
          <cell r="D240">
            <v>5</v>
          </cell>
          <cell r="I240">
            <v>4</v>
          </cell>
          <cell r="J240">
            <v>26</v>
          </cell>
        </row>
        <row r="241">
          <cell r="C241" t="str">
            <v>12.120.272/0001-04</v>
          </cell>
          <cell r="D241">
            <v>55</v>
          </cell>
          <cell r="I241">
            <v>14</v>
          </cell>
          <cell r="J241">
            <v>22</v>
          </cell>
        </row>
        <row r="242">
          <cell r="C242" t="str">
            <v>02.049.227/0001-57</v>
          </cell>
          <cell r="D242">
            <v>47</v>
          </cell>
          <cell r="I242">
            <v>27</v>
          </cell>
          <cell r="J242">
            <v>10</v>
          </cell>
        </row>
        <row r="243">
          <cell r="C243" t="str">
            <v>94.188.208/0001-20</v>
          </cell>
          <cell r="D243">
            <v>25</v>
          </cell>
          <cell r="I243">
            <v>30</v>
          </cell>
          <cell r="J243">
            <v>5</v>
          </cell>
        </row>
        <row r="244">
          <cell r="C244" t="str">
            <v>02.493.318/0001-87</v>
          </cell>
          <cell r="D244">
            <v>28</v>
          </cell>
          <cell r="I244">
            <v>26</v>
          </cell>
          <cell r="J244">
            <v>1</v>
          </cell>
        </row>
        <row r="245">
          <cell r="C245" t="str">
            <v>42.786.868/0001-09</v>
          </cell>
          <cell r="D245">
            <v>6</v>
          </cell>
          <cell r="I245">
            <v>3</v>
          </cell>
          <cell r="J245">
            <v>26</v>
          </cell>
        </row>
        <row r="246">
          <cell r="C246" t="str">
            <v>93.592.368/0001-77</v>
          </cell>
          <cell r="D246">
            <v>9</v>
          </cell>
          <cell r="I246">
            <v>33</v>
          </cell>
          <cell r="J246">
            <v>4</v>
          </cell>
        </row>
        <row r="247">
          <cell r="C247" t="str">
            <v>03.656.200/0001-95</v>
          </cell>
          <cell r="D247">
            <v>29</v>
          </cell>
          <cell r="I247">
            <v>25</v>
          </cell>
          <cell r="J247">
            <v>20</v>
          </cell>
        </row>
        <row r="248">
          <cell r="C248" t="str">
            <v>94.446.804/0001-62</v>
          </cell>
          <cell r="D248">
            <v>33</v>
          </cell>
          <cell r="I248">
            <v>30</v>
          </cell>
          <cell r="J248">
            <v>16</v>
          </cell>
        </row>
        <row r="249">
          <cell r="C249" t="str">
            <v>07.664.821/0001-71</v>
          </cell>
          <cell r="D249">
            <v>17</v>
          </cell>
          <cell r="I249">
            <v>19</v>
          </cell>
          <cell r="J249">
            <v>10</v>
          </cell>
        </row>
        <row r="250">
          <cell r="C250" t="str">
            <v>11.884.641/0001-72</v>
          </cell>
          <cell r="D250">
            <v>8</v>
          </cell>
          <cell r="I250">
            <v>14</v>
          </cell>
          <cell r="J250">
            <v>22</v>
          </cell>
        </row>
        <row r="251">
          <cell r="C251" t="str">
            <v>07.662.324/0001-34</v>
          </cell>
          <cell r="D251">
            <v>30</v>
          </cell>
          <cell r="I251">
            <v>19</v>
          </cell>
          <cell r="J251">
            <v>27</v>
          </cell>
        </row>
        <row r="252">
          <cell r="C252" t="str">
            <v>30.926.649/0001-07</v>
          </cell>
          <cell r="D252">
            <v>7</v>
          </cell>
          <cell r="I252">
            <v>7</v>
          </cell>
          <cell r="J252">
            <v>8</v>
          </cell>
        </row>
        <row r="253">
          <cell r="C253" t="str">
            <v>07.926.117/0001-40</v>
          </cell>
          <cell r="D253">
            <v>14</v>
          </cell>
          <cell r="I253">
            <v>18</v>
          </cell>
          <cell r="J253">
            <v>25</v>
          </cell>
        </row>
        <row r="254">
          <cell r="C254" t="str">
            <v>11.312.086/0001-04</v>
          </cell>
          <cell r="D254">
            <v>20</v>
          </cell>
          <cell r="I254">
            <v>15</v>
          </cell>
          <cell r="J254">
            <v>31</v>
          </cell>
        </row>
        <row r="255">
          <cell r="C255" t="str">
            <v>12.028.813/0001-79</v>
          </cell>
          <cell r="D255">
            <v>7</v>
          </cell>
          <cell r="I255">
            <v>15</v>
          </cell>
          <cell r="J255">
            <v>7</v>
          </cell>
        </row>
        <row r="256">
          <cell r="C256" t="str">
            <v>14.662.467/0001-01</v>
          </cell>
          <cell r="D256">
            <v>22</v>
          </cell>
          <cell r="I256">
            <v>13</v>
          </cell>
          <cell r="J256">
            <v>47</v>
          </cell>
        </row>
        <row r="257">
          <cell r="C257" t="str">
            <v>02.311.972/0001-22</v>
          </cell>
          <cell r="D257">
            <v>19</v>
          </cell>
          <cell r="I257">
            <v>27</v>
          </cell>
          <cell r="J257">
            <v>1</v>
          </cell>
        </row>
        <row r="258">
          <cell r="C258" t="str">
            <v>23.279.570/0001-68</v>
          </cell>
          <cell r="D258">
            <v>5</v>
          </cell>
          <cell r="I258">
            <v>9</v>
          </cell>
          <cell r="J258">
            <v>25</v>
          </cell>
        </row>
        <row r="259">
          <cell r="C259" t="str">
            <v>01.201.427/0001-10</v>
          </cell>
          <cell r="D259">
            <v>16</v>
          </cell>
          <cell r="I259">
            <v>28</v>
          </cell>
          <cell r="J259">
            <v>1</v>
          </cell>
        </row>
        <row r="260">
          <cell r="C260" t="str">
            <v>14.688.861/0001-19</v>
          </cell>
          <cell r="D260">
            <v>17</v>
          </cell>
          <cell r="I260">
            <v>13</v>
          </cell>
          <cell r="J260">
            <v>24</v>
          </cell>
        </row>
        <row r="261">
          <cell r="C261" t="str">
            <v>11.023.771/0001-10</v>
          </cell>
          <cell r="D261">
            <v>27</v>
          </cell>
          <cell r="I261">
            <v>16</v>
          </cell>
          <cell r="J261">
            <v>1</v>
          </cell>
        </row>
        <row r="262">
          <cell r="C262" t="str">
            <v>42.499.226/0001-29</v>
          </cell>
          <cell r="D262">
            <v>13</v>
          </cell>
          <cell r="I262">
            <v>3</v>
          </cell>
          <cell r="J262">
            <v>2</v>
          </cell>
        </row>
        <row r="263">
          <cell r="C263" t="str">
            <v>02.715.882/0001-05</v>
          </cell>
          <cell r="D263">
            <v>19</v>
          </cell>
          <cell r="I263">
            <v>26</v>
          </cell>
          <cell r="J263">
            <v>1</v>
          </cell>
        </row>
        <row r="264">
          <cell r="C264" t="str">
            <v>28.692.509/0001-61</v>
          </cell>
          <cell r="D264">
            <v>18</v>
          </cell>
          <cell r="I264">
            <v>7</v>
          </cell>
          <cell r="J264">
            <v>33</v>
          </cell>
        </row>
        <row r="265">
          <cell r="C265" t="str">
            <v>01.356.308/0001-37</v>
          </cell>
          <cell r="D265">
            <v>16</v>
          </cell>
          <cell r="I265">
            <v>28</v>
          </cell>
          <cell r="J265">
            <v>2</v>
          </cell>
        </row>
        <row r="266">
          <cell r="C266" t="str">
            <v>21.938.445/0001-97</v>
          </cell>
          <cell r="D266">
            <v>6</v>
          </cell>
          <cell r="I266">
            <v>9</v>
          </cell>
          <cell r="J266">
            <v>3</v>
          </cell>
        </row>
        <row r="267">
          <cell r="C267" t="str">
            <v>28.715.986/0001-03</v>
          </cell>
          <cell r="D267">
            <v>42</v>
          </cell>
          <cell r="I267">
            <v>7</v>
          </cell>
          <cell r="J267">
            <v>15</v>
          </cell>
        </row>
        <row r="268">
          <cell r="C268" t="str">
            <v>00.973.293/0001-93</v>
          </cell>
          <cell r="D268">
            <v>6</v>
          </cell>
          <cell r="I268">
            <v>15</v>
          </cell>
          <cell r="J268">
            <v>2</v>
          </cell>
        </row>
        <row r="269">
          <cell r="C269" t="str">
            <v>07.309.266/0001-60</v>
          </cell>
          <cell r="D269">
            <v>21</v>
          </cell>
          <cell r="I269">
            <v>20</v>
          </cell>
          <cell r="J269">
            <v>13</v>
          </cell>
        </row>
        <row r="270">
          <cell r="C270" t="str">
            <v>04.685.273/0001-78</v>
          </cell>
          <cell r="D270">
            <v>16</v>
          </cell>
          <cell r="I270">
            <v>23</v>
          </cell>
          <cell r="J270">
            <v>3</v>
          </cell>
        </row>
        <row r="271">
          <cell r="C271" t="str">
            <v>03.714.880/0001-56</v>
          </cell>
          <cell r="D271">
            <v>12</v>
          </cell>
          <cell r="I271">
            <v>24</v>
          </cell>
          <cell r="J271">
            <v>1</v>
          </cell>
        </row>
        <row r="272">
          <cell r="C272" t="str">
            <v>55.750.301/0001-24</v>
          </cell>
          <cell r="D272">
            <v>7</v>
          </cell>
          <cell r="I272">
            <v>37</v>
          </cell>
          <cell r="J272">
            <v>14</v>
          </cell>
        </row>
        <row r="273">
          <cell r="C273" t="str">
            <v>07.833.463/0001-83</v>
          </cell>
          <cell r="D273">
            <v>7</v>
          </cell>
          <cell r="I273">
            <v>19</v>
          </cell>
          <cell r="J273">
            <v>1</v>
          </cell>
        </row>
        <row r="274">
          <cell r="C274" t="str">
            <v>23.816.422/0001-35</v>
          </cell>
          <cell r="D274">
            <v>30</v>
          </cell>
          <cell r="I274">
            <v>9</v>
          </cell>
          <cell r="J274">
            <v>30</v>
          </cell>
        </row>
        <row r="275">
          <cell r="C275" t="str">
            <v>52.356.268/0002-45</v>
          </cell>
          <cell r="D275">
            <v>15</v>
          </cell>
          <cell r="I275">
            <v>37</v>
          </cell>
          <cell r="J275">
            <v>3</v>
          </cell>
        </row>
        <row r="276">
          <cell r="C276" t="str">
            <v>06.138.766/0001-13</v>
          </cell>
          <cell r="D276">
            <v>5</v>
          </cell>
          <cell r="I276">
            <v>20</v>
          </cell>
          <cell r="J276">
            <v>1</v>
          </cell>
        </row>
        <row r="277">
          <cell r="C277" t="str">
            <v>19.947.645/0001-64</v>
          </cell>
          <cell r="D277">
            <v>25</v>
          </cell>
          <cell r="I277">
            <v>11</v>
          </cell>
          <cell r="J277">
            <v>1</v>
          </cell>
        </row>
        <row r="278">
          <cell r="C278" t="str">
            <v>01.488.169/0001-03</v>
          </cell>
          <cell r="D278">
            <v>20</v>
          </cell>
          <cell r="I278">
            <v>28</v>
          </cell>
          <cell r="J278">
            <v>25</v>
          </cell>
        </row>
        <row r="279">
          <cell r="C279" t="str">
            <v>03.753.263/0001-60</v>
          </cell>
          <cell r="D279">
            <v>20</v>
          </cell>
          <cell r="I279">
            <v>24</v>
          </cell>
          <cell r="J279">
            <v>49</v>
          </cell>
        </row>
        <row r="280">
          <cell r="C280" t="str">
            <v>01.089.454/0001-43</v>
          </cell>
          <cell r="D280">
            <v>17</v>
          </cell>
          <cell r="I280">
            <v>29</v>
          </cell>
          <cell r="J280">
            <v>20</v>
          </cell>
        </row>
        <row r="281">
          <cell r="C281" t="str">
            <v>04.611.637/0001-75</v>
          </cell>
          <cell r="D281">
            <v>18</v>
          </cell>
          <cell r="I281">
            <v>24</v>
          </cell>
          <cell r="J281">
            <v>36</v>
          </cell>
        </row>
        <row r="282">
          <cell r="C282" t="str">
            <v>13.569.532/0001-96</v>
          </cell>
          <cell r="D282">
            <v>12</v>
          </cell>
          <cell r="I282">
            <v>14</v>
          </cell>
          <cell r="J282">
            <v>31</v>
          </cell>
        </row>
        <row r="283">
          <cell r="C283" t="str">
            <v>58.151.580/0001-06</v>
          </cell>
          <cell r="D283">
            <v>7</v>
          </cell>
          <cell r="I283">
            <v>15</v>
          </cell>
          <cell r="J283">
            <v>27</v>
          </cell>
        </row>
        <row r="284">
          <cell r="C284" t="str">
            <v>96.493.663/0001-64</v>
          </cell>
          <cell r="D284">
            <v>5</v>
          </cell>
          <cell r="I284">
            <v>30</v>
          </cell>
          <cell r="J284">
            <v>27</v>
          </cell>
        </row>
        <row r="285">
          <cell r="C285" t="str">
            <v>05.031.043/0001-58</v>
          </cell>
          <cell r="D285">
            <v>8</v>
          </cell>
          <cell r="I285">
            <v>22</v>
          </cell>
          <cell r="J285">
            <v>17</v>
          </cell>
        </row>
        <row r="286">
          <cell r="C286" t="str">
            <v>34.119.165/0001-07</v>
          </cell>
          <cell r="D286">
            <v>5</v>
          </cell>
          <cell r="I286">
            <v>5</v>
          </cell>
          <cell r="J286">
            <v>29</v>
          </cell>
        </row>
        <row r="287">
          <cell r="C287" t="str">
            <v>47.080.084/0001-84</v>
          </cell>
          <cell r="D287">
            <v>13</v>
          </cell>
          <cell r="I287">
            <v>3</v>
          </cell>
          <cell r="J287">
            <v>1</v>
          </cell>
        </row>
        <row r="288">
          <cell r="C288" t="str">
            <v>44.298.690/0001-82</v>
          </cell>
          <cell r="D288">
            <v>13</v>
          </cell>
          <cell r="I288">
            <v>3</v>
          </cell>
          <cell r="J288">
            <v>2</v>
          </cell>
        </row>
        <row r="289">
          <cell r="C289" t="str">
            <v>28.589.145/0001-99</v>
          </cell>
          <cell r="D289">
            <v>16</v>
          </cell>
          <cell r="I289">
            <v>7</v>
          </cell>
          <cell r="J289">
            <v>1</v>
          </cell>
        </row>
        <row r="290">
          <cell r="C290" t="str">
            <v>27.697.707/0001-55</v>
          </cell>
          <cell r="D290">
            <v>19</v>
          </cell>
          <cell r="I290">
            <v>7</v>
          </cell>
          <cell r="J290">
            <v>1</v>
          </cell>
        </row>
        <row r="291">
          <cell r="C291" t="str">
            <v>29.551.521/0001-19</v>
          </cell>
          <cell r="D291">
            <v>28</v>
          </cell>
          <cell r="I291">
            <v>7</v>
          </cell>
          <cell r="J291">
            <v>1</v>
          </cell>
        </row>
        <row r="292">
          <cell r="C292" t="str">
            <v>10.355.504/0001-88</v>
          </cell>
          <cell r="D292">
            <v>14</v>
          </cell>
          <cell r="I292">
            <v>16</v>
          </cell>
          <cell r="J292">
            <v>22</v>
          </cell>
        </row>
        <row r="293">
          <cell r="C293" t="str">
            <v>12.850.235/0001-51</v>
          </cell>
          <cell r="D293">
            <v>7</v>
          </cell>
          <cell r="I293">
            <v>14</v>
          </cell>
          <cell r="J293">
            <v>1</v>
          </cell>
        </row>
        <row r="294">
          <cell r="C294" t="str">
            <v>13.044.206/0001-65</v>
          </cell>
          <cell r="D294">
            <v>7</v>
          </cell>
          <cell r="I294">
            <v>14</v>
          </cell>
          <cell r="J294">
            <v>1</v>
          </cell>
        </row>
        <row r="295">
          <cell r="C295" t="str">
            <v>11.552.755/0001-15</v>
          </cell>
          <cell r="D295">
            <v>13</v>
          </cell>
          <cell r="I295">
            <v>15</v>
          </cell>
          <cell r="J295">
            <v>1</v>
          </cell>
        </row>
        <row r="296">
          <cell r="C296" t="str">
            <v>12.116.566/0001-62</v>
          </cell>
          <cell r="D296">
            <v>4</v>
          </cell>
          <cell r="I296">
            <v>14</v>
          </cell>
          <cell r="J296">
            <v>1</v>
          </cell>
        </row>
        <row r="297">
          <cell r="C297" t="str">
            <v>13.427.383/0001-20</v>
          </cell>
          <cell r="D297">
            <v>11</v>
          </cell>
          <cell r="I297">
            <v>15</v>
          </cell>
          <cell r="J297">
            <v>1</v>
          </cell>
        </row>
        <row r="298">
          <cell r="C298" t="str">
            <v>07.346.147/0001-87</v>
          </cell>
          <cell r="D298">
            <v>9</v>
          </cell>
          <cell r="I298">
            <v>29</v>
          </cell>
          <cell r="J298">
            <v>2</v>
          </cell>
        </row>
        <row r="299">
          <cell r="C299" t="str">
            <v>01.906.088/0001-78</v>
          </cell>
          <cell r="D299">
            <v>10</v>
          </cell>
          <cell r="I299">
            <v>27</v>
          </cell>
          <cell r="J299">
            <v>1</v>
          </cell>
        </row>
        <row r="300">
          <cell r="C300" t="str">
            <v>01.014.332/0001-98</v>
          </cell>
          <cell r="D300">
            <v>30</v>
          </cell>
          <cell r="I300">
            <v>29</v>
          </cell>
          <cell r="J300">
            <v>1</v>
          </cell>
        </row>
        <row r="301">
          <cell r="C301" t="str">
            <v>45.758.212/0001-70</v>
          </cell>
          <cell r="D301">
            <v>9</v>
          </cell>
          <cell r="I301">
            <v>2</v>
          </cell>
          <cell r="J301">
            <v>1</v>
          </cell>
        </row>
        <row r="302">
          <cell r="C302" t="str">
            <v>01.080.759/0001-94</v>
          </cell>
          <cell r="D302">
            <v>34</v>
          </cell>
          <cell r="I302">
            <v>28</v>
          </cell>
          <cell r="J302">
            <v>1</v>
          </cell>
        </row>
        <row r="303">
          <cell r="C303" t="str">
            <v>04.931.808/0001-43</v>
          </cell>
          <cell r="D303">
            <v>6</v>
          </cell>
          <cell r="I303">
            <v>23</v>
          </cell>
          <cell r="J303">
            <v>1</v>
          </cell>
        </row>
        <row r="304">
          <cell r="C304" t="str">
            <v>22.824.173/0001-67</v>
          </cell>
          <cell r="D304">
            <v>21</v>
          </cell>
          <cell r="I304">
            <v>10</v>
          </cell>
          <cell r="J304">
            <v>4</v>
          </cell>
        </row>
        <row r="305">
          <cell r="C305" t="str">
            <v>73.449.977/0001-64</v>
          </cell>
          <cell r="D305">
            <v>18</v>
          </cell>
          <cell r="I305">
            <v>31</v>
          </cell>
          <cell r="J305">
            <v>1</v>
          </cell>
        </row>
        <row r="306">
          <cell r="C306" t="str">
            <v>00.944.673/0001-08</v>
          </cell>
          <cell r="D306">
            <v>25</v>
          </cell>
          <cell r="I306">
            <v>29</v>
          </cell>
          <cell r="J306">
            <v>1</v>
          </cell>
        </row>
        <row r="307">
          <cell r="C307" t="str">
            <v>00.445.188/0001-81</v>
          </cell>
          <cell r="D307">
            <v>21</v>
          </cell>
          <cell r="I307">
            <v>30</v>
          </cell>
          <cell r="J307">
            <v>1</v>
          </cell>
        </row>
        <row r="308">
          <cell r="C308" t="str">
            <v>02.322.413/0001-18</v>
          </cell>
          <cell r="D308">
            <v>6</v>
          </cell>
          <cell r="I308">
            <v>27</v>
          </cell>
          <cell r="J308">
            <v>1</v>
          </cell>
        </row>
        <row r="309">
          <cell r="C309" t="str">
            <v>07.540.117/0001-07</v>
          </cell>
          <cell r="D309">
            <v>3</v>
          </cell>
          <cell r="I309">
            <v>19</v>
          </cell>
          <cell r="J309">
            <v>2</v>
          </cell>
        </row>
        <row r="310">
          <cell r="C310" t="str">
            <v>04.828.326/0001-62</v>
          </cell>
          <cell r="D310">
            <v>5</v>
          </cell>
          <cell r="I310">
            <v>23</v>
          </cell>
          <cell r="J310">
            <v>1</v>
          </cell>
        </row>
        <row r="311">
          <cell r="C311" t="str">
            <v>23.639.923/0001-93</v>
          </cell>
          <cell r="D311">
            <v>16</v>
          </cell>
          <cell r="I311">
            <v>9</v>
          </cell>
          <cell r="J311">
            <v>10</v>
          </cell>
        </row>
        <row r="312">
          <cell r="C312" t="str">
            <v>07.654.807/0001-97</v>
          </cell>
          <cell r="D312">
            <v>13</v>
          </cell>
          <cell r="I312">
            <v>19</v>
          </cell>
          <cell r="J312">
            <v>1</v>
          </cell>
        </row>
        <row r="313">
          <cell r="C313" t="str">
            <v>07.383.800/0001-88</v>
          </cell>
          <cell r="D313">
            <v>28</v>
          </cell>
          <cell r="I313">
            <v>25</v>
          </cell>
          <cell r="J313">
            <v>1</v>
          </cell>
        </row>
        <row r="314">
          <cell r="C314" t="str">
            <v>21.568.943/0001-95</v>
          </cell>
          <cell r="D314">
            <v>3</v>
          </cell>
          <cell r="I314">
            <v>10</v>
          </cell>
          <cell r="J314">
            <v>1</v>
          </cell>
        </row>
        <row r="315">
          <cell r="C315" t="str">
            <v>05.655.308/0001-99</v>
          </cell>
          <cell r="D315">
            <v>13</v>
          </cell>
          <cell r="I315">
            <v>21</v>
          </cell>
          <cell r="J315">
            <v>2</v>
          </cell>
        </row>
        <row r="316">
          <cell r="C316" t="str">
            <v>29.185.021/0001-00</v>
          </cell>
          <cell r="D316">
            <v>43</v>
          </cell>
          <cell r="I316">
            <v>7</v>
          </cell>
          <cell r="J316">
            <v>14</v>
          </cell>
        </row>
        <row r="317">
          <cell r="C317" t="str">
            <v>45.080.766/0001-61</v>
          </cell>
          <cell r="D317">
            <v>17</v>
          </cell>
          <cell r="I317">
            <v>3</v>
          </cell>
          <cell r="J317">
            <v>6</v>
          </cell>
        </row>
        <row r="318">
          <cell r="C318" t="str">
            <v>34.909.476/0001-61</v>
          </cell>
          <cell r="D318">
            <v>7</v>
          </cell>
          <cell r="I318">
            <v>5</v>
          </cell>
          <cell r="J318">
            <v>1</v>
          </cell>
        </row>
        <row r="319">
          <cell r="C319" t="str">
            <v>13.220.150/0001-52</v>
          </cell>
          <cell r="D319">
            <v>88</v>
          </cell>
          <cell r="I319">
            <v>14</v>
          </cell>
          <cell r="J319">
            <v>1</v>
          </cell>
        </row>
        <row r="320">
          <cell r="C320" t="str">
            <v>11.938.399/0001-72</v>
          </cell>
          <cell r="D320">
            <v>50</v>
          </cell>
          <cell r="I320">
            <v>12</v>
          </cell>
          <cell r="J320">
            <v>1</v>
          </cell>
        </row>
        <row r="321">
          <cell r="C321" t="str">
            <v>20.059.618/0001-34</v>
          </cell>
          <cell r="D321">
            <v>65</v>
          </cell>
          <cell r="I321">
            <v>11</v>
          </cell>
          <cell r="J321">
            <v>1</v>
          </cell>
        </row>
        <row r="322">
          <cell r="C322" t="str">
            <v>17.813.026/0001-51</v>
          </cell>
          <cell r="D322">
            <v>146</v>
          </cell>
          <cell r="I322">
            <v>11</v>
          </cell>
          <cell r="J322">
            <v>1</v>
          </cell>
        </row>
        <row r="323">
          <cell r="C323" t="str">
            <v>13.985.869/0001-84</v>
          </cell>
          <cell r="D323">
            <v>153</v>
          </cell>
          <cell r="I323">
            <v>13</v>
          </cell>
          <cell r="J323">
            <v>1</v>
          </cell>
        </row>
        <row r="324">
          <cell r="C324" t="str">
            <v>15.718.459/0001-00</v>
          </cell>
          <cell r="D324">
            <v>100</v>
          </cell>
          <cell r="I324">
            <v>12</v>
          </cell>
          <cell r="J324">
            <v>1</v>
          </cell>
        </row>
        <row r="325">
          <cell r="C325" t="str">
            <v>17.420.047/0001-07</v>
          </cell>
          <cell r="D325">
            <v>43</v>
          </cell>
          <cell r="I325">
            <v>22</v>
          </cell>
          <cell r="J325">
            <v>1</v>
          </cell>
        </row>
        <row r="326">
          <cell r="C326" t="str">
            <v>17.989.386/0001-09</v>
          </cell>
          <cell r="D326">
            <v>30</v>
          </cell>
          <cell r="I326">
            <v>11</v>
          </cell>
          <cell r="J326">
            <v>2</v>
          </cell>
        </row>
        <row r="327">
          <cell r="C327" t="str">
            <v>30.462.323/0001-68</v>
          </cell>
          <cell r="D327">
            <v>29</v>
          </cell>
          <cell r="I327">
            <v>6</v>
          </cell>
          <cell r="J327">
            <v>1</v>
          </cell>
        </row>
        <row r="328">
          <cell r="C328" t="str">
            <v>14.896.759/0001-09</v>
          </cell>
          <cell r="D328">
            <v>42</v>
          </cell>
          <cell r="I328">
            <v>13</v>
          </cell>
          <cell r="J328">
            <v>1</v>
          </cell>
        </row>
        <row r="329">
          <cell r="C329" t="str">
            <v>03.681.070/0001-40</v>
          </cell>
          <cell r="D329">
            <v>12</v>
          </cell>
          <cell r="I329">
            <v>25</v>
          </cell>
          <cell r="J329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ávia Duque" id="{5CA216C7-0494-444F-9655-CF54EC00A3C4}" userId="3599560dc2f212c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" dT="2026-01-05T22:33:56.86" personId="{5CA216C7-0494-444F-9655-CF54EC00A3C4}" id="{2DE3B4F7-4922-4C44-A719-68EFA2F366E2}">
    <text>Iniciou as atividades em 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1" dT="2026-01-05T22:33:56.86" personId="{5CA216C7-0494-444F-9655-CF54EC00A3C4}" id="{67561CA0-7B73-4B3D-BDA5-3C396CF29FC4}">
    <text>Iniciou as atividades em 2021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3" dT="2026-01-05T22:33:56.86" personId="{5CA216C7-0494-444F-9655-CF54EC00A3C4}" id="{D31A199F-0D19-4615-BC23-6E75B924B3BA}">
    <text>Iniciou as atividades em 2021</text>
  </threadedComment>
  <threadedComment ref="D29" dT="2026-02-11T21:36:03.43" personId="{5CA216C7-0494-444F-9655-CF54EC00A3C4}" id="{177B8328-ED25-490C-BC70-9029B1C7C356}">
    <text>O Balanço orçamentário não possui esse dado</text>
  </threadedComment>
  <threadedComment ref="D31" dT="2026-02-11T21:36:08.03" personId="{5CA216C7-0494-444F-9655-CF54EC00A3C4}" id="{8F00FF0E-6AC5-438E-ADBC-F30F5E5B36EB}">
    <text>O Balanço orçamentário não possui esse dado</text>
  </threadedComment>
  <threadedComment ref="D32" dT="2026-02-11T21:36:12.78" personId="{5CA216C7-0494-444F-9655-CF54EC00A3C4}" id="{D5868AAA-7606-4274-97DA-5165C78A0FAA}">
    <text>O Balanço orçamentário não possui esse dado</text>
  </threadedComment>
  <threadedComment ref="D35" dT="2026-02-11T21:35:03.28" personId="{5CA216C7-0494-444F-9655-CF54EC00A3C4}" id="{7D01E9A3-66BD-47DF-A520-886226077894}">
    <text>O Balanço orçamentário não possui esse dado</text>
  </threadedComment>
  <threadedComment ref="G35" dT="2026-02-11T21:35:17.11" personId="{5CA216C7-0494-444F-9655-CF54EC00A3C4}" id="{FF6C868E-772C-4A09-BFE7-D55629450E13}">
    <text>O Balanço orçamentário não possui esse dado</text>
  </threadedComment>
  <threadedComment ref="M35" dT="2026-02-11T21:35:23.25" personId="{5CA216C7-0494-444F-9655-CF54EC00A3C4}" id="{E3D913FC-810F-4A89-A5DF-7953F160D5B9}">
    <text>O Balanço orçamentário não possui esse dado</text>
  </threadedComment>
  <threadedComment ref="P35" dT="2026-02-11T21:35:27.96" personId="{5CA216C7-0494-444F-9655-CF54EC00A3C4}" id="{756B53CC-82A8-4D13-98A7-3CCDB0CECDC5}">
    <text>O Balanço orçamentário não possui esse dado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81D6-DDFC-4FAD-99E0-727B3C2BA887}">
  <dimension ref="A1:AO121"/>
  <sheetViews>
    <sheetView tabSelected="1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M121" sqref="M3:M121"/>
    </sheetView>
  </sheetViews>
  <sheetFormatPr defaultRowHeight="15" x14ac:dyDescent="0.25"/>
  <cols>
    <col min="1" max="1" width="6.140625" customWidth="1"/>
    <col min="2" max="2" width="18.140625" customWidth="1"/>
    <col min="3" max="3" width="21.42578125" customWidth="1"/>
    <col min="4" max="4" width="13.140625" customWidth="1"/>
    <col min="5" max="5" width="13.7109375" customWidth="1"/>
    <col min="7" max="11" width="14.7109375" customWidth="1"/>
    <col min="12" max="12" width="12.85546875" customWidth="1"/>
    <col min="13" max="13" width="12.140625" bestFit="1" customWidth="1"/>
    <col min="14" max="14" width="14.7109375" customWidth="1"/>
    <col min="19" max="19" width="15.85546875" customWidth="1"/>
    <col min="20" max="20" width="15.7109375" customWidth="1"/>
    <col min="21" max="21" width="14.28515625" customWidth="1"/>
    <col min="22" max="22" width="11" customWidth="1"/>
    <col min="23" max="24" width="9.42578125" bestFit="1" customWidth="1"/>
    <col min="25" max="25" width="10.7109375" customWidth="1"/>
    <col min="26" max="26" width="11.5703125" customWidth="1"/>
    <col min="32" max="32" width="9.140625" customWidth="1"/>
  </cols>
  <sheetData>
    <row r="1" spans="1:41" x14ac:dyDescent="0.25">
      <c r="A1" s="53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7" t="s">
        <v>5</v>
      </c>
      <c r="G1" s="57" t="s">
        <v>6</v>
      </c>
      <c r="H1" s="57"/>
      <c r="I1" s="57"/>
      <c r="J1" s="57"/>
      <c r="K1" s="57"/>
      <c r="L1" s="51" t="s">
        <v>7</v>
      </c>
      <c r="M1" s="51" t="s">
        <v>8</v>
      </c>
      <c r="N1" s="51" t="s">
        <v>9</v>
      </c>
      <c r="O1" s="57" t="s">
        <v>10</v>
      </c>
      <c r="P1" s="57"/>
      <c r="Q1" s="57"/>
      <c r="R1" s="57"/>
      <c r="S1" s="51" t="s">
        <v>11</v>
      </c>
      <c r="T1" s="51"/>
      <c r="U1" s="51"/>
      <c r="V1" s="51" t="s">
        <v>12</v>
      </c>
      <c r="W1" s="51"/>
      <c r="X1" s="51"/>
      <c r="Y1" s="51"/>
      <c r="Z1" s="51"/>
      <c r="AA1" s="51" t="s">
        <v>13</v>
      </c>
      <c r="AB1" s="51"/>
      <c r="AC1" s="51"/>
      <c r="AD1" s="51"/>
      <c r="AE1" s="51"/>
      <c r="AF1" s="51" t="s">
        <v>14</v>
      </c>
      <c r="AG1" s="51"/>
      <c r="AH1" s="51"/>
      <c r="AI1" s="51"/>
      <c r="AJ1" s="51"/>
      <c r="AK1" s="51" t="s">
        <v>281</v>
      </c>
      <c r="AL1" s="51"/>
      <c r="AM1" s="51"/>
      <c r="AN1" s="51"/>
      <c r="AO1" s="52"/>
    </row>
    <row r="2" spans="1:41" ht="60" x14ac:dyDescent="0.25">
      <c r="A2" s="54"/>
      <c r="B2" s="56"/>
      <c r="C2" s="56"/>
      <c r="D2" s="56"/>
      <c r="E2" s="56"/>
      <c r="F2" s="58"/>
      <c r="G2" s="37">
        <v>2024</v>
      </c>
      <c r="H2" s="37">
        <v>2023</v>
      </c>
      <c r="I2" s="37">
        <v>2022</v>
      </c>
      <c r="J2" s="37">
        <v>2021</v>
      </c>
      <c r="K2" s="37">
        <v>2020</v>
      </c>
      <c r="L2" s="59"/>
      <c r="M2" s="59"/>
      <c r="N2" s="59"/>
      <c r="O2" s="38">
        <v>2023</v>
      </c>
      <c r="P2" s="38">
        <v>2022</v>
      </c>
      <c r="Q2" s="38">
        <v>2021</v>
      </c>
      <c r="R2" s="38">
        <v>2020</v>
      </c>
      <c r="S2" s="38" t="s">
        <v>15</v>
      </c>
      <c r="T2" s="38" t="s">
        <v>16</v>
      </c>
      <c r="U2" s="38" t="s">
        <v>17</v>
      </c>
      <c r="V2" s="38">
        <v>2024</v>
      </c>
      <c r="W2" s="38">
        <v>2023</v>
      </c>
      <c r="X2" s="38">
        <v>2022</v>
      </c>
      <c r="Y2" s="38">
        <v>2021</v>
      </c>
      <c r="Z2" s="38">
        <v>2020</v>
      </c>
      <c r="AA2" s="38">
        <v>2024</v>
      </c>
      <c r="AB2" s="38">
        <v>2023</v>
      </c>
      <c r="AC2" s="38">
        <v>2022</v>
      </c>
      <c r="AD2" s="38">
        <v>2021</v>
      </c>
      <c r="AE2" s="38">
        <v>2020</v>
      </c>
      <c r="AF2" s="38">
        <v>2024</v>
      </c>
      <c r="AG2" s="38">
        <v>2023</v>
      </c>
      <c r="AH2" s="38">
        <v>2022</v>
      </c>
      <c r="AI2" s="38">
        <v>2021</v>
      </c>
      <c r="AJ2" s="38">
        <v>2020</v>
      </c>
      <c r="AK2" s="38">
        <v>2024</v>
      </c>
      <c r="AL2" s="38">
        <v>2023</v>
      </c>
      <c r="AM2" s="38">
        <v>2022</v>
      </c>
      <c r="AN2" s="38">
        <v>2021</v>
      </c>
      <c r="AO2" s="1">
        <v>2020</v>
      </c>
    </row>
    <row r="3" spans="1:41" ht="38.25" x14ac:dyDescent="0.25">
      <c r="A3" s="2">
        <v>9</v>
      </c>
      <c r="B3" s="18" t="s">
        <v>18</v>
      </c>
      <c r="C3" s="19" t="s">
        <v>19</v>
      </c>
      <c r="D3" s="19" t="s">
        <v>20</v>
      </c>
      <c r="E3" s="19" t="s">
        <v>21</v>
      </c>
      <c r="F3" s="72">
        <f>_xlfn.XLOOKUP(C3,Dados!$C$3:$C$329,Dados!$D$3:$D$329,"")</f>
        <v>26</v>
      </c>
      <c r="G3" s="86">
        <f>_xlfn.XLOOKUP(C3,Dados!$C$3:$C$329,Dados!$E$3:$E$329,"")</f>
        <v>651242</v>
      </c>
      <c r="H3" s="71">
        <f>_xlfn.XLOOKUP(C3,Dados!$C$3:$C$329,Dados!$F$3:$F$329,"")</f>
        <v>648960.33333333349</v>
      </c>
      <c r="I3" s="71">
        <f>_xlfn.XLOOKUP(C3,Dados!$C$3:$C$329,Dados!$G$3:$G$329,"")</f>
        <v>646678.66666666651</v>
      </c>
      <c r="J3" s="71">
        <f>_xlfn.XLOOKUP(C3,Dados!$C$3:$C$329,Dados!$H$3:$H$329,"")</f>
        <v>644397</v>
      </c>
      <c r="K3" s="71">
        <f>_xlfn.XLOOKUP(C3,Dados!$C$3:$C$329,Dados!$I$3:$I$329,"")</f>
        <v>641058</v>
      </c>
      <c r="L3" s="71">
        <f>_xlfn.XLOOKUP(C3,Dados!$C$3:$C$329,Dados!$J$3:$J$329,"")</f>
        <v>25</v>
      </c>
      <c r="M3" s="72" t="str">
        <f>_xlfn.XLOOKUP(C3,Dados!$C$3:$C$329,Dados!$K$3:$K$329,"")</f>
        <v>Sudeste</v>
      </c>
      <c r="N3" s="71">
        <f>_xlfn.XLOOKUP(C3,Dados!$C$3:$C$329,Dados!$L$3:$L$329,"")</f>
        <v>5</v>
      </c>
      <c r="O3" s="43">
        <f>_xlfn.XLOOKUP(C3,Dados!$C$3:$C$329,Dados!$M$3:$M$329,"")</f>
        <v>0.69510030844206705</v>
      </c>
      <c r="P3" s="43">
        <f>_xlfn.XLOOKUP(C3,Dados!$C$3:$C$329,Dados!$N$3:$N$329,"")</f>
        <v>0.66462242999614496</v>
      </c>
      <c r="Q3" s="43">
        <f>_xlfn.XLOOKUP(C3,Dados!$C$3:$C$329,Dados!$O$3:$O$329,"")</f>
        <v>0.63967398560204403</v>
      </c>
      <c r="R3" s="43">
        <f>_xlfn.XLOOKUP(C3,Dados!$C$3:$C$329,Dados!$P$3:$P$329,"")</f>
        <v>0.61810946404225497</v>
      </c>
      <c r="S3" s="43">
        <f>_xlfn.XLOOKUP(C3,Dados!$C$3:$C$329,Dados!$Q$3:$Q$329,"")</f>
        <v>0.63968252805617998</v>
      </c>
      <c r="T3" s="43">
        <f>_xlfn.XLOOKUP(C3,Dados!$C$3:$C$329,Dados!$R$3:$R$329,"")</f>
        <v>0.77192734990484702</v>
      </c>
      <c r="U3" s="43">
        <f>_xlfn.XLOOKUP(C3,Dados!$C$3:$C$329,Dados!$S$3:$S$329,"")</f>
        <v>0.91070257912739805</v>
      </c>
      <c r="V3" s="77">
        <f>_xlfn.XLOOKUP(C3,Dados!$C$3:$C$329,Dados!$T$3:$T$329,"")</f>
        <v>1556.19839012226</v>
      </c>
      <c r="W3" s="77">
        <f>_xlfn.XLOOKUP(C3,Dados!$C$3:$C$329,Dados!$U$3:$U$329,"")</f>
        <v>1312.05907504876</v>
      </c>
      <c r="X3" s="77">
        <f>_xlfn.XLOOKUP(C3,Dados!$C$3:$C$329,Dados!$V$3:$V$329,"")</f>
        <v>1115.07231275605</v>
      </c>
      <c r="Y3" s="77">
        <f>_xlfn.XLOOKUP(C3,Dados!$C$3:$C$329,Dados!$W$3:$W$329,"")</f>
        <v>892.45992555831299</v>
      </c>
      <c r="Z3" s="77">
        <f>_xlfn.XLOOKUP(C3,Dados!$C$3:$C$329,Dados!$X$3:$X$329,"")</f>
        <v>870.77724928165605</v>
      </c>
      <c r="AA3" s="20"/>
      <c r="AB3" s="20"/>
      <c r="AC3" s="20"/>
      <c r="AD3" s="20"/>
      <c r="AE3" s="80"/>
      <c r="AF3" s="43">
        <v>2.6221196933877759E-2</v>
      </c>
      <c r="AG3" s="43">
        <v>2.2960778611309563E-2</v>
      </c>
      <c r="AH3" s="43">
        <v>2.4909385706674225E-2</v>
      </c>
      <c r="AI3" s="43">
        <v>2.8711454153965917E-2</v>
      </c>
      <c r="AJ3" s="43">
        <v>5.3752127631409997E-2</v>
      </c>
      <c r="AK3" s="43" cm="1">
        <f t="array" ref="AK3">_xlfn.XLOOKUP(C3,Dados!$C$3:$C$329,Dados!$Z$3:'Dados'!$Z$329,"")</f>
        <v>10.225099118300101</v>
      </c>
      <c r="AL3" s="43" cm="1">
        <f t="array" ref="AL3">_xlfn.XLOOKUP(C3,Dados!$C$3:$C$329,Dados!$AA$3:'Dados'!$AA$329,"")</f>
        <v>9.8609570898272594</v>
      </c>
      <c r="AM3" s="43" cm="1">
        <f t="array" ref="AM3">_xlfn.XLOOKUP(C3,Dados!$C$3:$C$329,Dados!$AB$3:'Dados'!$AB$329,"")</f>
        <v>8.2940234098748693</v>
      </c>
      <c r="AN3" s="43" cm="1">
        <f t="array" ref="AN3">_xlfn.XLOOKUP(C3,Dados!$C$3:$C$329,Dados!$AC$3:'Dados'!$AC$329,"")</f>
        <v>6.3140936410318496</v>
      </c>
      <c r="AO3" s="82" cm="1">
        <f t="array" ref="AO3">_xlfn.XLOOKUP(C3,Dados!$C$3:$C$329,Dados!$AD$3:'Dados'!$AD$329,"")</f>
        <v>5.67263804523148</v>
      </c>
    </row>
    <row r="4" spans="1:41" ht="51" x14ac:dyDescent="0.25">
      <c r="A4" s="2">
        <v>20</v>
      </c>
      <c r="B4" s="18" t="s">
        <v>22</v>
      </c>
      <c r="C4" s="19" t="s">
        <v>23</v>
      </c>
      <c r="D4" s="19" t="s">
        <v>24</v>
      </c>
      <c r="E4" s="19" t="s">
        <v>21</v>
      </c>
      <c r="F4" s="72">
        <f>_xlfn.XLOOKUP(C4,Dados!$C$3:$C$329,Dados!$D$3:$D$329,"")</f>
        <v>26</v>
      </c>
      <c r="G4" s="86">
        <f>_xlfn.XLOOKUP(C4,Dados!$C$3:$C$329,Dados!$E$3:$E$329,"")</f>
        <v>414724</v>
      </c>
      <c r="H4" s="71">
        <f>_xlfn.XLOOKUP(C4,Dados!$C$3:$C$329,Dados!$F$3:$F$329,"")</f>
        <v>407151.00000000006</v>
      </c>
      <c r="I4" s="71">
        <f>_xlfn.XLOOKUP(C4,Dados!$C$3:$C$329,Dados!$G$3:$G$329,"")</f>
        <v>399577.99999999994</v>
      </c>
      <c r="J4" s="71">
        <f>_xlfn.XLOOKUP(C4,Dados!$C$3:$C$329,Dados!$H$3:$H$329,"")</f>
        <v>392005</v>
      </c>
      <c r="K4" s="71">
        <f>_xlfn.XLOOKUP(C4,Dados!$C$3:$C$329,Dados!$I$3:$I$329,"")</f>
        <v>389962</v>
      </c>
      <c r="L4" s="71">
        <f>_xlfn.XLOOKUP(C4,Dados!$C$3:$C$329,Dados!$J$3:$J$329,"")</f>
        <v>21</v>
      </c>
      <c r="M4" s="72" t="str">
        <f>_xlfn.XLOOKUP(C4,Dados!$C$3:$C$329,Dados!$K$3:$K$329,"")</f>
        <v>Sudeste</v>
      </c>
      <c r="N4" s="71">
        <f>_xlfn.XLOOKUP(C4,Dados!$C$3:$C$329,Dados!$L$3:$L$329,"")</f>
        <v>3</v>
      </c>
      <c r="O4" s="43">
        <f>_xlfn.XLOOKUP(C4,Dados!$C$3:$C$329,Dados!$M$3:$M$329,"")</f>
        <v>0.73456061240178705</v>
      </c>
      <c r="P4" s="43">
        <f>_xlfn.XLOOKUP(C4,Dados!$C$3:$C$329,Dados!$N$3:$N$329,"")</f>
        <v>0.72957273031381398</v>
      </c>
      <c r="Q4" s="43">
        <f>_xlfn.XLOOKUP(C4,Dados!$C$3:$C$329,Dados!$O$3:$O$329,"")</f>
        <v>0.69987959617861994</v>
      </c>
      <c r="R4" s="43">
        <f>_xlfn.XLOOKUP(C4,Dados!$C$3:$C$329,Dados!$P$3:$P$329,"")</f>
        <v>0.67740974556495204</v>
      </c>
      <c r="S4" s="43">
        <f>_xlfn.XLOOKUP(C4,Dados!$C$3:$C$329,Dados!$Q$3:$Q$329,"")</f>
        <v>0.83255340158867597</v>
      </c>
      <c r="T4" s="43">
        <f>_xlfn.XLOOKUP(C4,Dados!$C$3:$C$329,Dados!$R$3:$R$329,"")</f>
        <v>0.86673088508376295</v>
      </c>
      <c r="U4" s="43">
        <f>_xlfn.XLOOKUP(C4,Dados!$C$3:$C$329,Dados!$S$3:$S$329,"")</f>
        <v>0.91337345524528402</v>
      </c>
      <c r="V4" s="77">
        <f>_xlfn.XLOOKUP(C4,Dados!$C$3:$C$329,Dados!$T$3:$T$329,"")</f>
        <v>2137.3425884202502</v>
      </c>
      <c r="W4" s="77">
        <f>_xlfn.XLOOKUP(C4,Dados!$C$3:$C$329,Dados!$U$3:$U$329,"")</f>
        <v>1904.08575373756</v>
      </c>
      <c r="X4" s="77">
        <f>_xlfn.XLOOKUP(C4,Dados!$C$3:$C$329,Dados!$V$3:$V$329,"")</f>
        <v>1650.08731375768</v>
      </c>
      <c r="Y4" s="77">
        <f>_xlfn.XLOOKUP(C4,Dados!$C$3:$C$329,Dados!$W$3:$W$329,"")</f>
        <v>1340.10775717146</v>
      </c>
      <c r="Z4" s="77">
        <f>_xlfn.XLOOKUP(C4,Dados!$C$3:$C$329,Dados!$X$3:$X$329,"")</f>
        <v>1181.31311407265</v>
      </c>
      <c r="AA4" s="20"/>
      <c r="AB4" s="20"/>
      <c r="AC4" s="20"/>
      <c r="AD4" s="20"/>
      <c r="AE4" s="80"/>
      <c r="AF4" s="43">
        <v>0.17331952692633662</v>
      </c>
      <c r="AG4" s="43">
        <v>9.6856079945880608E-2</v>
      </c>
      <c r="AH4" s="43">
        <v>6.3488302048865575E-2</v>
      </c>
      <c r="AI4" s="43">
        <v>6.580608331596613E-2</v>
      </c>
      <c r="AJ4" s="43">
        <v>9.3623650767924588E-2</v>
      </c>
      <c r="AK4" s="43" cm="1">
        <f t="array" ref="AK4">_xlfn.XLOOKUP(C4,Dados!$C$3:$C$329,Dados!$Z$3:'Dados'!$Z$329,"")</f>
        <v>14.9214248512264</v>
      </c>
      <c r="AL4" s="43" cm="1">
        <f t="array" ref="AL4">_xlfn.XLOOKUP(C4,Dados!$C$3:$C$329,Dados!$AA$3:'Dados'!$AA$329,"")</f>
        <v>11.7112005128318</v>
      </c>
      <c r="AM4" s="43" cm="1">
        <f t="array" ref="AM4">_xlfn.XLOOKUP(C4,Dados!$C$3:$C$329,Dados!$AB$3:'Dados'!$AB$329,"")</f>
        <v>10.328749330543699</v>
      </c>
      <c r="AN4" s="43" cm="1">
        <f t="array" ref="AN4">_xlfn.XLOOKUP(C4,Dados!$C$3:$C$329,Dados!$AC$3:'Dados'!$AC$329,"")</f>
        <v>14.2238466346093</v>
      </c>
      <c r="AO4" s="82" cm="1">
        <f t="array" ref="AO4">_xlfn.XLOOKUP(C4,Dados!$C$3:$C$329,Dados!$AD$3:'Dados'!$AD$329,"")</f>
        <v>9.7380898651663497</v>
      </c>
    </row>
    <row r="5" spans="1:41" ht="51" x14ac:dyDescent="0.25">
      <c r="A5" s="2">
        <v>21</v>
      </c>
      <c r="B5" s="18" t="s">
        <v>25</v>
      </c>
      <c r="C5" s="19" t="s">
        <v>26</v>
      </c>
      <c r="D5" s="19" t="s">
        <v>24</v>
      </c>
      <c r="E5" s="19" t="s">
        <v>21</v>
      </c>
      <c r="F5" s="72">
        <f>_xlfn.XLOOKUP(C5,Dados!$C$3:$C$329,Dados!$D$3:$D$329,"")</f>
        <v>29</v>
      </c>
      <c r="G5" s="86">
        <f>_xlfn.XLOOKUP(C5,Dados!$C$3:$C$329,Dados!$E$3:$E$329,"")</f>
        <v>245780</v>
      </c>
      <c r="H5" s="71">
        <f>_xlfn.XLOOKUP(C5,Dados!$C$3:$C$329,Dados!$F$3:$F$329,"")</f>
        <v>247291.66666666669</v>
      </c>
      <c r="I5" s="71">
        <f>_xlfn.XLOOKUP(C5,Dados!$C$3:$C$329,Dados!$G$3:$G$329,"")</f>
        <v>248803.33333333331</v>
      </c>
      <c r="J5" s="71">
        <f>_xlfn.XLOOKUP(C5,Dados!$C$3:$C$329,Dados!$H$3:$H$329,"")</f>
        <v>250315</v>
      </c>
      <c r="K5" s="71">
        <f>_xlfn.XLOOKUP(C5,Dados!$C$3:$C$329,Dados!$I$3:$I$329,"")</f>
        <v>249466</v>
      </c>
      <c r="L5" s="71">
        <f>_xlfn.XLOOKUP(C5,Dados!$C$3:$C$329,Dados!$J$3:$J$329,"")</f>
        <v>18</v>
      </c>
      <c r="M5" s="72" t="str">
        <f>_xlfn.XLOOKUP(C5,Dados!$C$3:$C$329,Dados!$K$3:$K$329,"")</f>
        <v>Sudeste</v>
      </c>
      <c r="N5" s="71">
        <f>_xlfn.XLOOKUP(C5,Dados!$C$3:$C$329,Dados!$L$3:$L$329,"")</f>
        <v>4</v>
      </c>
      <c r="O5" s="43">
        <f>_xlfn.XLOOKUP(C5,Dados!$C$3:$C$329,Dados!$M$3:$M$329,"")</f>
        <v>0.66671314736309994</v>
      </c>
      <c r="P5" s="43">
        <f>_xlfn.XLOOKUP(C5,Dados!$C$3:$C$329,Dados!$N$3:$N$329,"")</f>
        <v>0.63322455218981499</v>
      </c>
      <c r="Q5" s="43">
        <f>_xlfn.XLOOKUP(C5,Dados!$C$3:$C$329,Dados!$O$3:$O$329,"")</f>
        <v>0.60292737910233096</v>
      </c>
      <c r="R5" s="43">
        <f>_xlfn.XLOOKUP(C5,Dados!$C$3:$C$329,Dados!$P$3:$P$329,"")</f>
        <v>0.58126692414998404</v>
      </c>
      <c r="S5" s="43">
        <f>_xlfn.XLOOKUP(C5,Dados!$C$3:$C$329,Dados!$Q$3:$Q$329,"")</f>
        <v>0.76760532549135196</v>
      </c>
      <c r="T5" s="43">
        <f>_xlfn.XLOOKUP(C5,Dados!$C$3:$C$329,Dados!$R$3:$R$329,"")</f>
        <v>0.80088566578690001</v>
      </c>
      <c r="U5" s="43">
        <f>_xlfn.XLOOKUP(C5,Dados!$C$3:$C$329,Dados!$S$3:$S$329,"")</f>
        <v>0.88212908763280196</v>
      </c>
      <c r="V5" s="77">
        <f>_xlfn.XLOOKUP(C5,Dados!$C$3:$C$329,Dados!$T$3:$T$329,"")</f>
        <v>2281.3406258442501</v>
      </c>
      <c r="W5" s="77">
        <f>_xlfn.XLOOKUP(C5,Dados!$C$3:$C$329,Dados!$U$3:$U$329,"")</f>
        <v>1348.78271916428</v>
      </c>
      <c r="X5" s="77">
        <f>_xlfn.XLOOKUP(C5,Dados!$C$3:$C$329,Dados!$V$3:$V$329,"")</f>
        <v>1083.8734695006799</v>
      </c>
      <c r="Y5" s="77">
        <f>_xlfn.XLOOKUP(C5,Dados!$C$3:$C$329,Dados!$W$3:$W$329,"")</f>
        <v>952.882394622775</v>
      </c>
      <c r="Z5" s="77">
        <f>_xlfn.XLOOKUP(C5,Dados!$C$3:$C$329,Dados!$X$3:$X$329,"")</f>
        <v>810.80911907835105</v>
      </c>
      <c r="AA5" s="20"/>
      <c r="AB5" s="20"/>
      <c r="AC5" s="20"/>
      <c r="AD5" s="20"/>
      <c r="AE5" s="80"/>
      <c r="AF5" s="43">
        <v>0</v>
      </c>
      <c r="AG5" s="43">
        <v>0</v>
      </c>
      <c r="AH5" s="43">
        <v>0</v>
      </c>
      <c r="AI5" s="43">
        <v>0</v>
      </c>
      <c r="AJ5" s="43">
        <v>0</v>
      </c>
      <c r="AK5" s="43" cm="1">
        <f t="array" ref="AK5">_xlfn.XLOOKUP(C5,Dados!$C$3:$C$329,Dados!$Z$3:'Dados'!$Z$329,"")</f>
        <v>11.394674098787499</v>
      </c>
      <c r="AL5" s="43" cm="1">
        <f t="array" ref="AL5">_xlfn.XLOOKUP(C5,Dados!$C$3:$C$329,Dados!$AA$3:'Dados'!$AA$329,"")</f>
        <v>2.4402925021061499</v>
      </c>
      <c r="AM5" s="43" cm="1">
        <f t="array" ref="AM5">_xlfn.XLOOKUP(C5,Dados!$C$3:$C$329,Dados!$AB$3:'Dados'!$AB$329,"")</f>
        <v>1.67878377835238</v>
      </c>
      <c r="AN5" s="43" cm="1">
        <f t="array" ref="AN5">_xlfn.XLOOKUP(C5,Dados!$C$3:$C$329,Dados!$AC$3:'Dados'!$AC$329,"")</f>
        <v>1.36458861834089</v>
      </c>
      <c r="AO5" s="82" cm="1">
        <f t="array" ref="AO5">_xlfn.XLOOKUP(C5,Dados!$C$3:$C$329,Dados!$AD$3:'Dados'!$AD$329,"")</f>
        <v>2.5606535559956098</v>
      </c>
    </row>
    <row r="6" spans="1:41" ht="63.75" x14ac:dyDescent="0.25">
      <c r="A6" s="2">
        <v>28</v>
      </c>
      <c r="B6" s="18" t="s">
        <v>27</v>
      </c>
      <c r="C6" s="19" t="s">
        <v>28</v>
      </c>
      <c r="D6" s="19" t="s">
        <v>24</v>
      </c>
      <c r="E6" s="19" t="s">
        <v>21</v>
      </c>
      <c r="F6" s="72">
        <f>_xlfn.XLOOKUP(C6,Dados!$C$3:$C$329,Dados!$D$3:$D$329,"")</f>
        <v>27</v>
      </c>
      <c r="G6" s="86">
        <f>_xlfn.XLOOKUP(C6,Dados!$C$3:$C$329,Dados!$E$3:$E$329,"")</f>
        <v>145788</v>
      </c>
      <c r="H6" s="71">
        <f>_xlfn.XLOOKUP(C6,Dados!$C$3:$C$329,Dados!$F$3:$F$329,"")</f>
        <v>146226</v>
      </c>
      <c r="I6" s="71">
        <f>_xlfn.XLOOKUP(C6,Dados!$C$3:$C$329,Dados!$G$3:$G$329,"")</f>
        <v>146664</v>
      </c>
      <c r="J6" s="71">
        <f>_xlfn.XLOOKUP(C6,Dados!$C$3:$C$329,Dados!$H$3:$H$329,"")</f>
        <v>147102</v>
      </c>
      <c r="K6" s="71">
        <f>_xlfn.XLOOKUP(C6,Dados!$C$3:$C$329,Dados!$I$3:$I$329,"")</f>
        <v>146508</v>
      </c>
      <c r="L6" s="71">
        <f>_xlfn.XLOOKUP(C6,Dados!$C$3:$C$329,Dados!$J$3:$J$329,"")</f>
        <v>10</v>
      </c>
      <c r="M6" s="72" t="str">
        <f>_xlfn.XLOOKUP(C6,Dados!$C$3:$C$329,Dados!$K$3:$K$329,"")</f>
        <v>Sudeste</v>
      </c>
      <c r="N6" s="71">
        <f>_xlfn.XLOOKUP(C6,Dados!$C$3:$C$329,Dados!$L$3:$L$329,"")</f>
        <v>2</v>
      </c>
      <c r="O6" s="43">
        <f>_xlfn.XLOOKUP(C6,Dados!$C$3:$C$329,Dados!$M$3:$M$329,"")</f>
        <v>0.52408055544157695</v>
      </c>
      <c r="P6" s="43">
        <f>_xlfn.XLOOKUP(C6,Dados!$C$3:$C$329,Dados!$N$3:$N$329,"")</f>
        <v>0.53101864579355995</v>
      </c>
      <c r="Q6" s="43">
        <f>_xlfn.XLOOKUP(C6,Dados!$C$3:$C$329,Dados!$O$3:$O$329,"")</f>
        <v>0.51496867479707997</v>
      </c>
      <c r="R6" s="43">
        <f>_xlfn.XLOOKUP(C6,Dados!$C$3:$C$329,Dados!$P$3:$P$329,"")</f>
        <v>0.50601852049034901</v>
      </c>
      <c r="S6" s="43">
        <f>_xlfn.XLOOKUP(C6,Dados!$C$3:$C$329,Dados!$Q$3:$Q$329,"")</f>
        <v>0.76443516018473101</v>
      </c>
      <c r="T6" s="43">
        <f>_xlfn.XLOOKUP(C6,Dados!$C$3:$C$329,Dados!$R$3:$R$329,"")</f>
        <v>0.789759049709995</v>
      </c>
      <c r="U6" s="43">
        <f>_xlfn.XLOOKUP(C6,Dados!$C$3:$C$329,Dados!$S$3:$S$329,"")</f>
        <v>0.91171759895634497</v>
      </c>
      <c r="V6" s="77">
        <f>_xlfn.XLOOKUP(C6,Dados!$C$3:$C$329,Dados!$T$3:$T$329,"")</f>
        <v>1999.5901294345199</v>
      </c>
      <c r="W6" s="77">
        <f>_xlfn.XLOOKUP(C6,Dados!$C$3:$C$329,Dados!$U$3:$U$329,"")</f>
        <v>1470.98405222054</v>
      </c>
      <c r="X6" s="77">
        <f>_xlfn.XLOOKUP(C6,Dados!$C$3:$C$329,Dados!$V$3:$V$329,"")</f>
        <v>1409.33571399025</v>
      </c>
      <c r="Y6" s="77">
        <f>_xlfn.XLOOKUP(C6,Dados!$C$3:$C$329,Dados!$W$3:$W$329,"")</f>
        <v>1240.8728807222201</v>
      </c>
      <c r="Z6" s="77">
        <f>_xlfn.XLOOKUP(C6,Dados!$C$3:$C$329,Dados!$X$3:$X$329,"")</f>
        <v>1125.3002580746399</v>
      </c>
      <c r="AA6" s="20"/>
      <c r="AB6" s="20"/>
      <c r="AC6" s="20"/>
      <c r="AD6" s="20"/>
      <c r="AE6" s="80"/>
      <c r="AF6" s="43">
        <v>6.9677618595300209E-2</v>
      </c>
      <c r="AG6" s="43">
        <v>0.11417748358618519</v>
      </c>
      <c r="AH6" s="43">
        <v>0.11934932265761337</v>
      </c>
      <c r="AI6" s="43">
        <v>0.1294199244167695</v>
      </c>
      <c r="AJ6" s="43">
        <v>0.19019746285111472</v>
      </c>
      <c r="AK6" s="43" cm="1">
        <f t="array" ref="AK6">_xlfn.XLOOKUP(C6,Dados!$C$3:$C$329,Dados!$Z$3:'Dados'!$Z$329,"")</f>
        <v>4.8090309216121998</v>
      </c>
      <c r="AL6" s="43" cm="1">
        <f t="array" ref="AL6">_xlfn.XLOOKUP(C6,Dados!$C$3:$C$329,Dados!$AA$3:'Dados'!$AA$329,"")</f>
        <v>2.2467892166919698</v>
      </c>
      <c r="AM6" s="43" cm="1">
        <f t="array" ref="AM6">_xlfn.XLOOKUP(C6,Dados!$C$3:$C$329,Dados!$AB$3:'Dados'!$AB$329,"")</f>
        <v>2.3648884525173202</v>
      </c>
      <c r="AN6" s="43" cm="1">
        <f t="array" ref="AN6">_xlfn.XLOOKUP(C6,Dados!$C$3:$C$329,Dados!$AC$3:'Dados'!$AC$329,"")</f>
        <v>2.230887411456</v>
      </c>
      <c r="AO6" s="82" cm="1">
        <f t="array" ref="AO6">_xlfn.XLOOKUP(C6,Dados!$C$3:$C$329,Dados!$AD$3:'Dados'!$AD$329,"")</f>
        <v>1.7440208043246801</v>
      </c>
    </row>
    <row r="7" spans="1:41" ht="51" x14ac:dyDescent="0.25">
      <c r="A7" s="2">
        <v>29</v>
      </c>
      <c r="B7" s="18" t="s">
        <v>29</v>
      </c>
      <c r="C7" s="19" t="s">
        <v>30</v>
      </c>
      <c r="D7" s="19" t="s">
        <v>24</v>
      </c>
      <c r="E7" s="19" t="s">
        <v>21</v>
      </c>
      <c r="F7" s="72">
        <f>_xlfn.XLOOKUP(C7,Dados!$C$3:$C$329,Dados!$D$3:$D$329,"")</f>
        <v>27</v>
      </c>
      <c r="G7" s="86">
        <f>_xlfn.XLOOKUP(C7,Dados!$C$3:$C$329,Dados!$E$3:$E$329,"")</f>
        <v>269765</v>
      </c>
      <c r="H7" s="71">
        <f>_xlfn.XLOOKUP(C7,Dados!$C$3:$C$329,Dados!$F$3:$F$329,"")</f>
        <v>273212.33333333331</v>
      </c>
      <c r="I7" s="71">
        <f>_xlfn.XLOOKUP(C7,Dados!$C$3:$C$329,Dados!$G$3:$G$329,"")</f>
        <v>276659.66666666669</v>
      </c>
      <c r="J7" s="71">
        <f>_xlfn.XLOOKUP(C7,Dados!$C$3:$C$329,Dados!$H$3:$H$329,"")</f>
        <v>280107</v>
      </c>
      <c r="K7" s="71">
        <f>_xlfn.XLOOKUP(C7,Dados!$C$3:$C$329,Dados!$I$3:$I$329,"")</f>
        <v>279154</v>
      </c>
      <c r="L7" s="71">
        <f>_xlfn.XLOOKUP(C7,Dados!$C$3:$C$329,Dados!$J$3:$J$329,"")</f>
        <v>21</v>
      </c>
      <c r="M7" s="72" t="str">
        <f>_xlfn.XLOOKUP(C7,Dados!$C$3:$C$329,Dados!$K$3:$K$329,"")</f>
        <v>Sudeste</v>
      </c>
      <c r="N7" s="71">
        <f>_xlfn.XLOOKUP(C7,Dados!$C$3:$C$329,Dados!$L$3:$L$329,"")</f>
        <v>3</v>
      </c>
      <c r="O7" s="43">
        <f>_xlfn.XLOOKUP(C7,Dados!$C$3:$C$329,Dados!$M$3:$M$329,"")</f>
        <v>0.66447029611889097</v>
      </c>
      <c r="P7" s="43">
        <f>_xlfn.XLOOKUP(C7,Dados!$C$3:$C$329,Dados!$N$3:$N$329,"")</f>
        <v>0.65044136333569902</v>
      </c>
      <c r="Q7" s="43">
        <f>_xlfn.XLOOKUP(C7,Dados!$C$3:$C$329,Dados!$O$3:$O$329,"")</f>
        <v>0.62029868907239005</v>
      </c>
      <c r="R7" s="43">
        <f>_xlfn.XLOOKUP(C7,Dados!$C$3:$C$329,Dados!$P$3:$P$329,"")</f>
        <v>0.61296011341410095</v>
      </c>
      <c r="S7" s="43">
        <f>_xlfn.XLOOKUP(C7,Dados!$C$3:$C$329,Dados!$Q$3:$Q$329,"")</f>
        <v>0.72726548129530999</v>
      </c>
      <c r="T7" s="43">
        <f>_xlfn.XLOOKUP(C7,Dados!$C$3:$C$329,Dados!$R$3:$R$329,"")</f>
        <v>0.81197608782872799</v>
      </c>
      <c r="U7" s="43">
        <f>_xlfn.XLOOKUP(C7,Dados!$C$3:$C$329,Dados!$S$3:$S$329,"")</f>
        <v>0.90007772293033905</v>
      </c>
      <c r="V7" s="77">
        <f>_xlfn.XLOOKUP(C7,Dados!$C$3:$C$329,Dados!$T$3:$T$329,"")</f>
        <v>2169.1333718977598</v>
      </c>
      <c r="W7" s="77">
        <f>_xlfn.XLOOKUP(C7,Dados!$C$3:$C$329,Dados!$U$3:$U$329,"")</f>
        <v>1670.5989980320601</v>
      </c>
      <c r="X7" s="77">
        <f>_xlfn.XLOOKUP(C7,Dados!$C$3:$C$329,Dados!$V$3:$V$329,"")</f>
        <v>1465.63040102219</v>
      </c>
      <c r="Y7" s="77">
        <f>_xlfn.XLOOKUP(C7,Dados!$C$3:$C$329,Dados!$W$3:$W$329,"")</f>
        <v>1248.9781573827099</v>
      </c>
      <c r="Z7" s="77">
        <f>_xlfn.XLOOKUP(C7,Dados!$C$3:$C$329,Dados!$X$3:$X$329,"")</f>
        <v>1058.5287339604699</v>
      </c>
      <c r="AA7" s="20"/>
      <c r="AB7" s="20"/>
      <c r="AC7" s="20"/>
      <c r="AD7" s="20"/>
      <c r="AE7" s="80"/>
      <c r="AF7" s="43">
        <v>4.3808757886235922E-2</v>
      </c>
      <c r="AG7" s="43">
        <v>3.8604255152044492E-2</v>
      </c>
      <c r="AH7" s="43">
        <v>4.4972002519122069E-2</v>
      </c>
      <c r="AI7" s="43">
        <v>5.4324278660976479E-2</v>
      </c>
      <c r="AJ7" s="43">
        <v>6.5880799895056019E-2</v>
      </c>
      <c r="AK7" s="43" cm="1">
        <f t="array" ref="AK7">_xlfn.XLOOKUP(C7,Dados!$C$3:$C$329,Dados!$Z$3:'Dados'!$Z$329,"")</f>
        <v>14.9582006561266</v>
      </c>
      <c r="AL7" s="43" cm="1">
        <f t="array" ref="AL7">_xlfn.XLOOKUP(C7,Dados!$C$3:$C$329,Dados!$AA$3:'Dados'!$AA$329,"")</f>
        <v>9.3319689081874095</v>
      </c>
      <c r="AM7" s="43" cm="1">
        <f t="array" ref="AM7">_xlfn.XLOOKUP(C7,Dados!$C$3:$C$329,Dados!$AB$3:'Dados'!$AB$329,"")</f>
        <v>6.9743162176392399</v>
      </c>
      <c r="AN7" s="43" cm="1">
        <f t="array" ref="AN7">_xlfn.XLOOKUP(C7,Dados!$C$3:$C$329,Dados!$AC$3:'Dados'!$AC$329,"")</f>
        <v>5.4564577108033703</v>
      </c>
      <c r="AO7" s="82" cm="1">
        <f t="array" ref="AO7">_xlfn.XLOOKUP(C7,Dados!$C$3:$C$329,Dados!$AD$3:'Dados'!$AD$329,"")</f>
        <v>5.3093704550176604</v>
      </c>
    </row>
    <row r="8" spans="1:41" ht="51" x14ac:dyDescent="0.25">
      <c r="A8" s="2">
        <v>31</v>
      </c>
      <c r="B8" s="18" t="s">
        <v>31</v>
      </c>
      <c r="C8" s="19" t="s">
        <v>32</v>
      </c>
      <c r="D8" s="19" t="s">
        <v>24</v>
      </c>
      <c r="E8" s="19" t="s">
        <v>21</v>
      </c>
      <c r="F8" s="72">
        <f>_xlfn.XLOOKUP(C8,Dados!$C$3:$C$329,Dados!$D$3:$D$329,"")</f>
        <v>19</v>
      </c>
      <c r="G8" s="86">
        <f>_xlfn.XLOOKUP(C8,Dados!$C$3:$C$329,Dados!$E$3:$E$329,"")</f>
        <v>222172</v>
      </c>
      <c r="H8" s="71">
        <f>_xlfn.XLOOKUP(C8,Dados!$C$3:$C$329,Dados!$F$3:$F$329,"")</f>
        <v>220297.33333333331</v>
      </c>
      <c r="I8" s="71">
        <f>_xlfn.XLOOKUP(C8,Dados!$C$3:$C$329,Dados!$G$3:$G$329,"")</f>
        <v>218422.66666666669</v>
      </c>
      <c r="J8" s="71">
        <f>_xlfn.XLOOKUP(C8,Dados!$C$3:$C$329,Dados!$H$3:$H$329,"")</f>
        <v>216548</v>
      </c>
      <c r="K8" s="71">
        <f>_xlfn.XLOOKUP(C8,Dados!$C$3:$C$329,Dados!$I$3:$I$329,"")</f>
        <v>215323</v>
      </c>
      <c r="L8" s="71">
        <f>_xlfn.XLOOKUP(C8,Dados!$C$3:$C$329,Dados!$J$3:$J$329,"")</f>
        <v>12</v>
      </c>
      <c r="M8" s="72" t="str">
        <f>_xlfn.XLOOKUP(C8,Dados!$C$3:$C$329,Dados!$K$3:$K$329,"")</f>
        <v>Sudeste</v>
      </c>
      <c r="N8" s="71">
        <f>_xlfn.XLOOKUP(C8,Dados!$C$3:$C$329,Dados!$L$3:$L$329,"")</f>
        <v>3</v>
      </c>
      <c r="O8" s="43">
        <f>_xlfn.XLOOKUP(C8,Dados!$C$3:$C$329,Dados!$M$3:$M$329,"")</f>
        <v>0.75818059592187503</v>
      </c>
      <c r="P8" s="43">
        <f>_xlfn.XLOOKUP(C8,Dados!$C$3:$C$329,Dados!$N$3:$N$329,"")</f>
        <v>0.72932983527350603</v>
      </c>
      <c r="Q8" s="43">
        <f>_xlfn.XLOOKUP(C8,Dados!$C$3:$C$329,Dados!$O$3:$O$329,"")</f>
        <v>0.71287227127472896</v>
      </c>
      <c r="R8" s="43">
        <f>_xlfn.XLOOKUP(C8,Dados!$C$3:$C$329,Dados!$P$3:$P$329,"")</f>
        <v>0.69677621991148198</v>
      </c>
      <c r="S8" s="43">
        <f>_xlfn.XLOOKUP(C8,Dados!$C$3:$C$329,Dados!$Q$3:$Q$329,"")</f>
        <v>0.92302218084814203</v>
      </c>
      <c r="T8" s="43">
        <f>_xlfn.XLOOKUP(C8,Dados!$C$3:$C$329,Dados!$R$3:$R$329,"")</f>
        <v>0.94700630017031195</v>
      </c>
      <c r="U8" s="43">
        <f>_xlfn.XLOOKUP(C8,Dados!$C$3:$C$329,Dados!$S$3:$S$329,"")</f>
        <v>0.97906318712343698</v>
      </c>
      <c r="V8" s="77">
        <f>_xlfn.XLOOKUP(C8,Dados!$C$3:$C$329,Dados!$T$3:$T$329,"")</f>
        <v>2687.30975856544</v>
      </c>
      <c r="W8" s="77">
        <f>_xlfn.XLOOKUP(C8,Dados!$C$3:$C$329,Dados!$U$3:$U$329,"")</f>
        <v>2137.60428510256</v>
      </c>
      <c r="X8" s="77">
        <f>_xlfn.XLOOKUP(C8,Dados!$C$3:$C$329,Dados!$V$3:$V$329,"")</f>
        <v>1709.45153495974</v>
      </c>
      <c r="Y8" s="77">
        <f>_xlfn.XLOOKUP(C8,Dados!$C$3:$C$329,Dados!$W$3:$W$329,"")</f>
        <v>1475.8374903485601</v>
      </c>
      <c r="Z8" s="77">
        <f>_xlfn.XLOOKUP(C8,Dados!$C$3:$C$329,Dados!$X$3:$X$329,"")</f>
        <v>1538.4030923774999</v>
      </c>
      <c r="AA8" s="20"/>
      <c r="AB8" s="20"/>
      <c r="AC8" s="20"/>
      <c r="AD8" s="20"/>
      <c r="AE8" s="80"/>
      <c r="AF8" s="43">
        <v>0.1148792861262308</v>
      </c>
      <c r="AG8" s="43">
        <v>0.15125952925531638</v>
      </c>
      <c r="AH8" s="43">
        <v>0.19195704388464185</v>
      </c>
      <c r="AI8" s="43">
        <v>0.20859351461748135</v>
      </c>
      <c r="AJ8" s="43">
        <v>0.26024390559669008</v>
      </c>
      <c r="AK8" s="43" cm="1">
        <f t="array" ref="AK8">_xlfn.XLOOKUP(C8,Dados!$C$3:$C$329,Dados!$Z$3:'Dados'!$Z$329,"")</f>
        <v>15.439902417946501</v>
      </c>
      <c r="AL8" s="43" cm="1">
        <f t="array" ref="AL8">_xlfn.XLOOKUP(C8,Dados!$C$3:$C$329,Dados!$AA$3:'Dados'!$AA$329,"")</f>
        <v>13.690447153241401</v>
      </c>
      <c r="AM8" s="43" cm="1">
        <f t="array" ref="AM8">_xlfn.XLOOKUP(C8,Dados!$C$3:$C$329,Dados!$AB$3:'Dados'!$AB$329,"")</f>
        <v>14.649935598869501</v>
      </c>
      <c r="AN8" s="43" cm="1">
        <f t="array" ref="AN8">_xlfn.XLOOKUP(C8,Dados!$C$3:$C$329,Dados!$AC$3:'Dados'!$AC$329,"")</f>
        <v>12.691227810924101</v>
      </c>
      <c r="AO8" s="82" cm="1">
        <f t="array" ref="AO8">_xlfn.XLOOKUP(C8,Dados!$C$3:$C$329,Dados!$AD$3:'Dados'!$AD$329,"")</f>
        <v>11.0409199203058</v>
      </c>
    </row>
    <row r="9" spans="1:41" ht="51" x14ac:dyDescent="0.25">
      <c r="A9" s="2">
        <v>33</v>
      </c>
      <c r="B9" s="18" t="s">
        <v>33</v>
      </c>
      <c r="C9" s="19" t="s">
        <v>34</v>
      </c>
      <c r="D9" s="19" t="s">
        <v>24</v>
      </c>
      <c r="E9" s="19" t="s">
        <v>21</v>
      </c>
      <c r="F9" s="72">
        <f>_xlfn.XLOOKUP(C9,Dados!$C$3:$C$329,Dados!$D$3:$D$329,"")</f>
        <v>11</v>
      </c>
      <c r="G9" s="86">
        <f>_xlfn.XLOOKUP(C9,Dados!$C$3:$C$329,Dados!$E$3:$E$329,"")</f>
        <v>481897</v>
      </c>
      <c r="H9" s="71">
        <f>_xlfn.XLOOKUP(C9,Dados!$C$3:$C$329,Dados!$F$3:$F$329,"")</f>
        <v>480386.66666666669</v>
      </c>
      <c r="I9" s="71">
        <f>_xlfn.XLOOKUP(C9,Dados!$C$3:$C$329,Dados!$G$3:$G$329,"")</f>
        <v>478876.33333333331</v>
      </c>
      <c r="J9" s="71">
        <f>_xlfn.XLOOKUP(C9,Dados!$C$3:$C$329,Dados!$H$3:$H$329,"")</f>
        <v>477366</v>
      </c>
      <c r="K9" s="71">
        <f>_xlfn.XLOOKUP(C9,Dados!$C$3:$C$329,Dados!$I$3:$I$329,"")</f>
        <v>475413</v>
      </c>
      <c r="L9" s="71">
        <f>_xlfn.XLOOKUP(C9,Dados!$C$3:$C$329,Dados!$J$3:$J$329,"")</f>
        <v>22</v>
      </c>
      <c r="M9" s="72" t="str">
        <f>_xlfn.XLOOKUP(C9,Dados!$C$3:$C$329,Dados!$K$3:$K$329,"")</f>
        <v>Sudeste</v>
      </c>
      <c r="N9" s="71">
        <f>_xlfn.XLOOKUP(C9,Dados!$C$3:$C$329,Dados!$L$3:$L$329,"")</f>
        <v>2</v>
      </c>
      <c r="O9" s="43">
        <f>_xlfn.XLOOKUP(C9,Dados!$C$3:$C$329,Dados!$M$3:$M$329,"")</f>
        <v>0.716129960517916</v>
      </c>
      <c r="P9" s="43">
        <f>_xlfn.XLOOKUP(C9,Dados!$C$3:$C$329,Dados!$N$3:$N$329,"")</f>
        <v>0.699206974312784</v>
      </c>
      <c r="Q9" s="43">
        <f>_xlfn.XLOOKUP(C9,Dados!$C$3:$C$329,Dados!$O$3:$O$329,"")</f>
        <v>0.67172318095549299</v>
      </c>
      <c r="R9" s="43">
        <f>_xlfn.XLOOKUP(C9,Dados!$C$3:$C$329,Dados!$P$3:$P$329,"")</f>
        <v>0.65311831733671599</v>
      </c>
      <c r="S9" s="43">
        <f>_xlfn.XLOOKUP(C9,Dados!$C$3:$C$329,Dados!$Q$3:$Q$329,"")</f>
        <v>0.841016712108693</v>
      </c>
      <c r="T9" s="43">
        <f>_xlfn.XLOOKUP(C9,Dados!$C$3:$C$329,Dados!$R$3:$R$329,"")</f>
        <v>0.875087973791424</v>
      </c>
      <c r="U9" s="43">
        <f>_xlfn.XLOOKUP(C9,Dados!$C$3:$C$329,Dados!$S$3:$S$329,"")</f>
        <v>0.92191570544656998</v>
      </c>
      <c r="V9" s="77">
        <f>_xlfn.XLOOKUP(C9,Dados!$C$3:$C$329,Dados!$T$3:$T$329,"")</f>
        <v>2255.42736908509</v>
      </c>
      <c r="W9" s="77">
        <f>_xlfn.XLOOKUP(C9,Dados!$C$3:$C$329,Dados!$U$3:$U$329,"")</f>
        <v>1823.74673488024</v>
      </c>
      <c r="X9" s="77">
        <f>_xlfn.XLOOKUP(C9,Dados!$C$3:$C$329,Dados!$V$3:$V$329,"")</f>
        <v>1536.8933111819399</v>
      </c>
      <c r="Y9" s="77">
        <f>_xlfn.XLOOKUP(C9,Dados!$C$3:$C$329,Dados!$W$3:$W$329,"")</f>
        <v>1314.9809608560299</v>
      </c>
      <c r="Z9" s="77">
        <f>_xlfn.XLOOKUP(C9,Dados!$C$3:$C$329,Dados!$X$3:$X$329,"")</f>
        <v>1097.1186657706</v>
      </c>
      <c r="AA9" s="20"/>
      <c r="AB9" s="20"/>
      <c r="AC9" s="20"/>
      <c r="AD9" s="20"/>
      <c r="AE9" s="80"/>
      <c r="AF9" s="43" t="e">
        <v>#DIV/0!</v>
      </c>
      <c r="AG9" s="43" t="e">
        <v>#DIV/0!</v>
      </c>
      <c r="AH9" s="43" t="e">
        <v>#DIV/0!</v>
      </c>
      <c r="AI9" s="43">
        <v>6.1396425128891534E-2</v>
      </c>
      <c r="AJ9" s="43">
        <v>7.6463768358268069E-2</v>
      </c>
      <c r="AK9" s="43" cm="1">
        <f t="array" ref="AK9">_xlfn.XLOOKUP(C9,Dados!$C$3:$C$329,Dados!$Z$3:'Dados'!$Z$329,"")</f>
        <v>15.444941553900501</v>
      </c>
      <c r="AL9" s="43" cm="1">
        <f t="array" ref="AL9">_xlfn.XLOOKUP(C9,Dados!$C$3:$C$329,Dados!$AA$3:'Dados'!$AA$329,"")</f>
        <v>12.2624552443865</v>
      </c>
      <c r="AM9" s="43" cm="1">
        <f t="array" ref="AM9">_xlfn.XLOOKUP(C9,Dados!$C$3:$C$329,Dados!$AB$3:'Dados'!$AB$329,"")</f>
        <v>8.3966187512572805</v>
      </c>
      <c r="AN9" s="43" cm="1">
        <f t="array" ref="AN9">_xlfn.XLOOKUP(C9,Dados!$C$3:$C$329,Dados!$AC$3:'Dados'!$AC$329,"")</f>
        <v>6.8531357490897999</v>
      </c>
      <c r="AO9" s="82" cm="1">
        <f t="array" ref="AO9">_xlfn.XLOOKUP(C9,Dados!$C$3:$C$329,Dados!$AD$3:'Dados'!$AD$329,"")</f>
        <v>8.6757072271898306</v>
      </c>
    </row>
    <row r="10" spans="1:41" ht="89.25" x14ac:dyDescent="0.25">
      <c r="A10" s="2">
        <v>36</v>
      </c>
      <c r="B10" s="18" t="s">
        <v>35</v>
      </c>
      <c r="C10" s="19" t="s">
        <v>36</v>
      </c>
      <c r="D10" s="19" t="s">
        <v>24</v>
      </c>
      <c r="E10" s="19" t="s">
        <v>21</v>
      </c>
      <c r="F10" s="72">
        <f>_xlfn.XLOOKUP(C10,Dados!$C$3:$C$329,Dados!$D$3:$D$329,"")</f>
        <v>10</v>
      </c>
      <c r="G10" s="86">
        <f>_xlfn.XLOOKUP(C10,Dados!$C$3:$C$329,Dados!$E$3:$E$329,"")</f>
        <v>741869</v>
      </c>
      <c r="H10" s="71">
        <f>_xlfn.XLOOKUP(C10,Dados!$C$3:$C$329,Dados!$F$3:$F$329,"")</f>
        <v>732635</v>
      </c>
      <c r="I10" s="71">
        <f>_xlfn.XLOOKUP(C10,Dados!$C$3:$C$329,Dados!$G$3:$G$329,"")</f>
        <v>723401</v>
      </c>
      <c r="J10" s="71">
        <f>_xlfn.XLOOKUP(C10,Dados!$C$3:$C$329,Dados!$H$3:$H$329,"")</f>
        <v>714167</v>
      </c>
      <c r="K10" s="71">
        <f>_xlfn.XLOOKUP(C10,Dados!$C$3:$C$329,Dados!$I$3:$I$329,"")</f>
        <v>710130</v>
      </c>
      <c r="L10" s="71">
        <f>_xlfn.XLOOKUP(C10,Dados!$C$3:$C$329,Dados!$J$3:$J$329,"")</f>
        <v>33</v>
      </c>
      <c r="M10" s="72" t="str">
        <f>_xlfn.XLOOKUP(C10,Dados!$C$3:$C$329,Dados!$K$3:$K$329,"")</f>
        <v>Sudeste</v>
      </c>
      <c r="N10" s="71">
        <f>_xlfn.XLOOKUP(C10,Dados!$C$3:$C$329,Dados!$L$3:$L$329,"")</f>
        <v>3</v>
      </c>
      <c r="O10" s="43">
        <f>_xlfn.XLOOKUP(C10,Dados!$C$3:$C$329,Dados!$M$3:$M$329,"")</f>
        <v>0.72014026898341899</v>
      </c>
      <c r="P10" s="43">
        <f>_xlfn.XLOOKUP(C10,Dados!$C$3:$C$329,Dados!$N$3:$N$329,"")</f>
        <v>0.70657689409700397</v>
      </c>
      <c r="Q10" s="43">
        <f>_xlfn.XLOOKUP(C10,Dados!$C$3:$C$329,Dados!$O$3:$O$329,"")</f>
        <v>0.68091030571280897</v>
      </c>
      <c r="R10" s="43">
        <f>_xlfn.XLOOKUP(C10,Dados!$C$3:$C$329,Dados!$P$3:$P$329,"")</f>
        <v>0.65298745990170803</v>
      </c>
      <c r="S10" s="43">
        <f>_xlfn.XLOOKUP(C10,Dados!$C$3:$C$329,Dados!$Q$3:$Q$329,"")</f>
        <v>0.74286126256391705</v>
      </c>
      <c r="T10" s="43">
        <f>_xlfn.XLOOKUP(C10,Dados!$C$3:$C$329,Dados!$R$3:$R$329,"")</f>
        <v>0.82005461111241695</v>
      </c>
      <c r="U10" s="43">
        <f>_xlfn.XLOOKUP(C10,Dados!$C$3:$C$329,Dados!$S$3:$S$329,"")</f>
        <v>0.88223314325894797</v>
      </c>
      <c r="V10" s="77">
        <f>_xlfn.XLOOKUP(C10,Dados!$C$3:$C$329,Dados!$T$3:$T$329,"")</f>
        <v>2160.5564291000201</v>
      </c>
      <c r="W10" s="77">
        <f>_xlfn.XLOOKUP(C10,Dados!$C$3:$C$329,Dados!$U$3:$U$329,"")</f>
        <v>1948.13502072201</v>
      </c>
      <c r="X10" s="77">
        <f>_xlfn.XLOOKUP(C10,Dados!$C$3:$C$329,Dados!$V$3:$V$329,"")</f>
        <v>1650.53370011008</v>
      </c>
      <c r="Y10" s="77">
        <f>_xlfn.XLOOKUP(C10,Dados!$C$3:$C$329,Dados!$W$3:$W$329,"")</f>
        <v>1369.57633921758</v>
      </c>
      <c r="Z10" s="77">
        <f>_xlfn.XLOOKUP(C10,Dados!$C$3:$C$329,Dados!$X$3:$X$329,"")</f>
        <v>1188.1848882880599</v>
      </c>
      <c r="AA10" s="20"/>
      <c r="AB10" s="20"/>
      <c r="AC10" s="20"/>
      <c r="AD10" s="20"/>
      <c r="AE10" s="80"/>
      <c r="AF10" s="43">
        <v>0.81551010271824864</v>
      </c>
      <c r="AG10" s="43">
        <v>0.8349941504847932</v>
      </c>
      <c r="AH10" s="43">
        <v>0.15381227317233984</v>
      </c>
      <c r="AI10" s="43" t="e">
        <v>#DIV/0!</v>
      </c>
      <c r="AJ10" s="43" t="e">
        <v>#DIV/0!</v>
      </c>
      <c r="AK10" s="43" cm="1">
        <f t="array" ref="AK10">_xlfn.XLOOKUP(C10,Dados!$C$3:$C$329,Dados!$Z$3:'Dados'!$Z$329,"")</f>
        <v>15.036549579508</v>
      </c>
      <c r="AL10" s="43" cm="1">
        <f t="array" ref="AL10">_xlfn.XLOOKUP(C10,Dados!$C$3:$C$329,Dados!$AA$3:'Dados'!$AA$329,"")</f>
        <v>11.4430910344169</v>
      </c>
      <c r="AM10" s="43" cm="1">
        <f t="array" ref="AM10">_xlfn.XLOOKUP(C10,Dados!$C$3:$C$329,Dados!$AB$3:'Dados'!$AB$329,"")</f>
        <v>11.339539204396999</v>
      </c>
      <c r="AN10" s="43" cm="1">
        <f t="array" ref="AN10">_xlfn.XLOOKUP(C10,Dados!$C$3:$C$329,Dados!$AC$3:'Dados'!$AC$329,"")</f>
        <v>11.441906444851099</v>
      </c>
      <c r="AO10" s="82" cm="1">
        <f t="array" ref="AO10">_xlfn.XLOOKUP(C10,Dados!$C$3:$C$329,Dados!$AD$3:'Dados'!$AD$329,"")</f>
        <v>9.7204441440299707</v>
      </c>
    </row>
    <row r="11" spans="1:41" ht="63.75" x14ac:dyDescent="0.25">
      <c r="A11" s="2">
        <v>37</v>
      </c>
      <c r="B11" s="18" t="s">
        <v>37</v>
      </c>
      <c r="C11" s="19" t="s">
        <v>38</v>
      </c>
      <c r="D11" s="19" t="s">
        <v>24</v>
      </c>
      <c r="E11" s="19" t="s">
        <v>21</v>
      </c>
      <c r="F11" s="72">
        <f>_xlfn.XLOOKUP(C11,Dados!$C$3:$C$329,Dados!$D$3:$D$329,"")</f>
        <v>10</v>
      </c>
      <c r="G11" s="86">
        <f>_xlfn.XLOOKUP(C11,Dados!$C$3:$C$329,Dados!$E$3:$E$329,"")</f>
        <v>684595</v>
      </c>
      <c r="H11" s="71">
        <f>_xlfn.XLOOKUP(C11,Dados!$C$3:$C$329,Dados!$F$3:$F$329,"")</f>
        <v>688660.66666666651</v>
      </c>
      <c r="I11" s="71">
        <f>_xlfn.XLOOKUP(C11,Dados!$C$3:$C$329,Dados!$G$3:$G$329,"")</f>
        <v>692726.33333333349</v>
      </c>
      <c r="J11" s="71">
        <f>_xlfn.XLOOKUP(C11,Dados!$C$3:$C$329,Dados!$H$3:$H$329,"")</f>
        <v>696792</v>
      </c>
      <c r="K11" s="71">
        <f>_xlfn.XLOOKUP(C11,Dados!$C$3:$C$329,Dados!$I$3:$I$329,"")</f>
        <v>692272</v>
      </c>
      <c r="L11" s="71">
        <f>_xlfn.XLOOKUP(C11,Dados!$C$3:$C$329,Dados!$J$3:$J$329,"")</f>
        <v>17</v>
      </c>
      <c r="M11" s="72" t="str">
        <f>_xlfn.XLOOKUP(C11,Dados!$C$3:$C$329,Dados!$K$3:$K$329,"")</f>
        <v>Sudeste</v>
      </c>
      <c r="N11" s="71">
        <f>_xlfn.XLOOKUP(C11,Dados!$C$3:$C$329,Dados!$L$3:$L$329,"")</f>
        <v>21</v>
      </c>
      <c r="O11" s="43">
        <f>_xlfn.XLOOKUP(C11,Dados!$C$3:$C$329,Dados!$M$3:$M$329,"")</f>
        <v>0.72124587542389096</v>
      </c>
      <c r="P11" s="43">
        <f>_xlfn.XLOOKUP(C11,Dados!$C$3:$C$329,Dados!$N$3:$N$329,"")</f>
        <v>0.69254276248581104</v>
      </c>
      <c r="Q11" s="43">
        <f>_xlfn.XLOOKUP(C11,Dados!$C$3:$C$329,Dados!$O$3:$O$329,"")</f>
        <v>0.67192903004052895</v>
      </c>
      <c r="R11" s="43">
        <f>_xlfn.XLOOKUP(C11,Dados!$C$3:$C$329,Dados!$P$3:$P$329,"")</f>
        <v>0.67184266343287002</v>
      </c>
      <c r="S11" s="43">
        <f>_xlfn.XLOOKUP(C11,Dados!$C$3:$C$329,Dados!$Q$3:$Q$329,"")</f>
        <v>0.90729024867443997</v>
      </c>
      <c r="T11" s="43">
        <f>_xlfn.XLOOKUP(C11,Dados!$C$3:$C$329,Dados!$R$3:$R$329,"")</f>
        <v>0.94095576478253296</v>
      </c>
      <c r="U11" s="43">
        <f>_xlfn.XLOOKUP(C11,Dados!$C$3:$C$329,Dados!$S$3:$S$329,"")</f>
        <v>0.98273727782832898</v>
      </c>
      <c r="V11" s="77">
        <f>_xlfn.XLOOKUP(C11,Dados!$C$3:$C$329,Dados!$T$3:$T$329,"")</f>
        <v>2029.5979039870299</v>
      </c>
      <c r="W11" s="77">
        <f>_xlfn.XLOOKUP(C11,Dados!$C$3:$C$329,Dados!$U$3:$U$329,"")</f>
        <v>1538.4237346453201</v>
      </c>
      <c r="X11" s="77">
        <f>_xlfn.XLOOKUP(C11,Dados!$C$3:$C$329,Dados!$V$3:$V$329,"")</f>
        <v>1365.48284904717</v>
      </c>
      <c r="Y11" s="77">
        <f>_xlfn.XLOOKUP(C11,Dados!$C$3:$C$329,Dados!$W$3:$W$329,"")</f>
        <v>1378.9160787293799</v>
      </c>
      <c r="Z11" s="77">
        <f>_xlfn.XLOOKUP(C11,Dados!$C$3:$C$329,Dados!$X$3:$X$329,"")</f>
        <v>1212.49314675445</v>
      </c>
      <c r="AA11" s="20"/>
      <c r="AB11" s="20"/>
      <c r="AC11" s="20"/>
      <c r="AD11" s="20"/>
      <c r="AE11" s="80"/>
      <c r="AF11" s="43">
        <v>4.488909285789533E-2</v>
      </c>
      <c r="AG11" s="43">
        <v>5.5106256868105108E-2</v>
      </c>
      <c r="AH11" s="43" t="e">
        <v>#DIV/0!</v>
      </c>
      <c r="AI11" s="43" t="e">
        <v>#DIV/0!</v>
      </c>
      <c r="AJ11" s="43" t="e">
        <v>#DIV/0!</v>
      </c>
      <c r="AK11" s="43" cm="1">
        <f t="array" ref="AK11">_xlfn.XLOOKUP(C11,Dados!$C$3:$C$329,Dados!$Z$3:'Dados'!$Z$329,"")</f>
        <v>13.7456116389982</v>
      </c>
      <c r="AL11" s="43" cm="1">
        <f t="array" ref="AL11">_xlfn.XLOOKUP(C11,Dados!$C$3:$C$329,Dados!$AA$3:'Dados'!$AA$329,"")</f>
        <v>11.525022967286301</v>
      </c>
      <c r="AM11" s="43" cm="1">
        <f t="array" ref="AM11">_xlfn.XLOOKUP(C11,Dados!$C$3:$C$329,Dados!$AB$3:'Dados'!$AB$329,"")</f>
        <v>11.814195023624</v>
      </c>
      <c r="AN11" s="43" cm="1">
        <f t="array" ref="AN11">_xlfn.XLOOKUP(C11,Dados!$C$3:$C$329,Dados!$AC$3:'Dados'!$AC$329,"")</f>
        <v>10.4510643061344</v>
      </c>
      <c r="AO11" s="82" cm="1">
        <f t="array" ref="AO11">_xlfn.XLOOKUP(C11,Dados!$C$3:$C$329,Dados!$AD$3:'Dados'!$AD$329,"")</f>
        <v>8.2462168049552798</v>
      </c>
    </row>
    <row r="12" spans="1:41" ht="51" x14ac:dyDescent="0.25">
      <c r="A12" s="2">
        <v>39</v>
      </c>
      <c r="B12" s="18" t="s">
        <v>39</v>
      </c>
      <c r="C12" s="19" t="s">
        <v>40</v>
      </c>
      <c r="D12" s="19" t="s">
        <v>24</v>
      </c>
      <c r="E12" s="19" t="s">
        <v>21</v>
      </c>
      <c r="F12" s="72">
        <f>_xlfn.XLOOKUP(C12,Dados!$C$3:$C$329,Dados!$D$3:$D$329,"")</f>
        <v>6</v>
      </c>
      <c r="G12" s="86">
        <f>_xlfn.XLOOKUP(C12,Dados!$C$3:$C$329,Dados!$E$3:$E$329,"")</f>
        <v>33627</v>
      </c>
      <c r="H12" s="71">
        <f>_xlfn.XLOOKUP(C12,Dados!$C$3:$C$329,Dados!$F$3:$F$329,"")</f>
        <v>30911</v>
      </c>
      <c r="I12" s="71">
        <f>_xlfn.XLOOKUP(C12,Dados!$C$3:$C$329,Dados!$G$3:$G$329,"")</f>
        <v>28195</v>
      </c>
      <c r="J12" s="71">
        <f>_xlfn.XLOOKUP(C12,Dados!$C$3:$C$329,Dados!$H$3:$H$329,"")</f>
        <v>25479</v>
      </c>
      <c r="K12" s="71">
        <f>_xlfn.XLOOKUP(C12,Dados!$C$3:$C$329,Dados!$I$3:$I$329,"")</f>
        <v>25559</v>
      </c>
      <c r="L12" s="71">
        <f>_xlfn.XLOOKUP(C12,Dados!$C$3:$C$329,Dados!$J$3:$J$329,"")</f>
        <v>3</v>
      </c>
      <c r="M12" s="72" t="str">
        <f>_xlfn.XLOOKUP(C12,Dados!$C$3:$C$329,Dados!$K$3:$K$329,"")</f>
        <v>Sudeste</v>
      </c>
      <c r="N12" s="71">
        <f>_xlfn.XLOOKUP(C12,Dados!$C$3:$C$329,Dados!$L$3:$L$329,"")</f>
        <v>4</v>
      </c>
      <c r="O12" s="43">
        <f>_xlfn.XLOOKUP(C12,Dados!$C$3:$C$329,Dados!$M$3:$M$329,"")</f>
        <v>0.64229388567176704</v>
      </c>
      <c r="P12" s="43">
        <f>_xlfn.XLOOKUP(C12,Dados!$C$3:$C$329,Dados!$N$3:$N$329,"")</f>
        <v>0.65978764674587698</v>
      </c>
      <c r="Q12" s="43">
        <f>_xlfn.XLOOKUP(C12,Dados!$C$3:$C$329,Dados!$O$3:$O$329,"")</f>
        <v>0.64130044350249205</v>
      </c>
      <c r="R12" s="43">
        <f>_xlfn.XLOOKUP(C12,Dados!$C$3:$C$329,Dados!$P$3:$P$329,"")</f>
        <v>0.583639367737392</v>
      </c>
      <c r="S12" s="43">
        <f>_xlfn.XLOOKUP(C12,Dados!$C$3:$C$329,Dados!$Q$3:$Q$329,"")</f>
        <v>0.58345369391736102</v>
      </c>
      <c r="T12" s="43">
        <f>_xlfn.XLOOKUP(C12,Dados!$C$3:$C$329,Dados!$R$3:$R$329,"")</f>
        <v>0.64852874623160095</v>
      </c>
      <c r="U12" s="43">
        <f>_xlfn.XLOOKUP(C12,Dados!$C$3:$C$329,Dados!$S$3:$S$329,"")</f>
        <v>0.79824167405568403</v>
      </c>
      <c r="V12" s="77">
        <f>_xlfn.XLOOKUP(C12,Dados!$C$3:$C$329,Dados!$T$3:$T$329,"")</f>
        <v>4637.2651455675496</v>
      </c>
      <c r="W12" s="77">
        <f>_xlfn.XLOOKUP(C12,Dados!$C$3:$C$329,Dados!$U$3:$U$329,"")</f>
        <v>4561.9329005855498</v>
      </c>
      <c r="X12" s="77">
        <f>_xlfn.XLOOKUP(C12,Dados!$C$3:$C$329,Dados!$V$3:$V$329,"")</f>
        <v>3660.3694644440502</v>
      </c>
      <c r="Y12" s="77">
        <f>_xlfn.XLOOKUP(C12,Dados!$C$3:$C$329,Dados!$W$3:$W$329,"")</f>
        <v>2306.82168530947</v>
      </c>
      <c r="Z12" s="77">
        <f>_xlfn.XLOOKUP(C12,Dados!$C$3:$C$329,Dados!$X$3:$X$329,"")</f>
        <v>2348.3117426346898</v>
      </c>
      <c r="AA12" s="20"/>
      <c r="AB12" s="20"/>
      <c r="AC12" s="20"/>
      <c r="AD12" s="20"/>
      <c r="AE12" s="80"/>
      <c r="AF12" s="43">
        <v>0.23285206468299166</v>
      </c>
      <c r="AG12" s="43">
        <v>0.25634827584575032</v>
      </c>
      <c r="AH12" s="43">
        <v>0.32740416738244665</v>
      </c>
      <c r="AI12" s="43" t="e">
        <v>#DIV/0!</v>
      </c>
      <c r="AJ12" s="43" t="e">
        <v>#DIV/0!</v>
      </c>
      <c r="AK12" s="43" cm="1">
        <f t="array" ref="AK12">_xlfn.XLOOKUP(C12,Dados!$C$3:$C$329,Dados!$Z$3:'Dados'!$Z$329,"")</f>
        <v>32.211556189966402</v>
      </c>
      <c r="AL12" s="43" cm="1">
        <f t="array" ref="AL12">_xlfn.XLOOKUP(C12,Dados!$C$3:$C$329,Dados!$AA$3:'Dados'!$AA$329,"")</f>
        <v>2.6832519167933699</v>
      </c>
      <c r="AM12" s="43" cm="1">
        <f t="array" ref="AM12">_xlfn.XLOOKUP(C12,Dados!$C$3:$C$329,Dados!$AB$3:'Dados'!$AB$329,"")</f>
        <v>0.65766979960986005</v>
      </c>
      <c r="AN12" s="43" cm="1">
        <f t="array" ref="AN12">_xlfn.XLOOKUP(C12,Dados!$C$3:$C$329,Dados!$AC$3:'Dados'!$AC$329,"")</f>
        <v>0.14580635032772099</v>
      </c>
      <c r="AO12" s="82" cm="1">
        <f t="array" ref="AO12">_xlfn.XLOOKUP(C12,Dados!$C$3:$C$329,Dados!$AD$3:'Dados'!$AD$329,"")</f>
        <v>0.42845964239602502</v>
      </c>
    </row>
    <row r="13" spans="1:41" ht="89.25" x14ac:dyDescent="0.25">
      <c r="A13" s="2">
        <v>41</v>
      </c>
      <c r="B13" s="18" t="s">
        <v>41</v>
      </c>
      <c r="C13" s="19" t="s">
        <v>42</v>
      </c>
      <c r="D13" s="19" t="s">
        <v>24</v>
      </c>
      <c r="E13" s="19" t="s">
        <v>21</v>
      </c>
      <c r="F13" s="72">
        <f>_xlfn.XLOOKUP(C13,Dados!$C$3:$C$329,Dados!$D$3:$D$329,"")</f>
        <v>30</v>
      </c>
      <c r="G13" s="86">
        <f>_xlfn.XLOOKUP(C13,Dados!$C$3:$C$329,Dados!$E$3:$E$329,"")</f>
        <v>181291</v>
      </c>
      <c r="H13" s="71">
        <f>_xlfn.XLOOKUP(C13,Dados!$C$3:$C$329,Dados!$F$3:$F$329,"")</f>
        <v>204108.99999999997</v>
      </c>
      <c r="I13" s="71">
        <f>_xlfn.XLOOKUP(C13,Dados!$C$3:$C$329,Dados!$G$3:$G$329,"")</f>
        <v>203766.00000000003</v>
      </c>
      <c r="J13" s="71">
        <f>_xlfn.XLOOKUP(C13,Dados!$C$3:$C$329,Dados!$H$3:$H$329,"")</f>
        <v>203423</v>
      </c>
      <c r="K13" s="71">
        <f>_xlfn.XLOOKUP(C13,Dados!$C$3:$C$329,Dados!$I$3:$I$329,"")</f>
        <v>179367</v>
      </c>
      <c r="L13" s="71">
        <f>_xlfn.XLOOKUP(C13,Dados!$C$3:$C$329,Dados!$J$3:$J$329,"")</f>
        <v>15</v>
      </c>
      <c r="M13" s="72" t="str">
        <f>_xlfn.XLOOKUP(C13,Dados!$C$3:$C$329,Dados!$K$3:$K$329,"")</f>
        <v>Sudeste</v>
      </c>
      <c r="N13" s="71">
        <f>_xlfn.XLOOKUP(C13,Dados!$C$3:$C$329,Dados!$L$3:$L$329,"")</f>
        <v>3</v>
      </c>
      <c r="O13" s="43">
        <f>_xlfn.XLOOKUP(C13,Dados!$C$3:$C$329,Dados!$M$3:$M$329,"")</f>
        <v>0.682177482855574</v>
      </c>
      <c r="P13" s="43">
        <f>_xlfn.XLOOKUP(C13,Dados!$C$3:$C$329,Dados!$N$3:$N$329,"")</f>
        <v>0.68772381229332502</v>
      </c>
      <c r="Q13" s="43">
        <f>_xlfn.XLOOKUP(C13,Dados!$C$3:$C$329,Dados!$O$3:$O$329,"")</f>
        <v>0.64258933115008898</v>
      </c>
      <c r="R13" s="43">
        <f>_xlfn.XLOOKUP(C13,Dados!$C$3:$C$329,Dados!$P$3:$P$329,"")</f>
        <v>0.63239537205840501</v>
      </c>
      <c r="S13" s="43">
        <f>_xlfn.XLOOKUP(C13,Dados!$C$3:$C$329,Dados!$Q$3:$Q$329,"")</f>
        <v>0.77389036337888295</v>
      </c>
      <c r="T13" s="43">
        <f>_xlfn.XLOOKUP(C13,Dados!$C$3:$C$329,Dados!$R$3:$R$329,"")</f>
        <v>0.83255164740007104</v>
      </c>
      <c r="U13" s="43">
        <f>_xlfn.XLOOKUP(C13,Dados!$C$3:$C$329,Dados!$S$3:$S$329,"")</f>
        <v>0.95092060537913703</v>
      </c>
      <c r="V13" s="77">
        <f>_xlfn.XLOOKUP(C13,Dados!$C$3:$C$329,Dados!$T$3:$T$329,"")</f>
        <v>1625.06787645277</v>
      </c>
      <c r="W13" s="77">
        <f>_xlfn.XLOOKUP(C13,Dados!$C$3:$C$329,Dados!$U$3:$U$329,"")</f>
        <v>1356.5361722697</v>
      </c>
      <c r="X13" s="77">
        <f>_xlfn.XLOOKUP(C13,Dados!$C$3:$C$329,Dados!$V$3:$V$329,"")</f>
        <v>1161.45389283083</v>
      </c>
      <c r="Y13" s="77">
        <f>_xlfn.XLOOKUP(C13,Dados!$C$3:$C$329,Dados!$W$3:$W$329,"")</f>
        <v>976.906168461368</v>
      </c>
      <c r="Z13" s="77">
        <f>_xlfn.XLOOKUP(C13,Dados!$C$3:$C$329,Dados!$X$3:$X$329,"")</f>
        <v>850.94157804947395</v>
      </c>
      <c r="AA13" s="20"/>
      <c r="AB13" s="20"/>
      <c r="AC13" s="20"/>
      <c r="AD13" s="20"/>
      <c r="AE13" s="80"/>
      <c r="AF13" s="43">
        <v>9.8188461877874986E-2</v>
      </c>
      <c r="AG13" s="43">
        <v>0.11922299330793217</v>
      </c>
      <c r="AH13" s="43">
        <v>0.13696305289886052</v>
      </c>
      <c r="AI13" s="43">
        <v>0.15852788759808634</v>
      </c>
      <c r="AJ13" s="43">
        <v>0.17116484069951374</v>
      </c>
      <c r="AK13" s="43" cm="1">
        <f t="array" ref="AK13">_xlfn.XLOOKUP(C13,Dados!$C$3:$C$329,Dados!$Z$3:'Dados'!$Z$329,"")</f>
        <v>15.604039913729901</v>
      </c>
      <c r="AL13" s="43" cm="1">
        <f t="array" ref="AL13">_xlfn.XLOOKUP(C13,Dados!$C$3:$C$329,Dados!$AA$3:'Dados'!$AA$329,"")</f>
        <v>14.5039908464795</v>
      </c>
      <c r="AM13" s="43" cm="1">
        <f t="array" ref="AM13">_xlfn.XLOOKUP(C13,Dados!$C$3:$C$329,Dados!$AB$3:'Dados'!$AB$329,"")</f>
        <v>9.1464408957720593</v>
      </c>
      <c r="AN13" s="43" cm="1">
        <f t="array" ref="AN13">_xlfn.XLOOKUP(C13,Dados!$C$3:$C$329,Dados!$AC$3:'Dados'!$AC$329,"")</f>
        <v>5.9894649200710504</v>
      </c>
      <c r="AO13" s="82" cm="1">
        <f t="array" ref="AO13">_xlfn.XLOOKUP(C13,Dados!$C$3:$C$329,Dados!$AD$3:'Dados'!$AD$329,"")</f>
        <v>4.9261458350755696</v>
      </c>
    </row>
    <row r="14" spans="1:41" ht="76.5" x14ac:dyDescent="0.25">
      <c r="A14" s="2">
        <v>53</v>
      </c>
      <c r="B14" s="18" t="s">
        <v>43</v>
      </c>
      <c r="C14" s="19" t="s">
        <v>44</v>
      </c>
      <c r="D14" s="19" t="s">
        <v>45</v>
      </c>
      <c r="E14" s="19" t="s">
        <v>21</v>
      </c>
      <c r="F14" s="72">
        <f>_xlfn.XLOOKUP(C14,Dados!$C$3:$C$329,Dados!$D$3:$D$329,"")</f>
        <v>18</v>
      </c>
      <c r="G14" s="86">
        <f>_xlfn.XLOOKUP(C14,Dados!$C$3:$C$329,Dados!$E$3:$E$329,"")</f>
        <v>3411903</v>
      </c>
      <c r="H14" s="71">
        <f>_xlfn.XLOOKUP(C14,Dados!$C$3:$C$329,Dados!$F$3:$F$329,"")</f>
        <v>3443825.6666666665</v>
      </c>
      <c r="I14" s="71">
        <f>_xlfn.XLOOKUP(C14,Dados!$C$3:$C$329,Dados!$G$3:$G$329,"")</f>
        <v>3475748.3333333335</v>
      </c>
      <c r="J14" s="71">
        <f>_xlfn.XLOOKUP(C14,Dados!$C$3:$C$329,Dados!$H$3:$H$329,"")</f>
        <v>3507671</v>
      </c>
      <c r="K14" s="71">
        <f>_xlfn.XLOOKUP(C14,Dados!$C$3:$C$329,Dados!$I$3:$I$329,"")</f>
        <v>3479924</v>
      </c>
      <c r="L14" s="71">
        <f>_xlfn.XLOOKUP(C14,Dados!$C$3:$C$329,Dados!$J$3:$J$329,"")</f>
        <v>17</v>
      </c>
      <c r="M14" s="72" t="str">
        <f>_xlfn.XLOOKUP(C14,Dados!$C$3:$C$329,Dados!$K$3:$K$329,"")</f>
        <v>Sudeste</v>
      </c>
      <c r="N14" s="71">
        <f>_xlfn.XLOOKUP(C14,Dados!$C$3:$C$329,Dados!$L$3:$L$329,"")</f>
        <v>26</v>
      </c>
      <c r="O14" s="43">
        <f>_xlfn.XLOOKUP(C14,Dados!$C$3:$C$329,Dados!$M$3:$M$329,"")</f>
        <v>0.59879649634800503</v>
      </c>
      <c r="P14" s="43">
        <f>_xlfn.XLOOKUP(C14,Dados!$C$3:$C$329,Dados!$N$3:$N$329,"")</f>
        <v>0.58487978574398103</v>
      </c>
      <c r="Q14" s="43">
        <f>_xlfn.XLOOKUP(C14,Dados!$C$3:$C$329,Dados!$O$3:$O$329,"")</f>
        <v>0.56946280363808299</v>
      </c>
      <c r="R14" s="43">
        <f>_xlfn.XLOOKUP(C14,Dados!$C$3:$C$329,Dados!$P$3:$P$329,"")</f>
        <v>0.55150971667771997</v>
      </c>
      <c r="S14" s="43">
        <f>_xlfn.XLOOKUP(C14,Dados!$C$3:$C$329,Dados!$Q$3:$Q$329,"")</f>
        <v>0.71193285327044697</v>
      </c>
      <c r="T14" s="43">
        <f>_xlfn.XLOOKUP(C14,Dados!$C$3:$C$329,Dados!$R$3:$R$329,"")</f>
        <v>0.73115632195272995</v>
      </c>
      <c r="U14" s="43">
        <f>_xlfn.XLOOKUP(C14,Dados!$C$3:$C$329,Dados!$S$3:$S$329,"")</f>
        <v>0.97656443111291602</v>
      </c>
      <c r="V14" s="77">
        <f>_xlfn.XLOOKUP(C14,Dados!$C$3:$C$329,Dados!$T$3:$T$329,"")</f>
        <v>2018.64425464909</v>
      </c>
      <c r="W14" s="77">
        <f>_xlfn.XLOOKUP(C14,Dados!$C$3:$C$329,Dados!$U$3:$U$329,"")</f>
        <v>1698.2709457399001</v>
      </c>
      <c r="X14" s="77">
        <f>_xlfn.XLOOKUP(C14,Dados!$C$3:$C$329,Dados!$V$3:$V$329,"")</f>
        <v>1382.9202953138599</v>
      </c>
      <c r="Y14" s="77">
        <f>_xlfn.XLOOKUP(C14,Dados!$C$3:$C$329,Dados!$W$3:$W$329,"")</f>
        <v>1153.0198013781801</v>
      </c>
      <c r="Z14" s="77">
        <f>_xlfn.XLOOKUP(C14,Dados!$C$3:$C$329,Dados!$X$3:$X$329,"")</f>
        <v>1021.90292251785</v>
      </c>
      <c r="AA14" s="20"/>
      <c r="AB14" s="20"/>
      <c r="AC14" s="20"/>
      <c r="AD14" s="20"/>
      <c r="AE14" s="80"/>
      <c r="AF14" s="43">
        <v>0.84839013796631291</v>
      </c>
      <c r="AG14" s="43">
        <v>0.84248047857461672</v>
      </c>
      <c r="AH14" s="43">
        <v>0.82883907476880003</v>
      </c>
      <c r="AI14" s="43">
        <v>0.77887566018418553</v>
      </c>
      <c r="AJ14" s="43">
        <v>0.89588678045184966</v>
      </c>
      <c r="AK14" s="43" cm="1">
        <f t="array" ref="AK14">_xlfn.XLOOKUP(C14,Dados!$C$3:$C$329,Dados!$Z$3:'Dados'!$Z$329,"")</f>
        <v>21.022509432419401</v>
      </c>
      <c r="AL14" s="43" cm="1">
        <f t="array" ref="AL14">_xlfn.XLOOKUP(C14,Dados!$C$3:$C$329,Dados!$AA$3:'Dados'!$AA$329,"")</f>
        <v>18.246891417364601</v>
      </c>
      <c r="AM14" s="43" cm="1">
        <f t="array" ref="AM14">_xlfn.XLOOKUP(C14,Dados!$C$3:$C$329,Dados!$AB$3:'Dados'!$AB$329,"")</f>
        <v>16.245635352386898</v>
      </c>
      <c r="AN14" s="43" cm="1">
        <f t="array" ref="AN14">_xlfn.XLOOKUP(C14,Dados!$C$3:$C$329,Dados!$AC$3:'Dados'!$AC$329,"")</f>
        <v>13.4323221875712</v>
      </c>
      <c r="AO14" s="82" cm="1">
        <f t="array" ref="AO14">_xlfn.XLOOKUP(C14,Dados!$C$3:$C$329,Dados!$AD$3:'Dados'!$AD$329,"")</f>
        <v>11.330609231695901</v>
      </c>
    </row>
    <row r="15" spans="1:41" ht="63.75" x14ac:dyDescent="0.25">
      <c r="A15" s="2">
        <v>71</v>
      </c>
      <c r="B15" s="18" t="s">
        <v>46</v>
      </c>
      <c r="C15" s="19" t="s">
        <v>47</v>
      </c>
      <c r="D15" s="19" t="s">
        <v>48</v>
      </c>
      <c r="E15" s="19" t="s">
        <v>21</v>
      </c>
      <c r="F15" s="72">
        <f>_xlfn.XLOOKUP(C15,Dados!$C$3:$C$329,Dados!$D$3:$D$329,"")</f>
        <v>26</v>
      </c>
      <c r="G15" s="86">
        <f>_xlfn.XLOOKUP(C15,Dados!$C$3:$C$329,Dados!$E$3:$E$329,"")</f>
        <v>144913</v>
      </c>
      <c r="H15" s="71">
        <f>_xlfn.XLOOKUP(C15,Dados!$C$3:$C$329,Dados!$F$3:$F$329,"")</f>
        <v>145325.99999999997</v>
      </c>
      <c r="I15" s="71">
        <f>_xlfn.XLOOKUP(C15,Dados!$C$3:$C$329,Dados!$G$3:$G$329,"")</f>
        <v>145739.00000000003</v>
      </c>
      <c r="J15" s="71">
        <f>_xlfn.XLOOKUP(C15,Dados!$C$3:$C$329,Dados!$H$3:$H$329,"")</f>
        <v>146152</v>
      </c>
      <c r="K15" s="71">
        <f>_xlfn.XLOOKUP(C15,Dados!$C$3:$C$329,Dados!$I$3:$I$329,"")</f>
        <v>145349</v>
      </c>
      <c r="L15" s="71">
        <f>_xlfn.XLOOKUP(C15,Dados!$C$3:$C$329,Dados!$J$3:$J$329,"")</f>
        <v>11</v>
      </c>
      <c r="M15" s="72" t="str">
        <f>_xlfn.XLOOKUP(C15,Dados!$C$3:$C$329,Dados!$K$3:$K$329,"")</f>
        <v>Sudeste</v>
      </c>
      <c r="N15" s="71">
        <f>_xlfn.XLOOKUP(C15,Dados!$C$3:$C$329,Dados!$L$3:$L$329,"")</f>
        <v>25</v>
      </c>
      <c r="O15" s="43">
        <f>_xlfn.XLOOKUP(C15,Dados!$C$3:$C$329,Dados!$M$3:$M$329,"")</f>
        <v>0.76293707641211295</v>
      </c>
      <c r="P15" s="43">
        <f>_xlfn.XLOOKUP(C15,Dados!$C$3:$C$329,Dados!$N$3:$N$329,"")</f>
        <v>0.72018322160391701</v>
      </c>
      <c r="Q15" s="43">
        <f>_xlfn.XLOOKUP(C15,Dados!$C$3:$C$329,Dados!$O$3:$O$329,"")</f>
        <v>0.69467455936285505</v>
      </c>
      <c r="R15" s="43">
        <f>_xlfn.XLOOKUP(C15,Dados!$C$3:$C$329,Dados!$P$3:$P$329,"")</f>
        <v>0.68944848674569503</v>
      </c>
      <c r="S15" s="43">
        <f>_xlfn.XLOOKUP(C15,Dados!$C$3:$C$329,Dados!$Q$3:$Q$329,"")</f>
        <v>0.88967042132396501</v>
      </c>
      <c r="T15" s="43">
        <f>_xlfn.XLOOKUP(C15,Dados!$C$3:$C$329,Dados!$R$3:$R$329,"")</f>
        <v>0.93462576523785701</v>
      </c>
      <c r="U15" s="43">
        <f>_xlfn.XLOOKUP(C15,Dados!$C$3:$C$329,Dados!$S$3:$S$329,"")</f>
        <v>0.959074400126253</v>
      </c>
      <c r="V15" s="77">
        <f>_xlfn.XLOOKUP(C15,Dados!$C$3:$C$329,Dados!$T$3:$T$329,"")</f>
        <v>1823.2505080979599</v>
      </c>
      <c r="W15" s="77">
        <f>_xlfn.XLOOKUP(C15,Dados!$C$3:$C$329,Dados!$U$3:$U$329,"")</f>
        <v>1645.39456323484</v>
      </c>
      <c r="X15" s="77">
        <f>_xlfn.XLOOKUP(C15,Dados!$C$3:$C$329,Dados!$V$3:$V$329,"")</f>
        <v>1314.41057381117</v>
      </c>
      <c r="Y15" s="77">
        <f>_xlfn.XLOOKUP(C15,Dados!$C$3:$C$329,Dados!$W$3:$W$329,"")</f>
        <v>1169.1541763369601</v>
      </c>
      <c r="Z15" s="77">
        <f>_xlfn.XLOOKUP(C15,Dados!$C$3:$C$329,Dados!$X$3:$X$329,"")</f>
        <v>1092.11560423532</v>
      </c>
      <c r="AA15" s="20"/>
      <c r="AB15" s="20"/>
      <c r="AC15" s="20"/>
      <c r="AD15" s="20"/>
      <c r="AE15" s="80"/>
      <c r="AF15" s="43">
        <v>1.1928232239589109E-2</v>
      </c>
      <c r="AG15" s="43">
        <v>1.0043133821747957E-2</v>
      </c>
      <c r="AH15" s="43">
        <v>4.6387794251716637E-2</v>
      </c>
      <c r="AI15" s="43">
        <v>4.9609441495324105E-2</v>
      </c>
      <c r="AJ15" s="43" t="e">
        <v>#DIV/0!</v>
      </c>
      <c r="AK15" s="43" cm="1">
        <f t="array" ref="AK15">_xlfn.XLOOKUP(C15,Dados!$C$3:$C$329,Dados!$Z$3:'Dados'!$Z$329,"")</f>
        <v>17.7766314961391</v>
      </c>
      <c r="AL15" s="43" cm="1">
        <f t="array" ref="AL15">_xlfn.XLOOKUP(C15,Dados!$C$3:$C$329,Dados!$AA$3:'Dados'!$AA$329,"")</f>
        <v>19.124781525673299</v>
      </c>
      <c r="AM15" s="43" cm="1">
        <f t="array" ref="AM15">_xlfn.XLOOKUP(C15,Dados!$C$3:$C$329,Dados!$AB$3:'Dados'!$AB$329,"")</f>
        <v>17.7286381819554</v>
      </c>
      <c r="AN15" s="43" cm="1">
        <f t="array" ref="AN15">_xlfn.XLOOKUP(C15,Dados!$C$3:$C$329,Dados!$AC$3:'Dados'!$AC$329,"")</f>
        <v>13.8563413432591</v>
      </c>
      <c r="AO15" s="82" cm="1">
        <f t="array" ref="AO15">_xlfn.XLOOKUP(C15,Dados!$C$3:$C$329,Dados!$AD$3:'Dados'!$AD$329,"")</f>
        <v>13.827436033271599</v>
      </c>
    </row>
    <row r="16" spans="1:41" ht="51" x14ac:dyDescent="0.25">
      <c r="A16" s="2">
        <v>73</v>
      </c>
      <c r="B16" s="18" t="s">
        <v>49</v>
      </c>
      <c r="C16" s="19" t="s">
        <v>50</v>
      </c>
      <c r="D16" s="19" t="s">
        <v>48</v>
      </c>
      <c r="E16" s="19" t="s">
        <v>21</v>
      </c>
      <c r="F16" s="72">
        <f>_xlfn.XLOOKUP(C16,Dados!$C$3:$C$329,Dados!$D$3:$D$329,"")</f>
        <v>23</v>
      </c>
      <c r="G16" s="86">
        <f>_xlfn.XLOOKUP(C16,Dados!$C$3:$C$329,Dados!$E$3:$E$329,"")</f>
        <v>156029</v>
      </c>
      <c r="H16" s="71">
        <f>_xlfn.XLOOKUP(C16,Dados!$C$3:$C$329,Dados!$F$3:$F$329,"")</f>
        <v>156616.99999999997</v>
      </c>
      <c r="I16" s="71">
        <f>_xlfn.XLOOKUP(C16,Dados!$C$3:$C$329,Dados!$G$3:$G$329,"")</f>
        <v>157205.00000000003</v>
      </c>
      <c r="J16" s="71">
        <f>_xlfn.XLOOKUP(C16,Dados!$C$3:$C$329,Dados!$H$3:$H$329,"")</f>
        <v>157793</v>
      </c>
      <c r="K16" s="71">
        <f>_xlfn.XLOOKUP(C16,Dados!$C$3:$C$329,Dados!$I$3:$I$329,"")</f>
        <v>157579</v>
      </c>
      <c r="L16" s="71">
        <f>_xlfn.XLOOKUP(C16,Dados!$C$3:$C$329,Dados!$J$3:$J$329,"")</f>
        <v>16</v>
      </c>
      <c r="M16" s="72" t="str">
        <f>_xlfn.XLOOKUP(C16,Dados!$C$3:$C$329,Dados!$K$3:$K$329,"")</f>
        <v>Sudeste</v>
      </c>
      <c r="N16" s="71">
        <f>_xlfn.XLOOKUP(C16,Dados!$C$3:$C$329,Dados!$L$3:$L$329,"")</f>
        <v>3</v>
      </c>
      <c r="O16" s="43">
        <f>_xlfn.XLOOKUP(C16,Dados!$C$3:$C$329,Dados!$M$3:$M$329,"")</f>
        <v>0.69895180557240499</v>
      </c>
      <c r="P16" s="43">
        <f>_xlfn.XLOOKUP(C16,Dados!$C$3:$C$329,Dados!$N$3:$N$329,"")</f>
        <v>0.65878188161954099</v>
      </c>
      <c r="Q16" s="43">
        <f>_xlfn.XLOOKUP(C16,Dados!$C$3:$C$329,Dados!$O$3:$O$329,"")</f>
        <v>0.64871903950111898</v>
      </c>
      <c r="R16" s="43">
        <f>_xlfn.XLOOKUP(C16,Dados!$C$3:$C$329,Dados!$P$3:$P$329,"")</f>
        <v>0.62859739939966597</v>
      </c>
      <c r="S16" s="43">
        <f>_xlfn.XLOOKUP(C16,Dados!$C$3:$C$329,Dados!$Q$3:$Q$329,"")</f>
        <v>0.66292270814117404</v>
      </c>
      <c r="T16" s="43">
        <f>_xlfn.XLOOKUP(C16,Dados!$C$3:$C$329,Dados!$R$3:$R$329,"")</f>
        <v>0.71904695482544001</v>
      </c>
      <c r="U16" s="43">
        <f>_xlfn.XLOOKUP(C16,Dados!$C$3:$C$329,Dados!$S$3:$S$329,"")</f>
        <v>0.93183842053369803</v>
      </c>
      <c r="V16" s="77">
        <f>_xlfn.XLOOKUP(C16,Dados!$C$3:$C$329,Dados!$T$3:$T$329,"")</f>
        <v>1659.3198957886</v>
      </c>
      <c r="W16" s="77">
        <f>_xlfn.XLOOKUP(C16,Dados!$C$3:$C$329,Dados!$U$3:$U$329,"")</f>
        <v>1568.1934323647299</v>
      </c>
      <c r="X16" s="77">
        <f>_xlfn.XLOOKUP(C16,Dados!$C$3:$C$329,Dados!$V$3:$V$329,"")</f>
        <v>1384.1494051503901</v>
      </c>
      <c r="Y16" s="77">
        <f>_xlfn.XLOOKUP(C16,Dados!$C$3:$C$329,Dados!$W$3:$W$329,"")</f>
        <v>1079.5765063089</v>
      </c>
      <c r="Z16" s="77">
        <f>_xlfn.XLOOKUP(C16,Dados!$C$3:$C$329,Dados!$X$3:$X$329,"")</f>
        <v>917.82557149112495</v>
      </c>
      <c r="AA16" s="20"/>
      <c r="AB16" s="20"/>
      <c r="AC16" s="20"/>
      <c r="AD16" s="20"/>
      <c r="AE16" s="80"/>
      <c r="AF16" s="43">
        <v>0.46845504356608519</v>
      </c>
      <c r="AG16" s="43">
        <v>0.4407926999525757</v>
      </c>
      <c r="AH16" s="43">
        <v>0.38073139284677643</v>
      </c>
      <c r="AI16" s="43">
        <v>0.38902848976959958</v>
      </c>
      <c r="AJ16" s="43">
        <v>0.39819332341777847</v>
      </c>
      <c r="AK16" s="43" cm="1">
        <f t="array" ref="AK16">_xlfn.XLOOKUP(C16,Dados!$C$3:$C$329,Dados!$Z$3:'Dados'!$Z$329,"")</f>
        <v>11.5686763358094</v>
      </c>
      <c r="AL16" s="43" cm="1">
        <f t="array" ref="AL16">_xlfn.XLOOKUP(C16,Dados!$C$3:$C$329,Dados!$AA$3:'Dados'!$AA$329,"")</f>
        <v>7.7012712540784198</v>
      </c>
      <c r="AM16" s="43" cm="1">
        <f t="array" ref="AM16">_xlfn.XLOOKUP(C16,Dados!$C$3:$C$329,Dados!$AB$3:'Dados'!$AB$329,"")</f>
        <v>6.7035590471041004</v>
      </c>
      <c r="AN16" s="43" cm="1">
        <f t="array" ref="AN16">_xlfn.XLOOKUP(C16,Dados!$C$3:$C$329,Dados!$AC$3:'Dados'!$AC$329,"")</f>
        <v>7.7847496403515999</v>
      </c>
      <c r="AO16" s="82" cm="1">
        <f t="array" ref="AO16">_xlfn.XLOOKUP(C16,Dados!$C$3:$C$329,Dados!$AD$3:'Dados'!$AD$329,"")</f>
        <v>4.5688448333851603</v>
      </c>
    </row>
    <row r="17" spans="1:41" ht="51" x14ac:dyDescent="0.25">
      <c r="A17" s="2">
        <v>74</v>
      </c>
      <c r="B17" s="18" t="s">
        <v>51</v>
      </c>
      <c r="C17" s="19" t="s">
        <v>52</v>
      </c>
      <c r="D17" s="19" t="s">
        <v>48</v>
      </c>
      <c r="E17" s="19" t="s">
        <v>21</v>
      </c>
      <c r="F17" s="72">
        <f>_xlfn.XLOOKUP(C17,Dados!$C$3:$C$329,Dados!$D$3:$D$329,"")</f>
        <v>23</v>
      </c>
      <c r="G17" s="86">
        <f>_xlfn.XLOOKUP(C17,Dados!$C$3:$C$329,Dados!$E$3:$E$329,"")</f>
        <v>296540</v>
      </c>
      <c r="H17" s="71">
        <f>_xlfn.XLOOKUP(C17,Dados!$C$3:$C$329,Dados!$F$3:$F$329,"")</f>
        <v>296131.66666666663</v>
      </c>
      <c r="I17" s="71">
        <f>_xlfn.XLOOKUP(C17,Dados!$C$3:$C$329,Dados!$G$3:$G$329,"")</f>
        <v>295723.33333333337</v>
      </c>
      <c r="J17" s="71">
        <f>_xlfn.XLOOKUP(C17,Dados!$C$3:$C$329,Dados!$H$3:$H$329,"")</f>
        <v>295315</v>
      </c>
      <c r="K17" s="71">
        <f>_xlfn.XLOOKUP(C17,Dados!$C$3:$C$329,Dados!$I$3:$I$329,"")</f>
        <v>292667</v>
      </c>
      <c r="L17" s="71">
        <f>_xlfn.XLOOKUP(C17,Dados!$C$3:$C$329,Dados!$J$3:$J$329,"")</f>
        <v>6</v>
      </c>
      <c r="M17" s="72" t="str">
        <f>_xlfn.XLOOKUP(C17,Dados!$C$3:$C$329,Dados!$K$3:$K$329,"")</f>
        <v>Sudeste</v>
      </c>
      <c r="N17" s="71">
        <f>_xlfn.XLOOKUP(C17,Dados!$C$3:$C$329,Dados!$L$3:$L$329,"")</f>
        <v>31</v>
      </c>
      <c r="O17" s="43">
        <f>_xlfn.XLOOKUP(C17,Dados!$C$3:$C$329,Dados!$M$3:$M$329,"")</f>
        <v>0.74886153985558201</v>
      </c>
      <c r="P17" s="43">
        <f>_xlfn.XLOOKUP(C17,Dados!$C$3:$C$329,Dados!$N$3:$N$329,"")</f>
        <v>0.73403488170249198</v>
      </c>
      <c r="Q17" s="43">
        <f>_xlfn.XLOOKUP(C17,Dados!$C$3:$C$329,Dados!$O$3:$O$329,"")</f>
        <v>0.72180663528774403</v>
      </c>
      <c r="R17" s="43">
        <f>_xlfn.XLOOKUP(C17,Dados!$C$3:$C$329,Dados!$P$3:$P$329,"")</f>
        <v>0.70937415492693101</v>
      </c>
      <c r="S17" s="43">
        <f>_xlfn.XLOOKUP(C17,Dados!$C$3:$C$329,Dados!$Q$3:$Q$329,"")</f>
        <v>0.88930051500839702</v>
      </c>
      <c r="T17" s="43">
        <f>_xlfn.XLOOKUP(C17,Dados!$C$3:$C$329,Dados!$R$3:$R$329,"")</f>
        <v>0.92660761116809598</v>
      </c>
      <c r="U17" s="43">
        <f>_xlfn.XLOOKUP(C17,Dados!$C$3:$C$329,Dados!$S$3:$S$329,"")</f>
        <v>0.99328962701624302</v>
      </c>
      <c r="V17" s="77">
        <f>_xlfn.XLOOKUP(C17,Dados!$C$3:$C$329,Dados!$T$3:$T$329,"")</f>
        <v>1661.88173700007</v>
      </c>
      <c r="W17" s="77">
        <f>_xlfn.XLOOKUP(C17,Dados!$C$3:$C$329,Dados!$U$3:$U$329,"")</f>
        <v>1461.9365600436699</v>
      </c>
      <c r="X17" s="77">
        <f>_xlfn.XLOOKUP(C17,Dados!$C$3:$C$329,Dados!$V$3:$V$329,"")</f>
        <v>1253.4625087863701</v>
      </c>
      <c r="Y17" s="77">
        <f>_xlfn.XLOOKUP(C17,Dados!$C$3:$C$329,Dados!$W$3:$W$329,"")</f>
        <v>1113.3872334964401</v>
      </c>
      <c r="Z17" s="77">
        <f>_xlfn.XLOOKUP(C17,Dados!$C$3:$C$329,Dados!$X$3:$X$329,"")</f>
        <v>1012.64984945347</v>
      </c>
      <c r="AA17" s="20"/>
      <c r="AB17" s="20"/>
      <c r="AC17" s="20"/>
      <c r="AD17" s="20"/>
      <c r="AE17" s="80"/>
      <c r="AF17" s="43">
        <v>0.13030365667981922</v>
      </c>
      <c r="AG17" s="43">
        <v>0.22545790629332643</v>
      </c>
      <c r="AH17" s="43" t="e">
        <v>#DIV/0!</v>
      </c>
      <c r="AI17" s="43" t="e">
        <v>#DIV/0!</v>
      </c>
      <c r="AJ17" s="43" t="e">
        <v>#DIV/0!</v>
      </c>
      <c r="AK17" s="43" cm="1">
        <f t="array" ref="AK17">_xlfn.XLOOKUP(C17,Dados!$C$3:$C$329,Dados!$Z$3:'Dados'!$Z$329,"")</f>
        <v>19.071959937951</v>
      </c>
      <c r="AL17" s="43" cm="1">
        <f t="array" ref="AL17">_xlfn.XLOOKUP(C17,Dados!$C$3:$C$329,Dados!$AA$3:'Dados'!$AA$329,"")</f>
        <v>15.7552552637059</v>
      </c>
      <c r="AM17" s="43" cm="1">
        <f t="array" ref="AM17">_xlfn.XLOOKUP(C17,Dados!$C$3:$C$329,Dados!$AB$3:'Dados'!$AB$329,"")</f>
        <v>13.2250233889784</v>
      </c>
      <c r="AN17" s="43" cm="1">
        <f t="array" ref="AN17">_xlfn.XLOOKUP(C17,Dados!$C$3:$C$329,Dados!$AC$3:'Dados'!$AC$329,"")</f>
        <v>10.8701285068486</v>
      </c>
      <c r="AO17" s="82" cm="1">
        <f t="array" ref="AO17">_xlfn.XLOOKUP(C17,Dados!$C$3:$C$329,Dados!$AD$3:'Dados'!$AD$329,"")</f>
        <v>9.5187089764134694</v>
      </c>
    </row>
    <row r="18" spans="1:41" ht="63.75" x14ac:dyDescent="0.25">
      <c r="A18" s="2">
        <v>75</v>
      </c>
      <c r="B18" s="18" t="s">
        <v>53</v>
      </c>
      <c r="C18" s="19" t="s">
        <v>54</v>
      </c>
      <c r="D18" s="19" t="s">
        <v>48</v>
      </c>
      <c r="E18" s="19" t="s">
        <v>21</v>
      </c>
      <c r="F18" s="72">
        <f>_xlfn.XLOOKUP(C18,Dados!$C$3:$C$329,Dados!$D$3:$D$329,"")</f>
        <v>23</v>
      </c>
      <c r="G18" s="86">
        <f>_xlfn.XLOOKUP(C18,Dados!$C$3:$C$329,Dados!$E$3:$E$329,"")</f>
        <v>240384</v>
      </c>
      <c r="H18" s="71">
        <f>_xlfn.XLOOKUP(C18,Dados!$C$3:$C$329,Dados!$F$3:$F$329,"")</f>
        <v>243568.99999999997</v>
      </c>
      <c r="I18" s="71">
        <f>_xlfn.XLOOKUP(C18,Dados!$C$3:$C$329,Dados!$G$3:$G$329,"")</f>
        <v>246754.00000000003</v>
      </c>
      <c r="J18" s="71">
        <f>_xlfn.XLOOKUP(C18,Dados!$C$3:$C$329,Dados!$H$3:$H$329,"")</f>
        <v>249939</v>
      </c>
      <c r="K18" s="71">
        <f>_xlfn.XLOOKUP(C18,Dados!$C$3:$C$329,Dados!$I$3:$I$329,"")</f>
        <v>248721</v>
      </c>
      <c r="L18" s="71">
        <f>_xlfn.XLOOKUP(C18,Dados!$C$3:$C$329,Dados!$J$3:$J$329,"")</f>
        <v>12</v>
      </c>
      <c r="M18" s="72" t="str">
        <f>_xlfn.XLOOKUP(C18,Dados!$C$3:$C$329,Dados!$K$3:$K$329,"")</f>
        <v>Sudeste</v>
      </c>
      <c r="N18" s="71">
        <f>_xlfn.XLOOKUP(C18,Dados!$C$3:$C$329,Dados!$L$3:$L$329,"")</f>
        <v>3</v>
      </c>
      <c r="O18" s="43">
        <f>_xlfn.XLOOKUP(C18,Dados!$C$3:$C$329,Dados!$M$3:$M$329,"")</f>
        <v>0.80308569276057296</v>
      </c>
      <c r="P18" s="43">
        <f>_xlfn.XLOOKUP(C18,Dados!$C$3:$C$329,Dados!$N$3:$N$329,"")</f>
        <v>0.77511901705071995</v>
      </c>
      <c r="Q18" s="43">
        <f>_xlfn.XLOOKUP(C18,Dados!$C$3:$C$329,Dados!$O$3:$O$329,"")</f>
        <v>0.76374664338098497</v>
      </c>
      <c r="R18" s="43">
        <f>_xlfn.XLOOKUP(C18,Dados!$C$3:$C$329,Dados!$P$3:$P$329,"")</f>
        <v>0.74834568050144501</v>
      </c>
      <c r="S18" s="43">
        <f>_xlfn.XLOOKUP(C18,Dados!$C$3:$C$329,Dados!$Q$3:$Q$329,"")</f>
        <v>0.94234574245334701</v>
      </c>
      <c r="T18" s="43">
        <f>_xlfn.XLOOKUP(C18,Dados!$C$3:$C$329,Dados!$R$3:$R$329,"")</f>
        <v>0.94395542686238099</v>
      </c>
      <c r="U18" s="43">
        <f>_xlfn.XLOOKUP(C18,Dados!$C$3:$C$329,Dados!$S$3:$S$329,"")</f>
        <v>0.973148847435097</v>
      </c>
      <c r="V18" s="77">
        <f>_xlfn.XLOOKUP(C18,Dados!$C$3:$C$329,Dados!$T$3:$T$329,"")</f>
        <v>1879.0972760250299</v>
      </c>
      <c r="W18" s="77">
        <f>_xlfn.XLOOKUP(C18,Dados!$C$3:$C$329,Dados!$U$3:$U$329,"")</f>
        <v>1520.79301383455</v>
      </c>
      <c r="X18" s="77">
        <f>_xlfn.XLOOKUP(C18,Dados!$C$3:$C$329,Dados!$V$3:$V$329,"")</f>
        <v>1230.8447037670401</v>
      </c>
      <c r="Y18" s="77">
        <f>_xlfn.XLOOKUP(C18,Dados!$C$3:$C$329,Dados!$W$3:$W$329,"")</f>
        <v>1143.32853588276</v>
      </c>
      <c r="Z18" s="77">
        <f>_xlfn.XLOOKUP(C18,Dados!$C$3:$C$329,Dados!$X$3:$X$329,"")</f>
        <v>1044.4846364802299</v>
      </c>
      <c r="AA18" s="20"/>
      <c r="AB18" s="20"/>
      <c r="AC18" s="20"/>
      <c r="AD18" s="20"/>
      <c r="AE18" s="80"/>
      <c r="AF18" s="43">
        <v>0.27853870257276164</v>
      </c>
      <c r="AG18" s="43">
        <v>0.22466089653937812</v>
      </c>
      <c r="AH18" s="43">
        <v>0.13592818889123251</v>
      </c>
      <c r="AI18" s="43">
        <v>0.44276694582493281</v>
      </c>
      <c r="AJ18" s="43">
        <v>0.42327194117024036</v>
      </c>
      <c r="AK18" s="43" cm="1">
        <f t="array" ref="AK18">_xlfn.XLOOKUP(C18,Dados!$C$3:$C$329,Dados!$Z$3:'Dados'!$Z$329,"")</f>
        <v>21.423605564430201</v>
      </c>
      <c r="AL18" s="43" cm="1">
        <f t="array" ref="AL18">_xlfn.XLOOKUP(C18,Dados!$C$3:$C$329,Dados!$AA$3:'Dados'!$AA$329,"")</f>
        <v>19.616925799260201</v>
      </c>
      <c r="AM18" s="43" cm="1">
        <f t="array" ref="AM18">_xlfn.XLOOKUP(C18,Dados!$C$3:$C$329,Dados!$AB$3:'Dados'!$AB$329,"")</f>
        <v>16.752457913549499</v>
      </c>
      <c r="AN18" s="43" cm="1">
        <f t="array" ref="AN18">_xlfn.XLOOKUP(C18,Dados!$C$3:$C$329,Dados!$AC$3:'Dados'!$AC$329,"")</f>
        <v>13.507699878770399</v>
      </c>
      <c r="AO18" s="82" cm="1">
        <f t="array" ref="AO18">_xlfn.XLOOKUP(C18,Dados!$C$3:$C$329,Dados!$AD$3:'Dados'!$AD$329,"")</f>
        <v>12.361316495189399</v>
      </c>
    </row>
    <row r="19" spans="1:41" ht="51" x14ac:dyDescent="0.25">
      <c r="A19" s="2">
        <v>76</v>
      </c>
      <c r="B19" s="18" t="s">
        <v>55</v>
      </c>
      <c r="C19" s="19" t="s">
        <v>56</v>
      </c>
      <c r="D19" s="19" t="s">
        <v>48</v>
      </c>
      <c r="E19" s="19" t="s">
        <v>21</v>
      </c>
      <c r="F19" s="72">
        <f>_xlfn.XLOOKUP(C19,Dados!$C$3:$C$329,Dados!$D$3:$D$329,"")</f>
        <v>17</v>
      </c>
      <c r="G19" s="86">
        <f>_xlfn.XLOOKUP(C19,Dados!$C$3:$C$329,Dados!$E$3:$E$329,"")</f>
        <v>505119</v>
      </c>
      <c r="H19" s="71">
        <f>_xlfn.XLOOKUP(C19,Dados!$C$3:$C$329,Dados!$F$3:$F$329,"")</f>
        <v>503634</v>
      </c>
      <c r="I19" s="71">
        <f>_xlfn.XLOOKUP(C19,Dados!$C$3:$C$329,Dados!$G$3:$G$329,"")</f>
        <v>502149</v>
      </c>
      <c r="J19" s="71">
        <f>_xlfn.XLOOKUP(C19,Dados!$C$3:$C$329,Dados!$H$3:$H$329,"")</f>
        <v>500664</v>
      </c>
      <c r="K19" s="71">
        <f>_xlfn.XLOOKUP(C19,Dados!$C$3:$C$329,Dados!$I$3:$I$329,"")</f>
        <v>497103</v>
      </c>
      <c r="L19" s="71">
        <f>_xlfn.XLOOKUP(C19,Dados!$C$3:$C$329,Dados!$J$3:$J$329,"")</f>
        <v>6</v>
      </c>
      <c r="M19" s="72" t="str">
        <f>_xlfn.XLOOKUP(C19,Dados!$C$3:$C$329,Dados!$K$3:$K$329,"")</f>
        <v>Sudeste</v>
      </c>
      <c r="N19" s="71">
        <f>_xlfn.XLOOKUP(C19,Dados!$C$3:$C$329,Dados!$L$3:$L$329,"")</f>
        <v>3</v>
      </c>
      <c r="O19" s="43">
        <f>_xlfn.XLOOKUP(C19,Dados!$C$3:$C$329,Dados!$M$3:$M$329,"")</f>
        <v>0.81049005825659104</v>
      </c>
      <c r="P19" s="43">
        <f>_xlfn.XLOOKUP(C19,Dados!$C$3:$C$329,Dados!$N$3:$N$329,"")</f>
        <v>0.78832706102504801</v>
      </c>
      <c r="Q19" s="43">
        <f>_xlfn.XLOOKUP(C19,Dados!$C$3:$C$329,Dados!$O$3:$O$329,"")</f>
        <v>0.79673503127846201</v>
      </c>
      <c r="R19" s="43">
        <f>_xlfn.XLOOKUP(C19,Dados!$C$3:$C$329,Dados!$P$3:$P$329,"")</f>
        <v>0.78599363592655802</v>
      </c>
      <c r="S19" s="43">
        <f>_xlfn.XLOOKUP(C19,Dados!$C$3:$C$329,Dados!$Q$3:$Q$329,"")</f>
        <v>0.95112228800614995</v>
      </c>
      <c r="T19" s="43">
        <f>_xlfn.XLOOKUP(C19,Dados!$C$3:$C$329,Dados!$R$3:$R$329,"")</f>
        <v>0.95568936736572896</v>
      </c>
      <c r="U19" s="43">
        <f>_xlfn.XLOOKUP(C19,Dados!$C$3:$C$329,Dados!$S$3:$S$329,"")</f>
        <v>0.99050318265428505</v>
      </c>
      <c r="V19" s="77">
        <f>_xlfn.XLOOKUP(C19,Dados!$C$3:$C$329,Dados!$T$3:$T$329,"")</f>
        <v>1712.73794909714</v>
      </c>
      <c r="W19" s="77">
        <f>_xlfn.XLOOKUP(C19,Dados!$C$3:$C$329,Dados!$U$3:$U$329,"")</f>
        <v>1323.76582221084</v>
      </c>
      <c r="X19" s="77">
        <f>_xlfn.XLOOKUP(C19,Dados!$C$3:$C$329,Dados!$V$3:$V$329,"")</f>
        <v>1141.13740700469</v>
      </c>
      <c r="Y19" s="77">
        <f>_xlfn.XLOOKUP(C19,Dados!$C$3:$C$329,Dados!$W$3:$W$329,"")</f>
        <v>1121.4379922662699</v>
      </c>
      <c r="Z19" s="77">
        <f>_xlfn.XLOOKUP(C19,Dados!$C$3:$C$329,Dados!$X$3:$X$329,"")</f>
        <v>1057.9959501552</v>
      </c>
      <c r="AA19" s="20"/>
      <c r="AB19" s="20"/>
      <c r="AC19" s="20"/>
      <c r="AD19" s="20"/>
      <c r="AE19" s="80"/>
      <c r="AF19" s="43">
        <v>0.29871022538567682</v>
      </c>
      <c r="AG19" s="43">
        <v>0.28878372295661475</v>
      </c>
      <c r="AH19" s="43">
        <v>0.436636235096931</v>
      </c>
      <c r="AI19" s="43">
        <v>0.54254772834155029</v>
      </c>
      <c r="AJ19" s="43">
        <v>0.56640987630922857</v>
      </c>
      <c r="AK19" s="43" cm="1">
        <f t="array" ref="AK19">_xlfn.XLOOKUP(C19,Dados!$C$3:$C$329,Dados!$Z$3:'Dados'!$Z$329,"")</f>
        <v>14.2995195191628</v>
      </c>
      <c r="AL19" s="43" cm="1">
        <f t="array" ref="AL19">_xlfn.XLOOKUP(C19,Dados!$C$3:$C$329,Dados!$AA$3:'Dados'!$AA$329,"")</f>
        <v>13.867560569778799</v>
      </c>
      <c r="AM19" s="43" cm="1">
        <f t="array" ref="AM19">_xlfn.XLOOKUP(C19,Dados!$C$3:$C$329,Dados!$AB$3:'Dados'!$AB$329,"")</f>
        <v>13.631324567010999</v>
      </c>
      <c r="AN19" s="43" cm="1">
        <f t="array" ref="AN19">_xlfn.XLOOKUP(C19,Dados!$C$3:$C$329,Dados!$AC$3:'Dados'!$AC$329,"")</f>
        <v>11.2929249956058</v>
      </c>
      <c r="AO19" s="82" cm="1">
        <f t="array" ref="AO19">_xlfn.XLOOKUP(C19,Dados!$C$3:$C$329,Dados!$AD$3:'Dados'!$AD$329,"")</f>
        <v>9.9026600121101698</v>
      </c>
    </row>
    <row r="20" spans="1:41" ht="63.75" x14ac:dyDescent="0.25">
      <c r="A20" s="2">
        <v>79</v>
      </c>
      <c r="B20" s="18" t="s">
        <v>57</v>
      </c>
      <c r="C20" s="19" t="s">
        <v>58</v>
      </c>
      <c r="D20" s="19" t="s">
        <v>48</v>
      </c>
      <c r="E20" s="19" t="s">
        <v>21</v>
      </c>
      <c r="F20" s="72">
        <f>_xlfn.XLOOKUP(C20,Dados!$C$3:$C$329,Dados!$D$3:$D$329,"")</f>
        <v>11</v>
      </c>
      <c r="G20" s="86">
        <f>_xlfn.XLOOKUP(C20,Dados!$C$3:$C$329,Dados!$E$3:$E$329,"")</f>
        <v>2570822</v>
      </c>
      <c r="H20" s="71">
        <f>_xlfn.XLOOKUP(C20,Dados!$C$3:$C$329,Dados!$F$3:$F$329,"")</f>
        <v>2524064.0000000005</v>
      </c>
      <c r="I20" s="71">
        <f>_xlfn.XLOOKUP(C20,Dados!$C$3:$C$329,Dados!$G$3:$G$329,"")</f>
        <v>2477305.9999999995</v>
      </c>
      <c r="J20" s="71">
        <f>_xlfn.XLOOKUP(C20,Dados!$C$3:$C$329,Dados!$H$3:$H$329,"")</f>
        <v>2430548</v>
      </c>
      <c r="K20" s="71">
        <f>_xlfn.XLOOKUP(C20,Dados!$C$3:$C$329,Dados!$I$3:$I$329,"")</f>
        <v>2408835</v>
      </c>
      <c r="L20" s="71">
        <f>_xlfn.XLOOKUP(C20,Dados!$C$3:$C$329,Dados!$J$3:$J$329,"")</f>
        <v>12</v>
      </c>
      <c r="M20" s="72" t="str">
        <f>_xlfn.XLOOKUP(C20,Dados!$C$3:$C$329,Dados!$K$3:$K$329,"")</f>
        <v>Sudeste</v>
      </c>
      <c r="N20" s="71">
        <f>_xlfn.XLOOKUP(C20,Dados!$C$3:$C$329,Dados!$L$3:$L$329,"")</f>
        <v>41</v>
      </c>
      <c r="O20" s="43">
        <f>_xlfn.XLOOKUP(C20,Dados!$C$3:$C$329,Dados!$M$3:$M$329,"")</f>
        <v>0.75646136839900502</v>
      </c>
      <c r="P20" s="43">
        <f>_xlfn.XLOOKUP(C20,Dados!$C$3:$C$329,Dados!$N$3:$N$329,"")</f>
        <v>0.73124819738323299</v>
      </c>
      <c r="Q20" s="43">
        <f>_xlfn.XLOOKUP(C20,Dados!$C$3:$C$329,Dados!$O$3:$O$329,"")</f>
        <v>0.72324392388054004</v>
      </c>
      <c r="R20" s="43">
        <f>_xlfn.XLOOKUP(C20,Dados!$C$3:$C$329,Dados!$P$3:$P$329,"")</f>
        <v>0.70842936801399903</v>
      </c>
      <c r="S20" s="43">
        <f>_xlfn.XLOOKUP(C20,Dados!$C$3:$C$329,Dados!$Q$3:$Q$329,"")</f>
        <v>0.84670888286173296</v>
      </c>
      <c r="T20" s="43">
        <f>_xlfn.XLOOKUP(C20,Dados!$C$3:$C$329,Dados!$R$3:$R$329,"")</f>
        <v>0.96973550282712995</v>
      </c>
      <c r="U20" s="43">
        <f>_xlfn.XLOOKUP(C20,Dados!$C$3:$C$329,Dados!$S$3:$S$329,"")</f>
        <v>0.99558749417041503</v>
      </c>
      <c r="V20" s="77">
        <f>_xlfn.XLOOKUP(C20,Dados!$C$3:$C$329,Dados!$T$3:$T$329,"")</f>
        <v>1729.21269993022</v>
      </c>
      <c r="W20" s="77">
        <f>_xlfn.XLOOKUP(C20,Dados!$C$3:$C$329,Dados!$U$3:$U$329,"")</f>
        <v>1600.1374108831401</v>
      </c>
      <c r="X20" s="77">
        <f>_xlfn.XLOOKUP(C20,Dados!$C$3:$C$329,Dados!$V$3:$V$329,"")</f>
        <v>1544.5147657536099</v>
      </c>
      <c r="Y20" s="77">
        <f>_xlfn.XLOOKUP(C20,Dados!$C$3:$C$329,Dados!$W$3:$W$329,"")</f>
        <v>1373.22112908694</v>
      </c>
      <c r="Z20" s="77">
        <f>_xlfn.XLOOKUP(C20,Dados!$C$3:$C$329,Dados!$X$3:$X$329,"")</f>
        <v>1193.89217435814</v>
      </c>
      <c r="AA20" s="20"/>
      <c r="AB20" s="20"/>
      <c r="AC20" s="20"/>
      <c r="AD20" s="20"/>
      <c r="AE20" s="80"/>
      <c r="AF20" s="43">
        <v>0.16084911807506369</v>
      </c>
      <c r="AG20" s="43">
        <v>6.7809195130363722E-2</v>
      </c>
      <c r="AH20" s="43">
        <v>0.10928637148141981</v>
      </c>
      <c r="AI20" s="43">
        <v>0.16831433992257203</v>
      </c>
      <c r="AJ20" s="43" t="e">
        <v>#DIV/0!</v>
      </c>
      <c r="AK20" s="43" cm="1">
        <f t="array" ref="AK20">_xlfn.XLOOKUP(C20,Dados!$C$3:$C$329,Dados!$Z$3:'Dados'!$Z$329,"")</f>
        <v>19.985790926015099</v>
      </c>
      <c r="AL20" s="43" cm="1">
        <f t="array" ref="AL20">_xlfn.XLOOKUP(C20,Dados!$C$3:$C$329,Dados!$AA$3:'Dados'!$AA$329,"")</f>
        <v>18.354989810084099</v>
      </c>
      <c r="AM20" s="43" cm="1">
        <f t="array" ref="AM20">_xlfn.XLOOKUP(C20,Dados!$C$3:$C$329,Dados!$AB$3:'Dados'!$AB$329,"")</f>
        <v>15.843110620972899</v>
      </c>
      <c r="AN20" s="43" cm="1">
        <f t="array" ref="AN20">_xlfn.XLOOKUP(C20,Dados!$C$3:$C$329,Dados!$AC$3:'Dados'!$AC$329,"")</f>
        <v>14.292028793506599</v>
      </c>
      <c r="AO20" s="82" cm="1">
        <f t="array" ref="AO20">_xlfn.XLOOKUP(C20,Dados!$C$3:$C$329,Dados!$AD$3:'Dados'!$AD$329,"")</f>
        <v>12.2252200752646</v>
      </c>
    </row>
    <row r="21" spans="1:41" ht="51" x14ac:dyDescent="0.25">
      <c r="A21" s="2">
        <v>81</v>
      </c>
      <c r="B21" s="18" t="s">
        <v>59</v>
      </c>
      <c r="C21" s="19" t="s">
        <v>60</v>
      </c>
      <c r="D21" s="19" t="s">
        <v>48</v>
      </c>
      <c r="E21" s="19" t="s">
        <v>21</v>
      </c>
      <c r="F21" s="72">
        <f>_xlfn.XLOOKUP(C21,Dados!$C$3:$C$329,Dados!$D$3:$D$329,"")</f>
        <v>8</v>
      </c>
      <c r="G21" s="86">
        <f>_xlfn.XLOOKUP(C21,Dados!$C$3:$C$329,Dados!$E$3:$E$329,"")</f>
        <v>335730</v>
      </c>
      <c r="H21" s="71">
        <f>_xlfn.XLOOKUP(C21,Dados!$C$3:$C$329,Dados!$F$3:$F$329,"")</f>
        <v>343428.66666666669</v>
      </c>
      <c r="I21" s="71">
        <f>_xlfn.XLOOKUP(C21,Dados!$C$3:$C$329,Dados!$G$3:$G$329,"")</f>
        <v>351127.33333333331</v>
      </c>
      <c r="J21" s="71">
        <f>_xlfn.XLOOKUP(C21,Dados!$C$3:$C$329,Dados!$H$3:$H$329,"")</f>
        <v>358826</v>
      </c>
      <c r="K21" s="71">
        <f>_xlfn.XLOOKUP(C21,Dados!$C$3:$C$329,Dados!$I$3:$I$329,"")</f>
        <v>356301</v>
      </c>
      <c r="L21" s="71">
        <f>_xlfn.XLOOKUP(C21,Dados!$C$3:$C$329,Dados!$J$3:$J$329,"")</f>
        <v>22</v>
      </c>
      <c r="M21" s="72" t="str">
        <f>_xlfn.XLOOKUP(C21,Dados!$C$3:$C$329,Dados!$K$3:$K$329,"")</f>
        <v>Sudeste</v>
      </c>
      <c r="N21" s="71">
        <f>_xlfn.XLOOKUP(C21,Dados!$C$3:$C$329,Dados!$L$3:$L$329,"")</f>
        <v>4</v>
      </c>
      <c r="O21" s="43">
        <f>_xlfn.XLOOKUP(C21,Dados!$C$3:$C$329,Dados!$M$3:$M$329,"")</f>
        <v>0.74847003084580399</v>
      </c>
      <c r="P21" s="43">
        <f>_xlfn.XLOOKUP(C21,Dados!$C$3:$C$329,Dados!$N$3:$N$329,"")</f>
        <v>0.71332644083532804</v>
      </c>
      <c r="Q21" s="43">
        <f>_xlfn.XLOOKUP(C21,Dados!$C$3:$C$329,Dados!$O$3:$O$329,"")</f>
        <v>0.69010145195721595</v>
      </c>
      <c r="R21" s="43">
        <f>_xlfn.XLOOKUP(C21,Dados!$C$3:$C$329,Dados!$P$3:$P$329,"")</f>
        <v>0.68864351573529103</v>
      </c>
      <c r="S21" s="43">
        <f>_xlfn.XLOOKUP(C21,Dados!$C$3:$C$329,Dados!$Q$3:$Q$329,"")</f>
        <v>0.84137302032880801</v>
      </c>
      <c r="T21" s="43">
        <f>_xlfn.XLOOKUP(C21,Dados!$C$3:$C$329,Dados!$R$3:$R$329,"")</f>
        <v>0.94129609078188203</v>
      </c>
      <c r="U21" s="43">
        <f>_xlfn.XLOOKUP(C21,Dados!$C$3:$C$329,Dados!$S$3:$S$329,"")</f>
        <v>0.91450849520876598</v>
      </c>
      <c r="V21" s="77">
        <f>_xlfn.XLOOKUP(C21,Dados!$C$3:$C$329,Dados!$T$3:$T$329,"")</f>
        <v>1750.7372626813201</v>
      </c>
      <c r="W21" s="77">
        <f>_xlfn.XLOOKUP(C21,Dados!$C$3:$C$329,Dados!$U$3:$U$329,"")</f>
        <v>1430.3926680940999</v>
      </c>
      <c r="X21" s="77">
        <f>_xlfn.XLOOKUP(C21,Dados!$C$3:$C$329,Dados!$V$3:$V$329,"")</f>
        <v>1199.3045960629699</v>
      </c>
      <c r="Y21" s="77">
        <f>_xlfn.XLOOKUP(C21,Dados!$C$3:$C$329,Dados!$W$3:$W$329,"")</f>
        <v>1015.31906910313</v>
      </c>
      <c r="Z21" s="77">
        <f>_xlfn.XLOOKUP(C21,Dados!$C$3:$C$329,Dados!$X$3:$X$329,"")</f>
        <v>952.51552631061895</v>
      </c>
      <c r="AA21" s="20"/>
      <c r="AB21" s="20"/>
      <c r="AC21" s="20"/>
      <c r="AD21" s="20"/>
      <c r="AE21" s="80"/>
      <c r="AF21" s="43">
        <v>0.12264524376686145</v>
      </c>
      <c r="AG21" s="43">
        <v>0.10589656244062268</v>
      </c>
      <c r="AH21" s="43">
        <v>0.15680470717623979</v>
      </c>
      <c r="AI21" s="43">
        <v>0.19952938118746458</v>
      </c>
      <c r="AJ21" s="43">
        <v>0.30633503646298238</v>
      </c>
      <c r="AK21" s="43" cm="1">
        <f t="array" ref="AK21">_xlfn.XLOOKUP(C21,Dados!$C$3:$C$329,Dados!$Z$3:'Dados'!$Z$329,"")</f>
        <v>14.6410180800048</v>
      </c>
      <c r="AL21" s="43" cm="1">
        <f t="array" ref="AL21">_xlfn.XLOOKUP(C21,Dados!$C$3:$C$329,Dados!$AA$3:'Dados'!$AA$329,"")</f>
        <v>14.9409251411744</v>
      </c>
      <c r="AM21" s="43" cm="1">
        <f t="array" ref="AM21">_xlfn.XLOOKUP(C21,Dados!$C$3:$C$329,Dados!$AB$3:'Dados'!$AB$329,"")</f>
        <v>15.212344619520699</v>
      </c>
      <c r="AN21" s="43" cm="1">
        <f t="array" ref="AN21">_xlfn.XLOOKUP(C21,Dados!$C$3:$C$329,Dados!$AC$3:'Dados'!$AC$329,"")</f>
        <v>10.0722996661334</v>
      </c>
      <c r="AO21" s="82" cm="1">
        <f t="array" ref="AO21">_xlfn.XLOOKUP(C21,Dados!$C$3:$C$329,Dados!$AD$3:'Dados'!$AD$329,"")</f>
        <v>7.7865961644789099</v>
      </c>
    </row>
    <row r="22" spans="1:41" ht="63.75" x14ac:dyDescent="0.25">
      <c r="A22" s="2">
        <v>82</v>
      </c>
      <c r="B22" s="18" t="s">
        <v>61</v>
      </c>
      <c r="C22" s="19" t="s">
        <v>62</v>
      </c>
      <c r="D22" s="19" t="s">
        <v>48</v>
      </c>
      <c r="E22" s="19" t="s">
        <v>21</v>
      </c>
      <c r="F22" s="72">
        <f>_xlfn.XLOOKUP(C22,Dados!$C$3:$C$329,Dados!$D$3:$D$329,"")</f>
        <v>6</v>
      </c>
      <c r="G22" s="86">
        <f>_xlfn.XLOOKUP(C22,Dados!$C$3:$C$329,Dados!$E$3:$E$329,"")</f>
        <v>208035</v>
      </c>
      <c r="H22" s="71">
        <f>_xlfn.XLOOKUP(C22,Dados!$C$3:$C$329,Dados!$F$3:$F$329,"")</f>
        <v>212304</v>
      </c>
      <c r="I22" s="71">
        <f>_xlfn.XLOOKUP(C22,Dados!$C$3:$C$329,Dados!$G$3:$G$329,"")</f>
        <v>216573</v>
      </c>
      <c r="J22" s="71">
        <f>_xlfn.XLOOKUP(C22,Dados!$C$3:$C$329,Dados!$H$3:$H$329,"")</f>
        <v>220842</v>
      </c>
      <c r="K22" s="71">
        <f>_xlfn.XLOOKUP(C22,Dados!$C$3:$C$329,Dados!$I$3:$I$329,"")</f>
        <v>219130</v>
      </c>
      <c r="L22" s="71">
        <f>_xlfn.XLOOKUP(C22,Dados!$C$3:$C$329,Dados!$J$3:$J$329,"")</f>
        <v>8</v>
      </c>
      <c r="M22" s="72" t="str">
        <f>_xlfn.XLOOKUP(C22,Dados!$C$3:$C$329,Dados!$K$3:$K$329,"")</f>
        <v>Sudeste</v>
      </c>
      <c r="N22" s="71">
        <f>_xlfn.XLOOKUP(C22,Dados!$C$3:$C$329,Dados!$L$3:$L$329,"")</f>
        <v>26</v>
      </c>
      <c r="O22" s="43">
        <f>_xlfn.XLOOKUP(C22,Dados!$C$3:$C$329,Dados!$M$3:$M$329,"")</f>
        <v>0.666619120066823</v>
      </c>
      <c r="P22" s="43">
        <f>_xlfn.XLOOKUP(C22,Dados!$C$3:$C$329,Dados!$N$3:$N$329,"")</f>
        <v>0.649491767825783</v>
      </c>
      <c r="Q22" s="43">
        <f>_xlfn.XLOOKUP(C22,Dados!$C$3:$C$329,Dados!$O$3:$O$329,"")</f>
        <v>0.61243139439056005</v>
      </c>
      <c r="R22" s="43">
        <f>_xlfn.XLOOKUP(C22,Dados!$C$3:$C$329,Dados!$P$3:$P$329,"")</f>
        <v>0.60743064710445804</v>
      </c>
      <c r="S22" s="43">
        <f>_xlfn.XLOOKUP(C22,Dados!$C$3:$C$329,Dados!$Q$3:$Q$329,"")</f>
        <v>0.68374087720999399</v>
      </c>
      <c r="T22" s="43">
        <f>_xlfn.XLOOKUP(C22,Dados!$C$3:$C$329,Dados!$R$3:$R$329,"")</f>
        <v>0.87678168300449899</v>
      </c>
      <c r="U22" s="43">
        <f>_xlfn.XLOOKUP(C22,Dados!$C$3:$C$329,Dados!$S$3:$S$329,"")</f>
        <v>0.84644448553913298</v>
      </c>
      <c r="V22" s="77">
        <f>_xlfn.XLOOKUP(C22,Dados!$C$3:$C$329,Dados!$T$3:$T$329,"")</f>
        <v>1638.21035359435</v>
      </c>
      <c r="W22" s="77">
        <f>_xlfn.XLOOKUP(C22,Dados!$C$3:$C$329,Dados!$U$3:$U$329,"")</f>
        <v>1369.3973311540699</v>
      </c>
      <c r="X22" s="77">
        <f>_xlfn.XLOOKUP(C22,Dados!$C$3:$C$329,Dados!$V$3:$V$329,"")</f>
        <v>1174.7980894509799</v>
      </c>
      <c r="Y22" s="77">
        <f>_xlfn.XLOOKUP(C22,Dados!$C$3:$C$329,Dados!$W$3:$W$329,"")</f>
        <v>1011.89355367186</v>
      </c>
      <c r="Z22" s="77">
        <f>_xlfn.XLOOKUP(C22,Dados!$C$3:$C$329,Dados!$X$3:$X$329,"")</f>
        <v>904.32632524072505</v>
      </c>
      <c r="AA22" s="20"/>
      <c r="AB22" s="20"/>
      <c r="AC22" s="20"/>
      <c r="AD22" s="20"/>
      <c r="AE22" s="80"/>
      <c r="AF22" s="43">
        <v>0.38359515913214048</v>
      </c>
      <c r="AG22" s="43">
        <v>4.7598282149507905E-2</v>
      </c>
      <c r="AH22" s="43">
        <v>0.14661500858249427</v>
      </c>
      <c r="AI22" s="43">
        <v>0.58456000011789366</v>
      </c>
      <c r="AJ22" s="43" t="e">
        <v>#DIV/0!</v>
      </c>
      <c r="AK22" s="43" cm="1">
        <f t="array" ref="AK22">_xlfn.XLOOKUP(C22,Dados!$C$3:$C$329,Dados!$Z$3:'Dados'!$Z$329,"")</f>
        <v>10.047871752349399</v>
      </c>
      <c r="AL22" s="43" cm="1">
        <f t="array" ref="AL22">_xlfn.XLOOKUP(C22,Dados!$C$3:$C$329,Dados!$AA$3:'Dados'!$AA$329,"")</f>
        <v>10.132710641344501</v>
      </c>
      <c r="AM22" s="43" cm="1">
        <f t="array" ref="AM22">_xlfn.XLOOKUP(C22,Dados!$C$3:$C$329,Dados!$AB$3:'Dados'!$AB$329,"")</f>
        <v>8.96365197877852</v>
      </c>
      <c r="AN22" s="43" cm="1">
        <f t="array" ref="AN22">_xlfn.XLOOKUP(C22,Dados!$C$3:$C$329,Dados!$AC$3:'Dados'!$AC$329,"")</f>
        <v>6.8455592686173796</v>
      </c>
      <c r="AO22" s="82" cm="1">
        <f t="array" ref="AO22">_xlfn.XLOOKUP(C22,Dados!$C$3:$C$329,Dados!$AD$3:'Dados'!$AD$329,"")</f>
        <v>6.3101674804910299</v>
      </c>
    </row>
    <row r="23" spans="1:41" ht="38.25" x14ac:dyDescent="0.25">
      <c r="A23" s="2">
        <v>119</v>
      </c>
      <c r="B23" s="18" t="s">
        <v>63</v>
      </c>
      <c r="C23" s="19" t="s">
        <v>64</v>
      </c>
      <c r="D23" s="19" t="s">
        <v>65</v>
      </c>
      <c r="E23" s="19" t="s">
        <v>21</v>
      </c>
      <c r="F23" s="72">
        <f>_xlfn.XLOOKUP(C23,Dados!$C$3:$C$329,Dados!$D$3:$D$329,"")</f>
        <v>31</v>
      </c>
      <c r="G23" s="86">
        <f>_xlfn.XLOOKUP(C23,Dados!$C$3:$C$329,Dados!$E$3:$E$329,"")</f>
        <v>410727</v>
      </c>
      <c r="H23" s="71">
        <f>_xlfn.XLOOKUP(C23,Dados!$C$3:$C$329,Dados!$F$3:$F$329,"")</f>
        <v>412471.66666666663</v>
      </c>
      <c r="I23" s="71">
        <f>_xlfn.XLOOKUP(C23,Dados!$C$3:$C$329,Dados!$G$3:$G$329,"")</f>
        <v>414216.33333333337</v>
      </c>
      <c r="J23" s="71">
        <f>_xlfn.XLOOKUP(C23,Dados!$C$3:$C$329,Dados!$H$3:$H$329,"")</f>
        <v>415961</v>
      </c>
      <c r="K23" s="71">
        <f>_xlfn.XLOOKUP(C23,Dados!$C$3:$C$329,Dados!$I$3:$I$329,"")</f>
        <v>413585</v>
      </c>
      <c r="L23" s="71">
        <f>_xlfn.XLOOKUP(C23,Dados!$C$3:$C$329,Dados!$J$3:$J$329,"")</f>
        <v>16</v>
      </c>
      <c r="M23" s="72" t="str">
        <f>_xlfn.XLOOKUP(C23,Dados!$C$3:$C$329,Dados!$K$3:$K$329,"")</f>
        <v>Sudeste</v>
      </c>
      <c r="N23" s="71">
        <f>_xlfn.XLOOKUP(C23,Dados!$C$3:$C$329,Dados!$L$3:$L$329,"")</f>
        <v>17</v>
      </c>
      <c r="O23" s="43">
        <f>_xlfn.XLOOKUP(C23,Dados!$C$3:$C$329,Dados!$M$3:$M$329,"")</f>
        <v>0.70896922067374402</v>
      </c>
      <c r="P23" s="43">
        <f>_xlfn.XLOOKUP(C23,Dados!$C$3:$C$329,Dados!$N$3:$N$329,"")</f>
        <v>0.680531078526599</v>
      </c>
      <c r="Q23" s="43">
        <f>_xlfn.XLOOKUP(C23,Dados!$C$3:$C$329,Dados!$O$3:$O$329,"")</f>
        <v>0.65174380386622799</v>
      </c>
      <c r="R23" s="43">
        <f>_xlfn.XLOOKUP(C23,Dados!$C$3:$C$329,Dados!$P$3:$P$329,"")</f>
        <v>0.63899641500537996</v>
      </c>
      <c r="S23" s="43">
        <f>_xlfn.XLOOKUP(C23,Dados!$C$3:$C$329,Dados!$Q$3:$Q$329,"")</f>
        <v>0.66836259506908202</v>
      </c>
      <c r="T23" s="43">
        <f>_xlfn.XLOOKUP(C23,Dados!$C$3:$C$329,Dados!$R$3:$R$329,"")</f>
        <v>0.71483375249165304</v>
      </c>
      <c r="U23" s="43">
        <f>_xlfn.XLOOKUP(C23,Dados!$C$3:$C$329,Dados!$S$3:$S$329,"")</f>
        <v>0.80492028416713002</v>
      </c>
      <c r="V23" s="77">
        <f>_xlfn.XLOOKUP(C23,Dados!$C$3:$C$329,Dados!$T$3:$T$329,"")</f>
        <v>1764.42551741181</v>
      </c>
      <c r="W23" s="77">
        <f>_xlfn.XLOOKUP(C23,Dados!$C$3:$C$329,Dados!$U$3:$U$329,"")</f>
        <v>1448.3255283716501</v>
      </c>
      <c r="X23" s="77">
        <f>_xlfn.XLOOKUP(C23,Dados!$C$3:$C$329,Dados!$V$3:$V$329,"")</f>
        <v>1145.6988772935899</v>
      </c>
      <c r="Y23" s="77">
        <f>_xlfn.XLOOKUP(C23,Dados!$C$3:$C$329,Dados!$W$3:$W$329,"")</f>
        <v>925.47419609049905</v>
      </c>
      <c r="Z23" s="77">
        <f>_xlfn.XLOOKUP(C23,Dados!$C$3:$C$329,Dados!$X$3:$X$329,"")</f>
        <v>855.35997158987902</v>
      </c>
      <c r="AA23" s="20"/>
      <c r="AB23" s="20"/>
      <c r="AC23" s="20"/>
      <c r="AD23" s="20"/>
      <c r="AE23" s="80"/>
      <c r="AF23" s="43" t="e">
        <v>#DIV/0!</v>
      </c>
      <c r="AG23" s="43" t="e">
        <v>#DIV/0!</v>
      </c>
      <c r="AH23" s="43" t="e">
        <v>#DIV/0!</v>
      </c>
      <c r="AI23" s="43" t="e">
        <v>#DIV/0!</v>
      </c>
      <c r="AJ23" s="43" t="e">
        <v>#DIV/0!</v>
      </c>
      <c r="AK23" s="43" cm="1">
        <f t="array" ref="AK23">_xlfn.XLOOKUP(C23,Dados!$C$3:$C$329,Dados!$Z$3:'Dados'!$Z$329,"")</f>
        <v>12.834086875223701</v>
      </c>
      <c r="AL23" s="43" cm="1">
        <f t="array" ref="AL23">_xlfn.XLOOKUP(C23,Dados!$C$3:$C$329,Dados!$AA$3:'Dados'!$AA$329,"")</f>
        <v>11.139860919739901</v>
      </c>
      <c r="AM23" s="43" cm="1">
        <f t="array" ref="AM23">_xlfn.XLOOKUP(C23,Dados!$C$3:$C$329,Dados!$AB$3:'Dados'!$AB$329,"")</f>
        <v>10.137702601458701</v>
      </c>
      <c r="AN23" s="43" cm="1">
        <f t="array" ref="AN23">_xlfn.XLOOKUP(C23,Dados!$C$3:$C$329,Dados!$AC$3:'Dados'!$AC$329,"")</f>
        <v>7.9000675544101497</v>
      </c>
      <c r="AO23" s="82" cm="1">
        <f t="array" ref="AO23">_xlfn.XLOOKUP(C23,Dados!$C$3:$C$329,Dados!$AD$3:'Dados'!$AD$329,"")</f>
        <v>7.1104198653239399</v>
      </c>
    </row>
    <row r="24" spans="1:41" ht="51" x14ac:dyDescent="0.25">
      <c r="A24" s="2">
        <v>120</v>
      </c>
      <c r="B24" s="18" t="s">
        <v>66</v>
      </c>
      <c r="C24" s="19" t="s">
        <v>67</v>
      </c>
      <c r="D24" s="19" t="s">
        <v>65</v>
      </c>
      <c r="E24" s="19" t="s">
        <v>21</v>
      </c>
      <c r="F24" s="72">
        <f>_xlfn.XLOOKUP(C24,Dados!$C$3:$C$329,Dados!$D$3:$D$329,"")</f>
        <v>26</v>
      </c>
      <c r="G24" s="86">
        <f>_xlfn.XLOOKUP(C24,Dados!$C$3:$C$329,Dados!$E$3:$E$329,"")</f>
        <v>440989</v>
      </c>
      <c r="H24" s="71">
        <f>_xlfn.XLOOKUP(C24,Dados!$C$3:$C$329,Dados!$F$3:$F$329,"")</f>
        <v>435525.33333333326</v>
      </c>
      <c r="I24" s="71">
        <f>_xlfn.XLOOKUP(C24,Dados!$C$3:$C$329,Dados!$G$3:$G$329,"")</f>
        <v>430061.66666666674</v>
      </c>
      <c r="J24" s="71">
        <f>_xlfn.XLOOKUP(C24,Dados!$C$3:$C$329,Dados!$H$3:$H$329,"")</f>
        <v>424598</v>
      </c>
      <c r="K24" s="71">
        <f>_xlfn.XLOOKUP(C24,Dados!$C$3:$C$329,Dados!$I$3:$I$329,"")</f>
        <v>421471</v>
      </c>
      <c r="L24" s="71">
        <f>_xlfn.XLOOKUP(C24,Dados!$C$3:$C$329,Dados!$J$3:$J$329,"")</f>
        <v>17</v>
      </c>
      <c r="M24" s="72" t="str">
        <f>_xlfn.XLOOKUP(C24,Dados!$C$3:$C$329,Dados!$K$3:$K$329,"")</f>
        <v>Sudeste</v>
      </c>
      <c r="N24" s="71">
        <f>_xlfn.XLOOKUP(C24,Dados!$C$3:$C$329,Dados!$L$3:$L$329,"")</f>
        <v>1</v>
      </c>
      <c r="O24" s="43">
        <f>_xlfn.XLOOKUP(C24,Dados!$C$3:$C$329,Dados!$M$3:$M$329,"")</f>
        <v>0.651274687733435</v>
      </c>
      <c r="P24" s="43">
        <f>_xlfn.XLOOKUP(C24,Dados!$C$3:$C$329,Dados!$N$3:$N$329,"")</f>
        <v>0.63130986780965503</v>
      </c>
      <c r="Q24" s="43">
        <f>_xlfn.XLOOKUP(C24,Dados!$C$3:$C$329,Dados!$O$3:$O$329,"")</f>
        <v>0.59044635231442399</v>
      </c>
      <c r="R24" s="43">
        <f>_xlfn.XLOOKUP(C24,Dados!$C$3:$C$329,Dados!$P$3:$P$329,"")</f>
        <v>0.57281798842624998</v>
      </c>
      <c r="S24" s="43">
        <f>_xlfn.XLOOKUP(C24,Dados!$C$3:$C$329,Dados!$Q$3:$Q$329,"")</f>
        <v>0.39767494808884002</v>
      </c>
      <c r="T24" s="43">
        <f>_xlfn.XLOOKUP(C24,Dados!$C$3:$C$329,Dados!$R$3:$R$329,"")</f>
        <v>0.46251153555497898</v>
      </c>
      <c r="U24" s="43">
        <f>_xlfn.XLOOKUP(C24,Dados!$C$3:$C$329,Dados!$S$3:$S$329,"")</f>
        <v>0.76356485038967303</v>
      </c>
      <c r="V24" s="77">
        <f>_xlfn.XLOOKUP(C24,Dados!$C$3:$C$329,Dados!$T$3:$T$329,"")</f>
        <v>1361.2708149636401</v>
      </c>
      <c r="W24" s="77">
        <f>_xlfn.XLOOKUP(C24,Dados!$C$3:$C$329,Dados!$U$3:$U$329,"")</f>
        <v>1223.2734828437101</v>
      </c>
      <c r="X24" s="77">
        <f>_xlfn.XLOOKUP(C24,Dados!$C$3:$C$329,Dados!$V$3:$V$329,"")</f>
        <v>1046.9626343663899</v>
      </c>
      <c r="Y24" s="77">
        <f>_xlfn.XLOOKUP(C24,Dados!$C$3:$C$329,Dados!$W$3:$W$329,"")</f>
        <v>829.24578898157802</v>
      </c>
      <c r="Z24" s="77">
        <f>_xlfn.XLOOKUP(C24,Dados!$C$3:$C$329,Dados!$X$3:$X$329,"")</f>
        <v>785.58885619651198</v>
      </c>
      <c r="AA24" s="20"/>
      <c r="AB24" s="20"/>
      <c r="AC24" s="20"/>
      <c r="AD24" s="20"/>
      <c r="AE24" s="80"/>
      <c r="AF24" s="43" t="e">
        <v>#DIV/0!</v>
      </c>
      <c r="AG24" s="43" t="e">
        <v>#DIV/0!</v>
      </c>
      <c r="AH24" s="43">
        <v>6.39130449036753E-3</v>
      </c>
      <c r="AI24" s="43">
        <v>7.9685424159251401E-3</v>
      </c>
      <c r="AJ24" s="43">
        <v>8.8607438689546156E-3</v>
      </c>
      <c r="AK24" s="43" cm="1">
        <f t="array" ref="AK24">_xlfn.XLOOKUP(C24,Dados!$C$3:$C$329,Dados!$Z$3:'Dados'!$Z$329,"")</f>
        <v>11.019583254911099</v>
      </c>
      <c r="AL24" s="43" cm="1">
        <f t="array" ref="AL24">_xlfn.XLOOKUP(C24,Dados!$C$3:$C$329,Dados!$AA$3:'Dados'!$AA$329,"")</f>
        <v>9.7618753137972796</v>
      </c>
      <c r="AM24" s="43" cm="1">
        <f t="array" ref="AM24">_xlfn.XLOOKUP(C24,Dados!$C$3:$C$329,Dados!$AB$3:'Dados'!$AB$329,"")</f>
        <v>8.5344783887582008</v>
      </c>
      <c r="AN24" s="43" cm="1">
        <f t="array" ref="AN24">_xlfn.XLOOKUP(C24,Dados!$C$3:$C$329,Dados!$AC$3:'Dados'!$AC$329,"")</f>
        <v>6.3434684101196899</v>
      </c>
      <c r="AO24" s="82" cm="1">
        <f t="array" ref="AO24">_xlfn.XLOOKUP(C24,Dados!$C$3:$C$329,Dados!$AD$3:'Dados'!$AD$329,"")</f>
        <v>5.8157904102536104</v>
      </c>
    </row>
    <row r="25" spans="1:41" ht="38.25" x14ac:dyDescent="0.25">
      <c r="A25" s="2">
        <v>121</v>
      </c>
      <c r="B25" s="18" t="s">
        <v>68</v>
      </c>
      <c r="C25" s="19" t="s">
        <v>69</v>
      </c>
      <c r="D25" s="19" t="s">
        <v>65</v>
      </c>
      <c r="E25" s="19" t="s">
        <v>21</v>
      </c>
      <c r="F25" s="72">
        <f>_xlfn.XLOOKUP(C25,Dados!$C$3:$C$329,Dados!$D$3:$D$329,"")</f>
        <v>19</v>
      </c>
      <c r="G25" s="86">
        <f>_xlfn.XLOOKUP(C25,Dados!$C$3:$C$329,Dados!$E$3:$E$329,"")</f>
        <v>318635</v>
      </c>
      <c r="H25" s="71">
        <f>_xlfn.XLOOKUP(C25,Dados!$C$3:$C$329,Dados!$F$3:$F$329,"")</f>
        <v>311015.33333333337</v>
      </c>
      <c r="I25" s="71">
        <f>_xlfn.XLOOKUP(C25,Dados!$C$3:$C$329,Dados!$G$3:$G$329,"")</f>
        <v>303395.66666666663</v>
      </c>
      <c r="J25" s="71">
        <f>_xlfn.XLOOKUP(C25,Dados!$C$3:$C$329,Dados!$H$3:$H$329,"")</f>
        <v>295776</v>
      </c>
      <c r="K25" s="71">
        <f>_xlfn.XLOOKUP(C25,Dados!$C$3:$C$329,Dados!$I$3:$I$329,"")</f>
        <v>292307</v>
      </c>
      <c r="L25" s="71">
        <f>_xlfn.XLOOKUP(C25,Dados!$C$3:$C$329,Dados!$J$3:$J$329,"")</f>
        <v>8</v>
      </c>
      <c r="M25" s="72" t="str">
        <f>_xlfn.XLOOKUP(C25,Dados!$C$3:$C$329,Dados!$K$3:$K$329,"")</f>
        <v>Sudeste</v>
      </c>
      <c r="N25" s="71">
        <f>_xlfn.XLOOKUP(C25,Dados!$C$3:$C$329,Dados!$L$3:$L$329,"")</f>
        <v>6</v>
      </c>
      <c r="O25" s="43">
        <f>_xlfn.XLOOKUP(C25,Dados!$C$3:$C$329,Dados!$M$3:$M$329,"")</f>
        <v>0.681071964833459</v>
      </c>
      <c r="P25" s="43">
        <f>_xlfn.XLOOKUP(C25,Dados!$C$3:$C$329,Dados!$N$3:$N$329,"")</f>
        <v>0.64845549727693297</v>
      </c>
      <c r="Q25" s="43">
        <f>_xlfn.XLOOKUP(C25,Dados!$C$3:$C$329,Dados!$O$3:$O$329,"")</f>
        <v>0.61956240026236098</v>
      </c>
      <c r="R25" s="43">
        <f>_xlfn.XLOOKUP(C25,Dados!$C$3:$C$329,Dados!$P$3:$P$329,"")</f>
        <v>0.604055425289165</v>
      </c>
      <c r="S25" s="43">
        <f>_xlfn.XLOOKUP(C25,Dados!$C$3:$C$329,Dados!$Q$3:$Q$329,"")</f>
        <v>0.53901149434127305</v>
      </c>
      <c r="T25" s="43">
        <f>_xlfn.XLOOKUP(C25,Dados!$C$3:$C$329,Dados!$R$3:$R$329,"")</f>
        <v>0.83756124620545003</v>
      </c>
      <c r="U25" s="43">
        <f>_xlfn.XLOOKUP(C25,Dados!$C$3:$C$329,Dados!$S$3:$S$329,"")</f>
        <v>0.97265669010873601</v>
      </c>
      <c r="V25" s="77">
        <f>_xlfn.XLOOKUP(C25,Dados!$C$3:$C$329,Dados!$T$3:$T$329,"")</f>
        <v>1557.02394310104</v>
      </c>
      <c r="W25" s="77">
        <f>_xlfn.XLOOKUP(C25,Dados!$C$3:$C$329,Dados!$U$3:$U$329,"")</f>
        <v>1409.18783118946</v>
      </c>
      <c r="X25" s="77">
        <f>_xlfn.XLOOKUP(C25,Dados!$C$3:$C$329,Dados!$V$3:$V$329,"")</f>
        <v>1256.4700033839199</v>
      </c>
      <c r="Y25" s="77">
        <f>_xlfn.XLOOKUP(C25,Dados!$C$3:$C$329,Dados!$W$3:$W$329,"")</f>
        <v>1043.2534662717701</v>
      </c>
      <c r="Z25" s="77">
        <f>_xlfn.XLOOKUP(C25,Dados!$C$3:$C$329,Dados!$X$3:$X$329,"")</f>
        <v>1119.4588940737001</v>
      </c>
      <c r="AA25" s="20"/>
      <c r="AB25" s="20"/>
      <c r="AC25" s="20"/>
      <c r="AD25" s="20"/>
      <c r="AE25" s="80"/>
      <c r="AF25" s="43">
        <v>1.4442332357243085E-2</v>
      </c>
      <c r="AG25" s="43">
        <v>1.1965044734733544E-2</v>
      </c>
      <c r="AH25" s="43" t="e">
        <v>#DIV/0!</v>
      </c>
      <c r="AI25" s="43" t="e">
        <v>#DIV/0!</v>
      </c>
      <c r="AJ25" s="43" t="e">
        <v>#DIV/0!</v>
      </c>
      <c r="AK25" s="43" cm="1">
        <f t="array" ref="AK25">_xlfn.XLOOKUP(C25,Dados!$C$3:$C$329,Dados!$Z$3:'Dados'!$Z$329,"")</f>
        <v>10.549145574089501</v>
      </c>
      <c r="AL25" s="43" cm="1">
        <f t="array" ref="AL25">_xlfn.XLOOKUP(C25,Dados!$C$3:$C$329,Dados!$AA$3:'Dados'!$AA$329,"")</f>
        <v>10.1839866416018</v>
      </c>
      <c r="AM25" s="43" cm="1">
        <f t="array" ref="AM25">_xlfn.XLOOKUP(C25,Dados!$C$3:$C$329,Dados!$AB$3:'Dados'!$AB$329,"")</f>
        <v>6.1834007736871701</v>
      </c>
      <c r="AN25" s="43" cm="1">
        <f t="array" ref="AN25">_xlfn.XLOOKUP(C25,Dados!$C$3:$C$329,Dados!$AC$3:'Dados'!$AC$329,"")</f>
        <v>4.4723642215730797</v>
      </c>
      <c r="AO25" s="82" cm="1">
        <f t="array" ref="AO25">_xlfn.XLOOKUP(C25,Dados!$C$3:$C$329,Dados!$AD$3:'Dados'!$AD$329,"")</f>
        <v>3.37370299034919</v>
      </c>
    </row>
    <row r="26" spans="1:41" ht="63.75" x14ac:dyDescent="0.25">
      <c r="A26" s="2">
        <v>152</v>
      </c>
      <c r="B26" s="18" t="s">
        <v>70</v>
      </c>
      <c r="C26" s="19" t="s">
        <v>71</v>
      </c>
      <c r="D26" s="19" t="s">
        <v>24</v>
      </c>
      <c r="E26" s="19" t="s">
        <v>21</v>
      </c>
      <c r="F26" s="72">
        <f>_xlfn.XLOOKUP(C26,Dados!$C$3:$C$329,Dados!$D$3:$D$329,"")</f>
        <v>29</v>
      </c>
      <c r="G26" s="86">
        <f>_xlfn.XLOOKUP(C26,Dados!$C$3:$C$329,Dados!$E$3:$E$329,"")</f>
        <v>368774</v>
      </c>
      <c r="H26" s="71">
        <f>_xlfn.XLOOKUP(C26,Dados!$C$3:$C$329,Dados!$F$3:$F$329,"")</f>
        <v>366492.33333333337</v>
      </c>
      <c r="I26" s="71">
        <f>_xlfn.XLOOKUP(C26,Dados!$C$3:$C$329,Dados!$G$3:$G$329,"")</f>
        <v>364210.66666666663</v>
      </c>
      <c r="J26" s="71">
        <f>_xlfn.XLOOKUP(C26,Dados!$C$3:$C$329,Dados!$H$3:$H$329,"")</f>
        <v>361929</v>
      </c>
      <c r="K26" s="71">
        <f>_xlfn.XLOOKUP(C26,Dados!$C$3:$C$329,Dados!$I$3:$I$329,"")</f>
        <v>358827</v>
      </c>
      <c r="L26" s="71">
        <f>_xlfn.XLOOKUP(C26,Dados!$C$3:$C$329,Dados!$J$3:$J$329,"")</f>
        <v>10</v>
      </c>
      <c r="M26" s="72" t="str">
        <f>_xlfn.XLOOKUP(C26,Dados!$C$3:$C$329,Dados!$K$3:$K$329,"")</f>
        <v>Sudeste</v>
      </c>
      <c r="N26" s="71">
        <f>_xlfn.XLOOKUP(C26,Dados!$C$3:$C$329,Dados!$L$3:$L$329,"")</f>
        <v>1</v>
      </c>
      <c r="O26" s="43">
        <f>_xlfn.XLOOKUP(C26,Dados!$C$3:$C$329,Dados!$M$3:$M$329,"")</f>
        <v>0.77885758137732797</v>
      </c>
      <c r="P26" s="43">
        <f>_xlfn.XLOOKUP(C26,Dados!$C$3:$C$329,Dados!$N$3:$N$329,"")</f>
        <v>0.76983161942904799</v>
      </c>
      <c r="Q26" s="43">
        <f>_xlfn.XLOOKUP(C26,Dados!$C$3:$C$329,Dados!$O$3:$O$329,"")</f>
        <v>0.73416605190520801</v>
      </c>
      <c r="R26" s="43">
        <f>_xlfn.XLOOKUP(C26,Dados!$C$3:$C$329,Dados!$P$3:$P$329,"")</f>
        <v>0.71164230868914502</v>
      </c>
      <c r="S26" s="43">
        <f>_xlfn.XLOOKUP(C26,Dados!$C$3:$C$329,Dados!$Q$3:$Q$329,"")</f>
        <v>0.84992466539511902</v>
      </c>
      <c r="T26" s="43">
        <f>_xlfn.XLOOKUP(C26,Dados!$C$3:$C$329,Dados!$R$3:$R$329,"")</f>
        <v>0.91913871266812597</v>
      </c>
      <c r="U26" s="43">
        <f>_xlfn.XLOOKUP(C26,Dados!$C$3:$C$329,Dados!$S$3:$S$329,"")</f>
        <v>0.96979795411446901</v>
      </c>
      <c r="V26" s="77">
        <f>_xlfn.XLOOKUP(C26,Dados!$C$3:$C$329,Dados!$T$3:$T$329,"")</f>
        <v>1941.4016006551401</v>
      </c>
      <c r="W26" s="77">
        <f>_xlfn.XLOOKUP(C26,Dados!$C$3:$C$329,Dados!$U$3:$U$329,"")</f>
        <v>1591.6830922884201</v>
      </c>
      <c r="X26" s="77">
        <f>_xlfn.XLOOKUP(C26,Dados!$C$3:$C$329,Dados!$V$3:$V$329,"")</f>
        <v>1376.6617665874701</v>
      </c>
      <c r="Y26" s="77">
        <f>_xlfn.XLOOKUP(C26,Dados!$C$3:$C$329,Dados!$W$3:$W$329,"")</f>
        <v>1144.77888654957</v>
      </c>
      <c r="Z26" s="77">
        <f>_xlfn.XLOOKUP(C26,Dados!$C$3:$C$329,Dados!$X$3:$X$329,"")</f>
        <v>1036.1580901938801</v>
      </c>
      <c r="AA26" s="20"/>
      <c r="AB26" s="20"/>
      <c r="AC26" s="20"/>
      <c r="AD26" s="20"/>
      <c r="AE26" s="80"/>
      <c r="AF26" s="43">
        <v>0.11093600779148143</v>
      </c>
      <c r="AG26" s="43">
        <v>0.27486222537716271</v>
      </c>
      <c r="AH26" s="43">
        <v>0.27357339202002745</v>
      </c>
      <c r="AI26" s="43">
        <v>0.28884175844521232</v>
      </c>
      <c r="AJ26" s="43">
        <v>0</v>
      </c>
      <c r="AK26" s="43" cm="1">
        <f t="array" ref="AK26">_xlfn.XLOOKUP(C26,Dados!$C$3:$C$329,Dados!$Z$3:'Dados'!$Z$329,"")</f>
        <v>11.2466063225715</v>
      </c>
      <c r="AL26" s="43" cm="1">
        <f t="array" ref="AL26">_xlfn.XLOOKUP(C26,Dados!$C$3:$C$329,Dados!$AA$3:'Dados'!$AA$329,"")</f>
        <v>9.2002060979902307</v>
      </c>
      <c r="AM26" s="43" cm="1">
        <f t="array" ref="AM26">_xlfn.XLOOKUP(C26,Dados!$C$3:$C$329,Dados!$AB$3:'Dados'!$AB$329,"")</f>
        <v>9.4035027346810303</v>
      </c>
      <c r="AN26" s="43" cm="1">
        <f t="array" ref="AN26">_xlfn.XLOOKUP(C26,Dados!$C$3:$C$329,Dados!$AC$3:'Dados'!$AC$329,"")</f>
        <v>8.7458672833622106</v>
      </c>
      <c r="AO26" s="82" cm="1">
        <f t="array" ref="AO26">_xlfn.XLOOKUP(C26,Dados!$C$3:$C$329,Dados!$AD$3:'Dados'!$AD$329,"")</f>
        <v>5.7198092674185599</v>
      </c>
    </row>
    <row r="27" spans="1:41" ht="63.75" x14ac:dyDescent="0.25">
      <c r="A27" s="2">
        <v>157</v>
      </c>
      <c r="B27" s="18" t="s">
        <v>72</v>
      </c>
      <c r="C27" s="19" t="s">
        <v>73</v>
      </c>
      <c r="D27" s="19" t="s">
        <v>24</v>
      </c>
      <c r="E27" s="19" t="s">
        <v>21</v>
      </c>
      <c r="F27" s="72">
        <f>_xlfn.XLOOKUP(C27,Dados!$C$3:$C$329,Dados!$D$3:$D$329,"")</f>
        <v>29</v>
      </c>
      <c r="G27" s="86">
        <f>_xlfn.XLOOKUP(C27,Dados!$C$3:$C$329,Dados!$E$3:$E$329,"")</f>
        <v>270752</v>
      </c>
      <c r="H27" s="71">
        <f>_xlfn.XLOOKUP(C27,Dados!$C$3:$C$329,Dados!$F$3:$F$329,"")</f>
        <v>274237.00000000006</v>
      </c>
      <c r="I27" s="71">
        <f>_xlfn.XLOOKUP(C27,Dados!$C$3:$C$329,Dados!$G$3:$G$329,"")</f>
        <v>277721.99999999994</v>
      </c>
      <c r="J27" s="71">
        <f>_xlfn.XLOOKUP(C27,Dados!$C$3:$C$329,Dados!$H$3:$H$329,"")</f>
        <v>281207</v>
      </c>
      <c r="K27" s="71">
        <f>_xlfn.XLOOKUP(C27,Dados!$C$3:$C$329,Dados!$I$3:$I$329,"")</f>
        <v>280685</v>
      </c>
      <c r="L27" s="71">
        <f>_xlfn.XLOOKUP(C27,Dados!$C$3:$C$329,Dados!$J$3:$J$329,"")</f>
        <v>23</v>
      </c>
      <c r="M27" s="72" t="str">
        <f>_xlfn.XLOOKUP(C27,Dados!$C$3:$C$329,Dados!$K$3:$K$329,"")</f>
        <v>Sudeste</v>
      </c>
      <c r="N27" s="71">
        <f>_xlfn.XLOOKUP(C27,Dados!$C$3:$C$329,Dados!$L$3:$L$329,"")</f>
        <v>2</v>
      </c>
      <c r="O27" s="43">
        <f>_xlfn.XLOOKUP(C27,Dados!$C$3:$C$329,Dados!$M$3:$M$329,"")</f>
        <v>0.64441070230007802</v>
      </c>
      <c r="P27" s="43">
        <f>_xlfn.XLOOKUP(C27,Dados!$C$3:$C$329,Dados!$N$3:$N$329,"")</f>
        <v>0.628704962636498</v>
      </c>
      <c r="Q27" s="43">
        <f>_xlfn.XLOOKUP(C27,Dados!$C$3:$C$329,Dados!$O$3:$O$329,"")</f>
        <v>0.58040710793116801</v>
      </c>
      <c r="R27" s="43">
        <f>_xlfn.XLOOKUP(C27,Dados!$C$3:$C$329,Dados!$P$3:$P$329,"")</f>
        <v>0.57950651940787701</v>
      </c>
      <c r="S27" s="43">
        <f>_xlfn.XLOOKUP(C27,Dados!$C$3:$C$329,Dados!$Q$3:$Q$329,"")</f>
        <v>0.610114684948738</v>
      </c>
      <c r="T27" s="43">
        <f>_xlfn.XLOOKUP(C27,Dados!$C$3:$C$329,Dados!$R$3:$R$329,"")</f>
        <v>0.74769190365425398</v>
      </c>
      <c r="U27" s="43">
        <f>_xlfn.XLOOKUP(C27,Dados!$C$3:$C$329,Dados!$S$3:$S$329,"")</f>
        <v>0.749205387281766</v>
      </c>
      <c r="V27" s="77">
        <f>_xlfn.XLOOKUP(C27,Dados!$C$3:$C$329,Dados!$T$3:$T$329,"")</f>
        <v>2319.5202106725001</v>
      </c>
      <c r="W27" s="77">
        <f>_xlfn.XLOOKUP(C27,Dados!$C$3:$C$329,Dados!$U$3:$U$329,"")</f>
        <v>1906.98293783601</v>
      </c>
      <c r="X27" s="77">
        <f>_xlfn.XLOOKUP(C27,Dados!$C$3:$C$329,Dados!$V$3:$V$329,"")</f>
        <v>1490.8746065610001</v>
      </c>
      <c r="Y27" s="77">
        <f>_xlfn.XLOOKUP(C27,Dados!$C$3:$C$329,Dados!$W$3:$W$329,"")</f>
        <v>1215.9935909134499</v>
      </c>
      <c r="Z27" s="77">
        <f>_xlfn.XLOOKUP(C27,Dados!$C$3:$C$329,Dados!$X$3:$X$329,"")</f>
        <v>1094.86833528689</v>
      </c>
      <c r="AA27" s="20"/>
      <c r="AB27" s="20"/>
      <c r="AC27" s="20"/>
      <c r="AD27" s="20"/>
      <c r="AE27" s="80"/>
      <c r="AF27" s="43">
        <v>0.20349980146959659</v>
      </c>
      <c r="AG27" s="43">
        <v>0.17868442071545962</v>
      </c>
      <c r="AH27" s="43">
        <v>0.23588136376736249</v>
      </c>
      <c r="AI27" s="43">
        <v>0.30377561195204006</v>
      </c>
      <c r="AJ27" s="43" t="e">
        <v>#DIV/0!</v>
      </c>
      <c r="AK27" s="43" cm="1">
        <f t="array" ref="AK27">_xlfn.XLOOKUP(C27,Dados!$C$3:$C$329,Dados!$Z$3:'Dados'!$Z$329,"")</f>
        <v>14.6960354863491</v>
      </c>
      <c r="AL27" s="43" cm="1">
        <f t="array" ref="AL27">_xlfn.XLOOKUP(C27,Dados!$C$3:$C$329,Dados!$AA$3:'Dados'!$AA$329,"")</f>
        <v>11.1781269485883</v>
      </c>
      <c r="AM27" s="43" cm="1">
        <f t="array" ref="AM27">_xlfn.XLOOKUP(C27,Dados!$C$3:$C$329,Dados!$AB$3:'Dados'!$AB$329,"")</f>
        <v>8.0800980836952103</v>
      </c>
      <c r="AN27" s="43" cm="1">
        <f t="array" ref="AN27">_xlfn.XLOOKUP(C27,Dados!$C$3:$C$329,Dados!$AC$3:'Dados'!$AC$329,"")</f>
        <v>4.1731429160725</v>
      </c>
      <c r="AO27" s="82" cm="1">
        <f t="array" ref="AO27">_xlfn.XLOOKUP(C27,Dados!$C$3:$C$329,Dados!$AD$3:'Dados'!$AD$329,"")</f>
        <v>3.5762188930651799</v>
      </c>
    </row>
    <row r="28" spans="1:41" ht="51" x14ac:dyDescent="0.25">
      <c r="A28" s="2">
        <v>162</v>
      </c>
      <c r="B28" s="18" t="s">
        <v>74</v>
      </c>
      <c r="C28" s="19" t="s">
        <v>75</v>
      </c>
      <c r="D28" s="19" t="s">
        <v>24</v>
      </c>
      <c r="E28" s="19" t="s">
        <v>21</v>
      </c>
      <c r="F28" s="72">
        <f>_xlfn.XLOOKUP(C28,Dados!$C$3:$C$329,Dados!$D$3:$D$329,"")</f>
        <v>28</v>
      </c>
      <c r="G28" s="86">
        <f>_xlfn.XLOOKUP(C28,Dados!$C$3:$C$329,Dados!$E$3:$E$329,"")</f>
        <v>230175</v>
      </c>
      <c r="H28" s="71">
        <f>_xlfn.XLOOKUP(C28,Dados!$C$3:$C$329,Dados!$F$3:$F$329,"")</f>
        <v>231640.66666666666</v>
      </c>
      <c r="I28" s="71">
        <f>_xlfn.XLOOKUP(C28,Dados!$C$3:$C$329,Dados!$G$3:$G$329,"")</f>
        <v>233106.33333333334</v>
      </c>
      <c r="J28" s="71">
        <f>_xlfn.XLOOKUP(C28,Dados!$C$3:$C$329,Dados!$H$3:$H$329,"")</f>
        <v>234572</v>
      </c>
      <c r="K28" s="71">
        <f>_xlfn.XLOOKUP(C28,Dados!$C$3:$C$329,Dados!$I$3:$I$329,"")</f>
        <v>233173</v>
      </c>
      <c r="L28" s="71">
        <f>_xlfn.XLOOKUP(C28,Dados!$C$3:$C$329,Dados!$J$3:$J$329,"")</f>
        <v>12</v>
      </c>
      <c r="M28" s="72" t="str">
        <f>_xlfn.XLOOKUP(C28,Dados!$C$3:$C$329,Dados!$K$3:$K$329,"")</f>
        <v>Sudeste</v>
      </c>
      <c r="N28" s="71">
        <f>_xlfn.XLOOKUP(C28,Dados!$C$3:$C$329,Dados!$L$3:$L$329,"")</f>
        <v>2</v>
      </c>
      <c r="O28" s="43">
        <f>_xlfn.XLOOKUP(C28,Dados!$C$3:$C$329,Dados!$M$3:$M$329,"")</f>
        <v>0.68661900299601997</v>
      </c>
      <c r="P28" s="43">
        <f>_xlfn.XLOOKUP(C28,Dados!$C$3:$C$329,Dados!$N$3:$N$329,"")</f>
        <v>0.66695831029901997</v>
      </c>
      <c r="Q28" s="43">
        <f>_xlfn.XLOOKUP(C28,Dados!$C$3:$C$329,Dados!$O$3:$O$329,"")</f>
        <v>0.64857725559742896</v>
      </c>
      <c r="R28" s="43">
        <f>_xlfn.XLOOKUP(C28,Dados!$C$3:$C$329,Dados!$P$3:$P$329,"")</f>
        <v>0.63546306347647497</v>
      </c>
      <c r="S28" s="43">
        <f>_xlfn.XLOOKUP(C28,Dados!$C$3:$C$329,Dados!$Q$3:$Q$329,"")</f>
        <v>0.70716851622792998</v>
      </c>
      <c r="T28" s="43">
        <f>_xlfn.XLOOKUP(C28,Dados!$C$3:$C$329,Dados!$R$3:$R$329,"")</f>
        <v>0.82969140006205999</v>
      </c>
      <c r="U28" s="43">
        <f>_xlfn.XLOOKUP(C28,Dados!$C$3:$C$329,Dados!$S$3:$S$329,"")</f>
        <v>0.88885121167879</v>
      </c>
      <c r="V28" s="77">
        <f>_xlfn.XLOOKUP(C28,Dados!$C$3:$C$329,Dados!$T$3:$T$329,"")</f>
        <v>2900.3827829694801</v>
      </c>
      <c r="W28" s="77">
        <f>_xlfn.XLOOKUP(C28,Dados!$C$3:$C$329,Dados!$U$3:$U$329,"")</f>
        <v>2354.1451497866001</v>
      </c>
      <c r="X28" s="77">
        <f>_xlfn.XLOOKUP(C28,Dados!$C$3:$C$329,Dados!$V$3:$V$329,"")</f>
        <v>2044.3531318325399</v>
      </c>
      <c r="Y28" s="77">
        <f>_xlfn.XLOOKUP(C28,Dados!$C$3:$C$329,Dados!$W$3:$W$329,"")</f>
        <v>1637.0473651586699</v>
      </c>
      <c r="Z28" s="77">
        <f>_xlfn.XLOOKUP(C28,Dados!$C$3:$C$329,Dados!$X$3:$X$329,"")</f>
        <v>1580.1125144420701</v>
      </c>
      <c r="AA28" s="20"/>
      <c r="AB28" s="20"/>
      <c r="AC28" s="20"/>
      <c r="AD28" s="20"/>
      <c r="AE28" s="80"/>
      <c r="AF28" s="43" t="e">
        <v>#DIV/0!</v>
      </c>
      <c r="AG28" s="43" t="e">
        <v>#DIV/0!</v>
      </c>
      <c r="AH28" s="43" t="e">
        <v>#DIV/0!</v>
      </c>
      <c r="AI28" s="43">
        <v>0.12731290592313566</v>
      </c>
      <c r="AJ28" s="43">
        <v>0.15021077564550692</v>
      </c>
      <c r="AK28" s="43" cm="1">
        <f t="array" ref="AK28">_xlfn.XLOOKUP(C28,Dados!$C$3:$C$329,Dados!$Z$3:'Dados'!$Z$329,"")</f>
        <v>12.615531660693</v>
      </c>
      <c r="AL28" s="43" cm="1">
        <f t="array" ref="AL28">_xlfn.XLOOKUP(C28,Dados!$C$3:$C$329,Dados!$AA$3:'Dados'!$AA$329,"")</f>
        <v>9.6346942534557805</v>
      </c>
      <c r="AM28" s="43" cm="1">
        <f t="array" ref="AM28">_xlfn.XLOOKUP(C28,Dados!$C$3:$C$329,Dados!$AB$3:'Dados'!$AB$329,"")</f>
        <v>8.60220729023521</v>
      </c>
      <c r="AN28" s="43" cm="1">
        <f t="array" ref="AN28">_xlfn.XLOOKUP(C28,Dados!$C$3:$C$329,Dados!$AC$3:'Dados'!$AC$329,"")</f>
        <v>6.2488915983152298</v>
      </c>
      <c r="AO28" s="82" cm="1">
        <f t="array" ref="AO28">_xlfn.XLOOKUP(C28,Dados!$C$3:$C$329,Dados!$AD$3:'Dados'!$AD$329,"")</f>
        <v>5.2142229160323001</v>
      </c>
    </row>
    <row r="29" spans="1:41" ht="89.25" x14ac:dyDescent="0.25">
      <c r="A29" s="2">
        <v>165</v>
      </c>
      <c r="B29" s="18" t="s">
        <v>76</v>
      </c>
      <c r="C29" s="19" t="s">
        <v>77</v>
      </c>
      <c r="D29" s="19" t="s">
        <v>24</v>
      </c>
      <c r="E29" s="19" t="s">
        <v>21</v>
      </c>
      <c r="F29" s="72">
        <f>_xlfn.XLOOKUP(C29,Dados!$C$3:$C$329,Dados!$D$3:$D$329,"")</f>
        <v>28</v>
      </c>
      <c r="G29" s="86">
        <f>_xlfn.XLOOKUP(C29,Dados!$C$3:$C$329,Dados!$E$3:$E$329,"")</f>
        <v>683026</v>
      </c>
      <c r="H29" s="71">
        <f>_xlfn.XLOOKUP(C29,Dados!$C$3:$C$329,Dados!$F$3:$F$329,"")</f>
        <v>684443.99999999988</v>
      </c>
      <c r="I29" s="71">
        <f>_xlfn.XLOOKUP(C29,Dados!$C$3:$C$329,Dados!$G$3:$G$329,"")</f>
        <v>685862.00000000012</v>
      </c>
      <c r="J29" s="71">
        <f>_xlfn.XLOOKUP(C29,Dados!$C$3:$C$329,Dados!$H$3:$H$329,"")</f>
        <v>687280</v>
      </c>
      <c r="K29" s="71">
        <f>_xlfn.XLOOKUP(C29,Dados!$C$3:$C$329,Dados!$I$3:$I$329,"")</f>
        <v>684998</v>
      </c>
      <c r="L29" s="71">
        <f>_xlfn.XLOOKUP(C29,Dados!$C$3:$C$329,Dados!$J$3:$J$329,"")</f>
        <v>39</v>
      </c>
      <c r="M29" s="72" t="str">
        <f>_xlfn.XLOOKUP(C29,Dados!$C$3:$C$329,Dados!$K$3:$K$329,"")</f>
        <v>Sudeste</v>
      </c>
      <c r="N29" s="71">
        <f>_xlfn.XLOOKUP(C29,Dados!$C$3:$C$329,Dados!$L$3:$L$329,"")</f>
        <v>1</v>
      </c>
      <c r="O29" s="43">
        <f>_xlfn.XLOOKUP(C29,Dados!$C$3:$C$329,Dados!$M$3:$M$329,"")</f>
        <v>0.70805845601198403</v>
      </c>
      <c r="P29" s="43">
        <f>_xlfn.XLOOKUP(C29,Dados!$C$3:$C$329,Dados!$N$3:$N$329,"")</f>
        <v>0.68303773985631699</v>
      </c>
      <c r="Q29" s="43">
        <f>_xlfn.XLOOKUP(C29,Dados!$C$3:$C$329,Dados!$O$3:$O$329,"")</f>
        <v>0.65818100192061502</v>
      </c>
      <c r="R29" s="43">
        <f>_xlfn.XLOOKUP(C29,Dados!$C$3:$C$329,Dados!$P$3:$P$329,"")</f>
        <v>0.63563222505759098</v>
      </c>
      <c r="S29" s="43">
        <f>_xlfn.XLOOKUP(C29,Dados!$C$3:$C$329,Dados!$Q$3:$Q$329,"")</f>
        <v>0.81494275704636399</v>
      </c>
      <c r="T29" s="43">
        <f>_xlfn.XLOOKUP(C29,Dados!$C$3:$C$329,Dados!$R$3:$R$329,"")</f>
        <v>0.805806058264393</v>
      </c>
      <c r="U29" s="43">
        <f>_xlfn.XLOOKUP(C29,Dados!$C$3:$C$329,Dados!$S$3:$S$329,"")</f>
        <v>0.92920405280751295</v>
      </c>
      <c r="V29" s="77">
        <f>_xlfn.XLOOKUP(C29,Dados!$C$3:$C$329,Dados!$T$3:$T$329,"")</f>
        <v>1868.7059118100899</v>
      </c>
      <c r="W29" s="77">
        <f>_xlfn.XLOOKUP(C29,Dados!$C$3:$C$329,Dados!$U$3:$U$329,"")</f>
        <v>1646.5126027062399</v>
      </c>
      <c r="X29" s="77">
        <f>_xlfn.XLOOKUP(C29,Dados!$C$3:$C$329,Dados!$V$3:$V$329,"")</f>
        <v>1365.4587657867</v>
      </c>
      <c r="Y29" s="77">
        <f>_xlfn.XLOOKUP(C29,Dados!$C$3:$C$329,Dados!$W$3:$W$329,"")</f>
        <v>1154.3838953992599</v>
      </c>
      <c r="Z29" s="77">
        <f>_xlfn.XLOOKUP(C29,Dados!$C$3:$C$329,Dados!$X$3:$X$329,"")</f>
        <v>1061.28598391528</v>
      </c>
      <c r="AA29" s="20"/>
      <c r="AB29" s="20"/>
      <c r="AC29" s="20"/>
      <c r="AD29" s="20"/>
      <c r="AE29" s="80"/>
      <c r="AF29" s="43">
        <v>0.99476038455524329</v>
      </c>
      <c r="AG29" s="43" t="e">
        <v>#DIV/0!</v>
      </c>
      <c r="AH29" s="43" t="e">
        <v>#DIV/0!</v>
      </c>
      <c r="AI29" s="43" t="e">
        <v>#DIV/0!</v>
      </c>
      <c r="AJ29" s="43" t="e">
        <v>#DIV/0!</v>
      </c>
      <c r="AK29" s="43" cm="1">
        <f t="array" ref="AK29">_xlfn.XLOOKUP(C29,Dados!$C$3:$C$329,Dados!$Z$3:'Dados'!$Z$329,"")</f>
        <v>15.172933387601599</v>
      </c>
      <c r="AL29" s="43" cm="1">
        <f t="array" ref="AL29">_xlfn.XLOOKUP(C29,Dados!$C$3:$C$329,Dados!$AA$3:'Dados'!$AA$329,"")</f>
        <v>12.2960607441953</v>
      </c>
      <c r="AM29" s="43" cm="1">
        <f t="array" ref="AM29">_xlfn.XLOOKUP(C29,Dados!$C$3:$C$329,Dados!$AB$3:'Dados'!$AB$329,"")</f>
        <v>9.8955722871364795</v>
      </c>
      <c r="AN29" s="43" cm="1">
        <f t="array" ref="AN29">_xlfn.XLOOKUP(C29,Dados!$C$3:$C$329,Dados!$AC$3:'Dados'!$AC$329,"")</f>
        <v>7.2297768013036903</v>
      </c>
      <c r="AO29" s="82" cm="1">
        <f t="array" ref="AO29">_xlfn.XLOOKUP(C29,Dados!$C$3:$C$329,Dados!$AD$3:'Dados'!$AD$329,"")</f>
        <v>7.1178105629505497</v>
      </c>
    </row>
    <row r="30" spans="1:41" ht="51" x14ac:dyDescent="0.25">
      <c r="A30" s="2">
        <v>169</v>
      </c>
      <c r="B30" s="18" t="s">
        <v>78</v>
      </c>
      <c r="C30" s="19" t="s">
        <v>79</v>
      </c>
      <c r="D30" s="19" t="s">
        <v>24</v>
      </c>
      <c r="E30" s="19" t="s">
        <v>21</v>
      </c>
      <c r="F30" s="72">
        <f>_xlfn.XLOOKUP(C30,Dados!$C$3:$C$329,Dados!$D$3:$D$329,"")</f>
        <v>28</v>
      </c>
      <c r="G30" s="86">
        <f>_xlfn.XLOOKUP(C30,Dados!$C$3:$C$329,Dados!$E$3:$E$329,"")</f>
        <v>130500</v>
      </c>
      <c r="H30" s="71">
        <f>_xlfn.XLOOKUP(C30,Dados!$C$3:$C$329,Dados!$F$3:$F$329,"")</f>
        <v>130293.33333333333</v>
      </c>
      <c r="I30" s="71">
        <f>_xlfn.XLOOKUP(C30,Dados!$C$3:$C$329,Dados!$G$3:$G$329,"")</f>
        <v>130086.66666666667</v>
      </c>
      <c r="J30" s="71">
        <f>_xlfn.XLOOKUP(C30,Dados!$C$3:$C$329,Dados!$H$3:$H$329,"")</f>
        <v>129880</v>
      </c>
      <c r="K30" s="71">
        <f>_xlfn.XLOOKUP(C30,Dados!$C$3:$C$329,Dados!$I$3:$I$329,"")</f>
        <v>129447</v>
      </c>
      <c r="L30" s="71">
        <f>_xlfn.XLOOKUP(C30,Dados!$C$3:$C$329,Dados!$J$3:$J$329,"")</f>
        <v>16</v>
      </c>
      <c r="M30" s="72" t="str">
        <f>_xlfn.XLOOKUP(C30,Dados!$C$3:$C$329,Dados!$K$3:$K$329,"")</f>
        <v>Sudeste</v>
      </c>
      <c r="N30" s="71">
        <f>_xlfn.XLOOKUP(C30,Dados!$C$3:$C$329,Dados!$L$3:$L$329,"")</f>
        <v>3</v>
      </c>
      <c r="O30" s="43">
        <f>_xlfn.XLOOKUP(C30,Dados!$C$3:$C$329,Dados!$M$3:$M$329,"")</f>
        <v>0.63008828643061798</v>
      </c>
      <c r="P30" s="43">
        <f>_xlfn.XLOOKUP(C30,Dados!$C$3:$C$329,Dados!$N$3:$N$329,"")</f>
        <v>0.60778838389791401</v>
      </c>
      <c r="Q30" s="43">
        <f>_xlfn.XLOOKUP(C30,Dados!$C$3:$C$329,Dados!$O$3:$O$329,"")</f>
        <v>0.58346537650138597</v>
      </c>
      <c r="R30" s="43">
        <f>_xlfn.XLOOKUP(C30,Dados!$C$3:$C$329,Dados!$P$3:$P$329,"")</f>
        <v>0.56169344751133699</v>
      </c>
      <c r="S30" s="43">
        <f>_xlfn.XLOOKUP(C30,Dados!$C$3:$C$329,Dados!$Q$3:$Q$329,"")</f>
        <v>0.73666017347409396</v>
      </c>
      <c r="T30" s="43">
        <f>_xlfn.XLOOKUP(C30,Dados!$C$3:$C$329,Dados!$R$3:$R$329,"")</f>
        <v>0.86356583277814802</v>
      </c>
      <c r="U30" s="43">
        <f>_xlfn.XLOOKUP(C30,Dados!$C$3:$C$329,Dados!$S$3:$S$329,"")</f>
        <v>0.93980267847076304</v>
      </c>
      <c r="V30" s="77">
        <f>_xlfn.XLOOKUP(C30,Dados!$C$3:$C$329,Dados!$T$3:$T$329,"")</f>
        <v>1729.1996838314201</v>
      </c>
      <c r="W30" s="77">
        <f>_xlfn.XLOOKUP(C30,Dados!$C$3:$C$329,Dados!$U$3:$U$329,"")</f>
        <v>1406.4777080178101</v>
      </c>
      <c r="X30" s="77">
        <f>_xlfn.XLOOKUP(C30,Dados!$C$3:$C$329,Dados!$V$3:$V$329,"")</f>
        <v>1162.1985532721801</v>
      </c>
      <c r="Y30" s="77">
        <f>_xlfn.XLOOKUP(C30,Dados!$C$3:$C$329,Dados!$W$3:$W$329,"")</f>
        <v>927.08776639975304</v>
      </c>
      <c r="Z30" s="77">
        <f>_xlfn.XLOOKUP(C30,Dados!$C$3:$C$329,Dados!$X$3:$X$329,"")</f>
        <v>863.38071735922802</v>
      </c>
      <c r="AA30" s="20"/>
      <c r="AB30" s="20"/>
      <c r="AC30" s="20"/>
      <c r="AD30" s="20"/>
      <c r="AE30" s="80"/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 cm="1">
        <f t="array" ref="AK30">_xlfn.XLOOKUP(C30,Dados!$C$3:$C$329,Dados!$Z$3:'Dados'!$Z$329,"")</f>
        <v>14.473226053639801</v>
      </c>
      <c r="AL30" s="43" cm="1">
        <f t="array" ref="AL30">_xlfn.XLOOKUP(C30,Dados!$C$3:$C$329,Dados!$AA$3:'Dados'!$AA$329,"")</f>
        <v>10.912054850593501</v>
      </c>
      <c r="AM30" s="43" cm="1">
        <f t="array" ref="AM30">_xlfn.XLOOKUP(C30,Dados!$C$3:$C$329,Dados!$AB$3:'Dados'!$AB$329,"")</f>
        <v>7.3104878798749597</v>
      </c>
      <c r="AN30" s="43" cm="1">
        <f t="array" ref="AN30">_xlfn.XLOOKUP(C30,Dados!$C$3:$C$329,Dados!$AC$3:'Dados'!$AC$329,"")</f>
        <v>4.7804819833692598</v>
      </c>
      <c r="AO30" s="82" cm="1">
        <f t="array" ref="AO30">_xlfn.XLOOKUP(C30,Dados!$C$3:$C$329,Dados!$AD$3:'Dados'!$AD$329,"")</f>
        <v>6.4971069240693096</v>
      </c>
    </row>
    <row r="31" spans="1:41" ht="51" x14ac:dyDescent="0.25">
      <c r="A31" s="2">
        <v>172</v>
      </c>
      <c r="B31" s="18" t="s">
        <v>80</v>
      </c>
      <c r="C31" s="19" t="s">
        <v>81</v>
      </c>
      <c r="D31" s="19" t="s">
        <v>24</v>
      </c>
      <c r="E31" s="19" t="s">
        <v>21</v>
      </c>
      <c r="F31" s="72">
        <f>_xlfn.XLOOKUP(C31,Dados!$C$3:$C$329,Dados!$D$3:$D$329,"")</f>
        <v>27</v>
      </c>
      <c r="G31" s="86">
        <f>_xlfn.XLOOKUP(C31,Dados!$C$3:$C$329,Dados!$E$3:$E$329,"")</f>
        <v>292156</v>
      </c>
      <c r="H31" s="71">
        <f>_xlfn.XLOOKUP(C31,Dados!$C$3:$C$329,Dados!$F$3:$F$329,"")</f>
        <v>291086.66666666669</v>
      </c>
      <c r="I31" s="71">
        <f>_xlfn.XLOOKUP(C31,Dados!$C$3:$C$329,Dados!$G$3:$G$329,"")</f>
        <v>290017.33333333331</v>
      </c>
      <c r="J31" s="71">
        <f>_xlfn.XLOOKUP(C31,Dados!$C$3:$C$329,Dados!$H$3:$H$329,"")</f>
        <v>288948</v>
      </c>
      <c r="K31" s="71">
        <f>_xlfn.XLOOKUP(C31,Dados!$C$3:$C$329,Dados!$I$3:$I$329,"")</f>
        <v>287364</v>
      </c>
      <c r="L31" s="71">
        <f>_xlfn.XLOOKUP(C31,Dados!$C$3:$C$329,Dados!$J$3:$J$329,"")</f>
        <v>17</v>
      </c>
      <c r="M31" s="72" t="str">
        <f>_xlfn.XLOOKUP(C31,Dados!$C$3:$C$329,Dados!$K$3:$K$329,"")</f>
        <v>Sudeste</v>
      </c>
      <c r="N31" s="71">
        <f>_xlfn.XLOOKUP(C31,Dados!$C$3:$C$329,Dados!$L$3:$L$329,"")</f>
        <v>1</v>
      </c>
      <c r="O31" s="43">
        <f>_xlfn.XLOOKUP(C31,Dados!$C$3:$C$329,Dados!$M$3:$M$329,"")</f>
        <v>0.63722367519409995</v>
      </c>
      <c r="P31" s="43">
        <f>_xlfn.XLOOKUP(C31,Dados!$C$3:$C$329,Dados!$N$3:$N$329,"")</f>
        <v>0.622376731620639</v>
      </c>
      <c r="Q31" s="43">
        <f>_xlfn.XLOOKUP(C31,Dados!$C$3:$C$329,Dados!$O$3:$O$329,"")</f>
        <v>0.57861916746265796</v>
      </c>
      <c r="R31" s="43">
        <f>_xlfn.XLOOKUP(C31,Dados!$C$3:$C$329,Dados!$P$3:$P$329,"")</f>
        <v>0.56959917908993496</v>
      </c>
      <c r="S31" s="43">
        <f>_xlfn.XLOOKUP(C31,Dados!$C$3:$C$329,Dados!$Q$3:$Q$329,"")</f>
        <v>0.65824707270369998</v>
      </c>
      <c r="T31" s="43">
        <f>_xlfn.XLOOKUP(C31,Dados!$C$3:$C$329,Dados!$R$3:$R$329,"")</f>
        <v>0.71582824164532699</v>
      </c>
      <c r="U31" s="43">
        <f>_xlfn.XLOOKUP(C31,Dados!$C$3:$C$329,Dados!$S$3:$S$329,"")</f>
        <v>0.87703536144966099</v>
      </c>
      <c r="V31" s="77">
        <f>_xlfn.XLOOKUP(C31,Dados!$C$3:$C$329,Dados!$T$3:$T$329,"")</f>
        <v>1780.32555737346</v>
      </c>
      <c r="W31" s="77">
        <f>_xlfn.XLOOKUP(C31,Dados!$C$3:$C$329,Dados!$U$3:$U$329,"")</f>
        <v>1488.1972874630701</v>
      </c>
      <c r="X31" s="77">
        <f>_xlfn.XLOOKUP(C31,Dados!$C$3:$C$329,Dados!$V$3:$V$329,"")</f>
        <v>1288.4080706785301</v>
      </c>
      <c r="Y31" s="77">
        <f>_xlfn.XLOOKUP(C31,Dados!$C$3:$C$329,Dados!$W$3:$W$329,"")</f>
        <v>1055.10401695115</v>
      </c>
      <c r="Z31" s="77">
        <f>_xlfn.XLOOKUP(C31,Dados!$C$3:$C$329,Dados!$X$3:$X$329,"")</f>
        <v>964.62360027700095</v>
      </c>
      <c r="AA31" s="20"/>
      <c r="AB31" s="20"/>
      <c r="AC31" s="20"/>
      <c r="AD31" s="20"/>
      <c r="AE31" s="80"/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 cm="1">
        <f t="array" ref="AK31">_xlfn.XLOOKUP(C31,Dados!$C$3:$C$329,Dados!$Z$3:'Dados'!$Z$329,"")</f>
        <v>10.891818069798299</v>
      </c>
      <c r="AL31" s="43" cm="1">
        <f t="array" ref="AL31">_xlfn.XLOOKUP(C31,Dados!$C$3:$C$329,Dados!$AA$3:'Dados'!$AA$329,"")</f>
        <v>7.0122861461649402</v>
      </c>
      <c r="AM31" s="43" cm="1">
        <f t="array" ref="AM31">_xlfn.XLOOKUP(C31,Dados!$C$3:$C$329,Dados!$AB$3:'Dados'!$AB$329,"")</f>
        <v>4.9244056677072203</v>
      </c>
      <c r="AN31" s="43" cm="1">
        <f t="array" ref="AN31">_xlfn.XLOOKUP(C31,Dados!$C$3:$C$329,Dados!$AC$3:'Dados'!$AC$329,"")</f>
        <v>5.2949458033971499</v>
      </c>
      <c r="AO31" s="82" cm="1">
        <f t="array" ref="AO31">_xlfn.XLOOKUP(C31,Dados!$C$3:$C$329,Dados!$AD$3:'Dados'!$AD$329,"")</f>
        <v>5.2535042663659999</v>
      </c>
    </row>
    <row r="32" spans="1:41" ht="76.5" x14ac:dyDescent="0.25">
      <c r="A32" s="2">
        <v>181</v>
      </c>
      <c r="B32" s="18" t="s">
        <v>82</v>
      </c>
      <c r="C32" s="19" t="s">
        <v>83</v>
      </c>
      <c r="D32" s="19" t="s">
        <v>24</v>
      </c>
      <c r="E32" s="19" t="s">
        <v>21</v>
      </c>
      <c r="F32" s="72">
        <f>_xlfn.XLOOKUP(C32,Dados!$C$3:$C$329,Dados!$D$3:$D$329,"")</f>
        <v>29</v>
      </c>
      <c r="G32" s="86">
        <f>_xlfn.XLOOKUP(C32,Dados!$C$3:$C$329,Dados!$E$3:$E$329,"")</f>
        <v>207172</v>
      </c>
      <c r="H32" s="71">
        <f>_xlfn.XLOOKUP(C32,Dados!$C$3:$C$329,Dados!$F$3:$F$329,"")</f>
        <v>206875</v>
      </c>
      <c r="I32" s="71">
        <f>_xlfn.XLOOKUP(C32,Dados!$C$3:$C$329,Dados!$G$3:$G$329,"")</f>
        <v>206578</v>
      </c>
      <c r="J32" s="71">
        <f>_xlfn.XLOOKUP(C32,Dados!$C$3:$C$329,Dados!$H$3:$H$329,"")</f>
        <v>206281</v>
      </c>
      <c r="K32" s="71">
        <f>_xlfn.XLOOKUP(C32,Dados!$C$3:$C$329,Dados!$I$3:$I$329,"")</f>
        <v>205738</v>
      </c>
      <c r="L32" s="71">
        <f>_xlfn.XLOOKUP(C32,Dados!$C$3:$C$329,Dados!$J$3:$J$329,"")</f>
        <v>15</v>
      </c>
      <c r="M32" s="72" t="str">
        <f>_xlfn.XLOOKUP(C32,Dados!$C$3:$C$329,Dados!$K$3:$K$329,"")</f>
        <v>Sudeste</v>
      </c>
      <c r="N32" s="71">
        <f>_xlfn.XLOOKUP(C32,Dados!$C$3:$C$329,Dados!$L$3:$L$329,"")</f>
        <v>1</v>
      </c>
      <c r="O32" s="43">
        <f>_xlfn.XLOOKUP(C32,Dados!$C$3:$C$329,Dados!$M$3:$M$329,"")</f>
        <v>0.70540286420946596</v>
      </c>
      <c r="P32" s="43">
        <f>_xlfn.XLOOKUP(C32,Dados!$C$3:$C$329,Dados!$N$3:$N$329,"")</f>
        <v>0.69309041588810705</v>
      </c>
      <c r="Q32" s="43">
        <f>_xlfn.XLOOKUP(C32,Dados!$C$3:$C$329,Dados!$O$3:$O$329,"")</f>
        <v>0.65399731676693396</v>
      </c>
      <c r="R32" s="43">
        <f>_xlfn.XLOOKUP(C32,Dados!$C$3:$C$329,Dados!$P$3:$P$329,"")</f>
        <v>0.64581118558555095</v>
      </c>
      <c r="S32" s="43">
        <f>_xlfn.XLOOKUP(C32,Dados!$C$3:$C$329,Dados!$Q$3:$Q$329,"")</f>
        <v>0.74195701155657101</v>
      </c>
      <c r="T32" s="43">
        <f>_xlfn.XLOOKUP(C32,Dados!$C$3:$C$329,Dados!$R$3:$R$329,"")</f>
        <v>0.79174609687382003</v>
      </c>
      <c r="U32" s="43">
        <f>_xlfn.XLOOKUP(C32,Dados!$C$3:$C$329,Dados!$S$3:$S$329,"")</f>
        <v>0.98028489093708004</v>
      </c>
      <c r="V32" s="77">
        <f>_xlfn.XLOOKUP(C32,Dados!$C$3:$C$329,Dados!$T$3:$T$329,"")</f>
        <v>1796.7959177881201</v>
      </c>
      <c r="W32" s="77">
        <f>_xlfn.XLOOKUP(C32,Dados!$C$3:$C$329,Dados!$U$3:$U$329,"")</f>
        <v>1557.0036265377601</v>
      </c>
      <c r="X32" s="77">
        <f>_xlfn.XLOOKUP(C32,Dados!$C$3:$C$329,Dados!$V$3:$V$329,"")</f>
        <v>1341.52947867956</v>
      </c>
      <c r="Y32" s="77">
        <f>_xlfn.XLOOKUP(C32,Dados!$C$3:$C$329,Dados!$W$3:$W$329,"")</f>
        <v>1303.30444243532</v>
      </c>
      <c r="Z32" s="77">
        <f>_xlfn.XLOOKUP(C32,Dados!$C$3:$C$329,Dados!$X$3:$X$329,"")</f>
        <v>1044.8446667606399</v>
      </c>
      <c r="AA32" s="20"/>
      <c r="AB32" s="20"/>
      <c r="AC32" s="20"/>
      <c r="AD32" s="20"/>
      <c r="AE32" s="80"/>
      <c r="AF32" s="43">
        <v>5.4603772828291597E-2</v>
      </c>
      <c r="AG32" s="43">
        <v>5.5142449533919065E-2</v>
      </c>
      <c r="AH32" s="43">
        <v>8.8285397080980904E-2</v>
      </c>
      <c r="AI32" s="43">
        <v>0.1171378943558081</v>
      </c>
      <c r="AJ32" s="43">
        <v>0.14757400643403387</v>
      </c>
      <c r="AK32" s="43" cm="1">
        <f t="array" ref="AK32">_xlfn.XLOOKUP(C32,Dados!$C$3:$C$329,Dados!$Z$3:'Dados'!$Z$329,"")</f>
        <v>7.3622448979591804</v>
      </c>
      <c r="AL32" s="43" cm="1">
        <f t="array" ref="AL32">_xlfn.XLOOKUP(C32,Dados!$C$3:$C$329,Dados!$AA$3:'Dados'!$AA$329,"")</f>
        <v>6.6266731117824804</v>
      </c>
      <c r="AM32" s="43" cm="1">
        <f t="array" ref="AM32">_xlfn.XLOOKUP(C32,Dados!$C$3:$C$329,Dados!$AB$3:'Dados'!$AB$329,"")</f>
        <v>5.8216509018385301</v>
      </c>
      <c r="AN32" s="43" cm="1">
        <f t="array" ref="AN32">_xlfn.XLOOKUP(C32,Dados!$C$3:$C$329,Dados!$AC$3:'Dados'!$AC$329,"")</f>
        <v>5.00582700297167</v>
      </c>
      <c r="AO32" s="82" cm="1">
        <f t="array" ref="AO32">_xlfn.XLOOKUP(C32,Dados!$C$3:$C$329,Dados!$AD$3:'Dados'!$AD$329,"")</f>
        <v>3.99880430450379</v>
      </c>
    </row>
    <row r="33" spans="1:41" ht="63.75" x14ac:dyDescent="0.25">
      <c r="A33" s="2">
        <v>183</v>
      </c>
      <c r="B33" s="3" t="s">
        <v>84</v>
      </c>
      <c r="C33" s="19" t="s">
        <v>85</v>
      </c>
      <c r="D33" s="19" t="s">
        <v>24</v>
      </c>
      <c r="E33" s="19" t="s">
        <v>21</v>
      </c>
      <c r="F33" s="72">
        <f>_xlfn.XLOOKUP(C33,Dados!$C$3:$C$329,Dados!$D$3:$D$329,"")</f>
        <v>28</v>
      </c>
      <c r="G33" s="86">
        <f>_xlfn.XLOOKUP(C33,Dados!$C$3:$C$329,Dados!$E$3:$E$329,"")</f>
        <v>180449</v>
      </c>
      <c r="H33" s="71">
        <f>_xlfn.XLOOKUP(C33,Dados!$C$3:$C$329,Dados!$F$3:$F$329,"")</f>
        <v>180617</v>
      </c>
      <c r="I33" s="71">
        <f>_xlfn.XLOOKUP(C33,Dados!$C$3:$C$329,Dados!$G$3:$G$329,"")</f>
        <v>180785</v>
      </c>
      <c r="J33" s="71">
        <f>_xlfn.XLOOKUP(C33,Dados!$C$3:$C$329,Dados!$H$3:$H$329,"")</f>
        <v>180953</v>
      </c>
      <c r="K33" s="71">
        <f>_xlfn.XLOOKUP(C33,Dados!$C$3:$C$329,Dados!$I$3:$I$329,"")</f>
        <v>180989</v>
      </c>
      <c r="L33" s="71">
        <f>_xlfn.XLOOKUP(C33,Dados!$C$3:$C$329,Dados!$J$3:$J$329,"")</f>
        <v>27</v>
      </c>
      <c r="M33" s="72" t="str">
        <f>_xlfn.XLOOKUP(C33,Dados!$C$3:$C$329,Dados!$K$3:$K$329,"")</f>
        <v>Sudeste</v>
      </c>
      <c r="N33" s="71">
        <f>_xlfn.XLOOKUP(C33,Dados!$C$3:$C$329,Dados!$L$3:$L$329,"")</f>
        <v>1</v>
      </c>
      <c r="O33" s="43">
        <f>_xlfn.XLOOKUP(C33,Dados!$C$3:$C$329,Dados!$M$3:$M$329,"")</f>
        <v>0.61375795947594503</v>
      </c>
      <c r="P33" s="43">
        <f>_xlfn.XLOOKUP(C33,Dados!$C$3:$C$329,Dados!$N$3:$N$329,"")</f>
        <v>0.59853701173585605</v>
      </c>
      <c r="Q33" s="43">
        <f>_xlfn.XLOOKUP(C33,Dados!$C$3:$C$329,Dados!$O$3:$O$329,"")</f>
        <v>0.56549763032389599</v>
      </c>
      <c r="R33" s="43">
        <f>_xlfn.XLOOKUP(C33,Dados!$C$3:$C$329,Dados!$P$3:$P$329,"")</f>
        <v>0.55857393598506</v>
      </c>
      <c r="S33" s="43">
        <f>_xlfn.XLOOKUP(C33,Dados!$C$3:$C$329,Dados!$Q$3:$Q$329,"")</f>
        <v>0.68503113919849501</v>
      </c>
      <c r="T33" s="43">
        <f>_xlfn.XLOOKUP(C33,Dados!$C$3:$C$329,Dados!$R$3:$R$329,"")</f>
        <v>0.80391515999668095</v>
      </c>
      <c r="U33" s="43">
        <f>_xlfn.XLOOKUP(C33,Dados!$C$3:$C$329,Dados!$S$3:$S$329,"")</f>
        <v>0.93331011533036501</v>
      </c>
      <c r="V33" s="77">
        <f>_xlfn.XLOOKUP(C33,Dados!$C$3:$C$329,Dados!$T$3:$T$329,"")</f>
        <v>2122.5751349134698</v>
      </c>
      <c r="W33" s="77">
        <f>_xlfn.XLOOKUP(C33,Dados!$C$3:$C$329,Dados!$U$3:$U$329,"")</f>
        <v>1867.1791920103501</v>
      </c>
      <c r="X33" s="77">
        <f>_xlfn.XLOOKUP(C33,Dados!$C$3:$C$329,Dados!$V$3:$V$329,"")</f>
        <v>1643.11978899429</v>
      </c>
      <c r="Y33" s="77">
        <f>_xlfn.XLOOKUP(C33,Dados!$C$3:$C$329,Dados!$W$3:$W$329,"")</f>
        <v>1358.22996623433</v>
      </c>
      <c r="Z33" s="77">
        <f>_xlfn.XLOOKUP(C33,Dados!$C$3:$C$329,Dados!$X$3:$X$329,"")</f>
        <v>1124.6931473735999</v>
      </c>
      <c r="AA33" s="20"/>
      <c r="AB33" s="20"/>
      <c r="AC33" s="20"/>
      <c r="AD33" s="20"/>
      <c r="AE33" s="80"/>
      <c r="AF33" s="43">
        <v>0.26150561681511952</v>
      </c>
      <c r="AG33" s="43">
        <v>0.27399472190544394</v>
      </c>
      <c r="AH33" s="43">
        <v>0.27409184685254645</v>
      </c>
      <c r="AI33" s="43">
        <v>0.27117094917950224</v>
      </c>
      <c r="AJ33" s="43">
        <v>0.3440382145873031</v>
      </c>
      <c r="AK33" s="43" cm="1">
        <f t="array" ref="AK33">_xlfn.XLOOKUP(C33,Dados!$C$3:$C$329,Dados!$Z$3:'Dados'!$Z$329,"")</f>
        <v>6.8581649108612401</v>
      </c>
      <c r="AL33" s="43" cm="1">
        <f t="array" ref="AL33">_xlfn.XLOOKUP(C33,Dados!$C$3:$C$329,Dados!$AA$3:'Dados'!$AA$329,"")</f>
        <v>8.2970539871662101</v>
      </c>
      <c r="AM33" s="43" cm="1">
        <f t="array" ref="AM33">_xlfn.XLOOKUP(C33,Dados!$C$3:$C$329,Dados!$AB$3:'Dados'!$AB$329,"")</f>
        <v>4.4351356583787398</v>
      </c>
      <c r="AN33" s="43" cm="1">
        <f t="array" ref="AN33">_xlfn.XLOOKUP(C33,Dados!$C$3:$C$329,Dados!$AC$3:'Dados'!$AC$329,"")</f>
        <v>3.8624007338922302</v>
      </c>
      <c r="AO33" s="82" cm="1">
        <f t="array" ref="AO33">_xlfn.XLOOKUP(C33,Dados!$C$3:$C$329,Dados!$AD$3:'Dados'!$AD$329,"")</f>
        <v>3.7334699898888899</v>
      </c>
    </row>
    <row r="34" spans="1:41" ht="63.75" x14ac:dyDescent="0.25">
      <c r="A34" s="2">
        <v>234</v>
      </c>
      <c r="B34" s="18" t="s">
        <v>86</v>
      </c>
      <c r="C34" s="19" t="s">
        <v>87</v>
      </c>
      <c r="D34" s="19" t="s">
        <v>45</v>
      </c>
      <c r="E34" s="19" t="s">
        <v>21</v>
      </c>
      <c r="F34" s="72">
        <f>_xlfn.XLOOKUP(C34,Dados!$C$3:$C$329,Dados!$D$3:$D$329,"")</f>
        <v>7</v>
      </c>
      <c r="G34" s="86">
        <f>_xlfn.XLOOKUP(C34,Dados!$C$3:$C$329,Dados!$E$3:$E$329,"")</f>
        <v>136909</v>
      </c>
      <c r="H34" s="71">
        <f>_xlfn.XLOOKUP(C34,Dados!$C$3:$C$329,Dados!$F$3:$F$329,"")</f>
        <v>136301.33333333331</v>
      </c>
      <c r="I34" s="71">
        <f>_xlfn.XLOOKUP(C34,Dados!$C$3:$C$329,Dados!$G$3:$G$329,"")</f>
        <v>135693.66666666669</v>
      </c>
      <c r="J34" s="71">
        <f>_xlfn.XLOOKUP(C34,Dados!$C$3:$C$329,Dados!$H$3:$H$329,"")</f>
        <v>135086</v>
      </c>
      <c r="K34" s="71">
        <f>_xlfn.XLOOKUP(C34,Dados!$C$3:$C$329,Dados!$I$3:$I$329,"")</f>
        <v>134858</v>
      </c>
      <c r="L34" s="71">
        <f>_xlfn.XLOOKUP(C34,Dados!$C$3:$C$329,Dados!$J$3:$J$329,"")</f>
        <v>6</v>
      </c>
      <c r="M34" s="72" t="str">
        <f>_xlfn.XLOOKUP(C34,Dados!$C$3:$C$329,Dados!$K$3:$K$329,"")</f>
        <v>Sudeste</v>
      </c>
      <c r="N34" s="71">
        <f>_xlfn.XLOOKUP(C34,Dados!$C$3:$C$329,Dados!$L$3:$L$329,"")</f>
        <v>2</v>
      </c>
      <c r="O34" s="43">
        <f>_xlfn.XLOOKUP(C34,Dados!$C$3:$C$329,Dados!$M$3:$M$329,"")</f>
        <v>0.58278184170367597</v>
      </c>
      <c r="P34" s="43">
        <f>_xlfn.XLOOKUP(C34,Dados!$C$3:$C$329,Dados!$N$3:$N$329,"")</f>
        <v>0.57472587150960097</v>
      </c>
      <c r="Q34" s="43">
        <f>_xlfn.XLOOKUP(C34,Dados!$C$3:$C$329,Dados!$O$3:$O$329,"")</f>
        <v>0.53538214840916198</v>
      </c>
      <c r="R34" s="43">
        <f>_xlfn.XLOOKUP(C34,Dados!$C$3:$C$329,Dados!$P$3:$P$329,"")</f>
        <v>0.54142727016565595</v>
      </c>
      <c r="S34" s="43">
        <f>_xlfn.XLOOKUP(C34,Dados!$C$3:$C$329,Dados!$Q$3:$Q$329,"")</f>
        <v>0.63218507373225497</v>
      </c>
      <c r="T34" s="43">
        <f>_xlfn.XLOOKUP(C34,Dados!$C$3:$C$329,Dados!$R$3:$R$329,"")</f>
        <v>0.81377808003812502</v>
      </c>
      <c r="U34" s="43">
        <f>_xlfn.XLOOKUP(C34,Dados!$C$3:$C$329,Dados!$S$3:$S$329,"")</f>
        <v>0.90502717591830595</v>
      </c>
      <c r="V34" s="77">
        <f>_xlfn.XLOOKUP(C34,Dados!$C$3:$C$329,Dados!$T$3:$T$329,"")</f>
        <v>2839.4585840229602</v>
      </c>
      <c r="W34" s="77">
        <f>_xlfn.XLOOKUP(C34,Dados!$C$3:$C$329,Dados!$U$3:$U$329,"")</f>
        <v>2216.5255472433601</v>
      </c>
      <c r="X34" s="77">
        <f>_xlfn.XLOOKUP(C34,Dados!$C$3:$C$329,Dados!$V$3:$V$329,"")</f>
        <v>2159.4096411770602</v>
      </c>
      <c r="Y34" s="77">
        <f>_xlfn.XLOOKUP(C34,Dados!$C$3:$C$329,Dados!$W$3:$W$329,"")</f>
        <v>1618.2259665694401</v>
      </c>
      <c r="Z34" s="77">
        <f>_xlfn.XLOOKUP(C34,Dados!$C$3:$C$329,Dados!$X$3:$X$329,"")</f>
        <v>1384.6226745910501</v>
      </c>
      <c r="AA34" s="20"/>
      <c r="AB34" s="20"/>
      <c r="AC34" s="20"/>
      <c r="AD34" s="20"/>
      <c r="AE34" s="80"/>
      <c r="AF34" s="43">
        <v>0</v>
      </c>
      <c r="AG34" s="43">
        <v>0</v>
      </c>
      <c r="AH34" s="43">
        <v>0</v>
      </c>
      <c r="AI34" s="43" t="e">
        <v>#DIV/0!</v>
      </c>
      <c r="AJ34" s="43" t="e">
        <v>#DIV/0!</v>
      </c>
      <c r="AK34" s="43" cm="1">
        <f t="array" ref="AK34">_xlfn.XLOOKUP(C34,Dados!$C$3:$C$329,Dados!$Z$3:'Dados'!$Z$329,"")</f>
        <v>21.666617972521902</v>
      </c>
      <c r="AL34" s="43" cm="1">
        <f t="array" ref="AL34">_xlfn.XLOOKUP(C34,Dados!$C$3:$C$329,Dados!$AA$3:'Dados'!$AA$329,"")</f>
        <v>21.2065717136541</v>
      </c>
      <c r="AM34" s="43" cm="1">
        <f t="array" ref="AM34">_xlfn.XLOOKUP(C34,Dados!$C$3:$C$329,Dados!$AB$3:'Dados'!$AB$329,"")</f>
        <v>19.851427602860401</v>
      </c>
      <c r="AN34" s="43" cm="1">
        <f t="array" ref="AN34">_xlfn.XLOOKUP(C34,Dados!$C$3:$C$329,Dados!$AC$3:'Dados'!$AC$329,"")</f>
        <v>16.223709340716301</v>
      </c>
      <c r="AO34" s="82" cm="1">
        <f t="array" ref="AO34">_xlfn.XLOOKUP(C34,Dados!$C$3:$C$329,Dados!$AD$3:'Dados'!$AD$329,"")</f>
        <v>15.221981639947201</v>
      </c>
    </row>
    <row r="35" spans="1:41" ht="51" x14ac:dyDescent="0.25">
      <c r="A35" s="2">
        <v>236</v>
      </c>
      <c r="B35" s="18" t="s">
        <v>88</v>
      </c>
      <c r="C35" s="19" t="s">
        <v>89</v>
      </c>
      <c r="D35" s="19" t="s">
        <v>45</v>
      </c>
      <c r="E35" s="19" t="s">
        <v>21</v>
      </c>
      <c r="F35" s="72">
        <f>_xlfn.XLOOKUP(C35,Dados!$C$3:$C$329,Dados!$D$3:$D$329,"")</f>
        <v>20</v>
      </c>
      <c r="G35" s="86">
        <f>_xlfn.XLOOKUP(C35,Dados!$C$3:$C$329,Dados!$E$3:$E$329,"")</f>
        <v>915975</v>
      </c>
      <c r="H35" s="71">
        <f>_xlfn.XLOOKUP(C35,Dados!$C$3:$C$329,Dados!$F$3:$F$329,"")</f>
        <v>922024.33333333326</v>
      </c>
      <c r="I35" s="71">
        <f>_xlfn.XLOOKUP(C35,Dados!$C$3:$C$329,Dados!$G$3:$G$329,"")</f>
        <v>928073.66666666674</v>
      </c>
      <c r="J35" s="71">
        <f>_xlfn.XLOOKUP(C35,Dados!$C$3:$C$329,Dados!$H$3:$H$329,"")</f>
        <v>934123</v>
      </c>
      <c r="K35" s="71">
        <f>_xlfn.XLOOKUP(C35,Dados!$C$3:$C$329,Dados!$I$3:$I$329,"")</f>
        <v>929855</v>
      </c>
      <c r="L35" s="71">
        <f>_xlfn.XLOOKUP(C35,Dados!$C$3:$C$329,Dados!$J$3:$J$329,"")</f>
        <v>14</v>
      </c>
      <c r="M35" s="72" t="str">
        <f>_xlfn.XLOOKUP(C35,Dados!$C$3:$C$329,Dados!$K$3:$K$329,"")</f>
        <v>Sudeste</v>
      </c>
      <c r="N35" s="71">
        <f>_xlfn.XLOOKUP(C35,Dados!$C$3:$C$329,Dados!$L$3:$L$329,"")</f>
        <v>2</v>
      </c>
      <c r="O35" s="43">
        <f>_xlfn.XLOOKUP(C35,Dados!$C$3:$C$329,Dados!$M$3:$M$329,"")</f>
        <v>0.68407300844916197</v>
      </c>
      <c r="P35" s="43">
        <f>_xlfn.XLOOKUP(C35,Dados!$C$3:$C$329,Dados!$N$3:$N$329,"")</f>
        <v>0.66283772412462905</v>
      </c>
      <c r="Q35" s="43">
        <f>_xlfn.XLOOKUP(C35,Dados!$C$3:$C$329,Dados!$O$3:$O$329,"")</f>
        <v>0.63949265161012003</v>
      </c>
      <c r="R35" s="43">
        <f>_xlfn.XLOOKUP(C35,Dados!$C$3:$C$329,Dados!$P$3:$P$329,"")</f>
        <v>0.63054818901871801</v>
      </c>
      <c r="S35" s="43">
        <f>_xlfn.XLOOKUP(C35,Dados!$C$3:$C$329,Dados!$Q$3:$Q$329,"")</f>
        <v>0.65746760458311304</v>
      </c>
      <c r="T35" s="43">
        <f>_xlfn.XLOOKUP(C35,Dados!$C$3:$C$329,Dados!$R$3:$R$329,"")</f>
        <v>0.72452290443179601</v>
      </c>
      <c r="U35" s="43">
        <f>_xlfn.XLOOKUP(C35,Dados!$C$3:$C$329,Dados!$S$3:$S$329,"")</f>
        <v>0.97059808700530603</v>
      </c>
      <c r="V35" s="77">
        <f>_xlfn.XLOOKUP(C35,Dados!$C$3:$C$329,Dados!$T$3:$T$329,"")</f>
        <v>1882.8402308141599</v>
      </c>
      <c r="W35" s="77">
        <f>_xlfn.XLOOKUP(C35,Dados!$C$3:$C$329,Dados!$U$3:$U$329,"")</f>
        <v>1714.92078992492</v>
      </c>
      <c r="X35" s="77">
        <f>_xlfn.XLOOKUP(C35,Dados!$C$3:$C$329,Dados!$V$3:$V$329,"")</f>
        <v>1663.9274408209701</v>
      </c>
      <c r="Y35" s="77">
        <f>_xlfn.XLOOKUP(C35,Dados!$C$3:$C$329,Dados!$W$3:$W$329,"")</f>
        <v>1438.24521225791</v>
      </c>
      <c r="Z35" s="77">
        <f>_xlfn.XLOOKUP(C35,Dados!$C$3:$C$329,Dados!$X$3:$X$329,"")</f>
        <v>1256.04535709331</v>
      </c>
      <c r="AA35" s="20"/>
      <c r="AB35" s="20"/>
      <c r="AC35" s="20"/>
      <c r="AD35" s="20"/>
      <c r="AE35" s="80"/>
      <c r="AF35" s="43">
        <v>5.1808419560740435E-2</v>
      </c>
      <c r="AG35" s="43">
        <v>0.14121307585106035</v>
      </c>
      <c r="AH35" s="43">
        <v>0.11202142711783712</v>
      </c>
      <c r="AI35" s="43">
        <v>0.67258585052073083</v>
      </c>
      <c r="AJ35" s="43">
        <v>0.56499145828206843</v>
      </c>
      <c r="AK35" s="43" cm="1">
        <f t="array" ref="AK35">_xlfn.XLOOKUP(C35,Dados!$C$3:$C$329,Dados!$Z$3:'Dados'!$Z$329,"")</f>
        <v>22.4107404678075</v>
      </c>
      <c r="AL35" s="43" cm="1">
        <f t="array" ref="AL35">_xlfn.XLOOKUP(C35,Dados!$C$3:$C$329,Dados!$AA$3:'Dados'!$AA$329,"")</f>
        <v>20.2034429315495</v>
      </c>
      <c r="AM35" s="43" cm="1">
        <f t="array" ref="AM35">_xlfn.XLOOKUP(C35,Dados!$C$3:$C$329,Dados!$AB$3:'Dados'!$AB$329,"")</f>
        <v>18.093432238317298</v>
      </c>
      <c r="AN35" s="43" cm="1">
        <f t="array" ref="AN35">_xlfn.XLOOKUP(C35,Dados!$C$3:$C$329,Dados!$AC$3:'Dados'!$AC$329,"")</f>
        <v>15.9307264674995</v>
      </c>
      <c r="AO35" s="82" cm="1">
        <f t="array" ref="AO35">_xlfn.XLOOKUP(C35,Dados!$C$3:$C$329,Dados!$AD$3:'Dados'!$AD$329,"")</f>
        <v>10.920962945835599</v>
      </c>
    </row>
    <row r="36" spans="1:41" ht="63.75" x14ac:dyDescent="0.25">
      <c r="A36" s="2">
        <v>265</v>
      </c>
      <c r="B36" s="18" t="s">
        <v>90</v>
      </c>
      <c r="C36" s="19" t="s">
        <v>91</v>
      </c>
      <c r="D36" s="19" t="s">
        <v>48</v>
      </c>
      <c r="E36" s="19" t="s">
        <v>21</v>
      </c>
      <c r="F36" s="72">
        <f>_xlfn.XLOOKUP(C36,Dados!$C$3:$C$329,Dados!$D$3:$D$329,"")</f>
        <v>15</v>
      </c>
      <c r="G36" s="86">
        <f>_xlfn.XLOOKUP(C36,Dados!$C$3:$C$329,Dados!$E$3:$E$329,"")</f>
        <v>54601</v>
      </c>
      <c r="H36" s="71">
        <f>_xlfn.XLOOKUP(C36,Dados!$C$3:$C$329,Dados!$F$3:$F$329,"")</f>
        <v>52485.333333333343</v>
      </c>
      <c r="I36" s="71">
        <f>_xlfn.XLOOKUP(C36,Dados!$C$3:$C$329,Dados!$G$3:$G$329,"")</f>
        <v>50369.666666666657</v>
      </c>
      <c r="J36" s="71">
        <f>_xlfn.XLOOKUP(C36,Dados!$C$3:$C$329,Dados!$H$3:$H$329,"")</f>
        <v>48254</v>
      </c>
      <c r="K36" s="71">
        <f>_xlfn.XLOOKUP(C36,Dados!$C$3:$C$329,Dados!$I$3:$I$329,"")</f>
        <v>48017</v>
      </c>
      <c r="L36" s="71">
        <f>_xlfn.XLOOKUP(C36,Dados!$C$3:$C$329,Dados!$J$3:$J$329,"")</f>
        <v>6</v>
      </c>
      <c r="M36" s="72" t="str">
        <f>_xlfn.XLOOKUP(C36,Dados!$C$3:$C$329,Dados!$K$3:$K$329,"")</f>
        <v>Sudeste</v>
      </c>
      <c r="N36" s="71">
        <f>_xlfn.XLOOKUP(C36,Dados!$C$3:$C$329,Dados!$L$3:$L$329,"")</f>
        <v>2</v>
      </c>
      <c r="O36" s="43">
        <f>_xlfn.XLOOKUP(C36,Dados!$C$3:$C$329,Dados!$M$3:$M$329,"")</f>
        <v>0.78339740562442794</v>
      </c>
      <c r="P36" s="43">
        <f>_xlfn.XLOOKUP(C36,Dados!$C$3:$C$329,Dados!$N$3:$N$329,"")</f>
        <v>0.79251736693380304</v>
      </c>
      <c r="Q36" s="43">
        <f>_xlfn.XLOOKUP(C36,Dados!$C$3:$C$329,Dados!$O$3:$O$329,"")</f>
        <v>0.74097882662577197</v>
      </c>
      <c r="R36" s="43">
        <f>_xlfn.XLOOKUP(C36,Dados!$C$3:$C$329,Dados!$P$3:$P$329,"")</f>
        <v>0.74601519461857302</v>
      </c>
      <c r="S36" s="43">
        <f>_xlfn.XLOOKUP(C36,Dados!$C$3:$C$329,Dados!$Q$3:$Q$329,"")</f>
        <v>0.91092382518579296</v>
      </c>
      <c r="T36" s="43">
        <f>_xlfn.XLOOKUP(C36,Dados!$C$3:$C$329,Dados!$R$3:$R$329,"")</f>
        <v>0.91732611227656902</v>
      </c>
      <c r="U36" s="43">
        <f>_xlfn.XLOOKUP(C36,Dados!$C$3:$C$329,Dados!$S$3:$S$329,"")</f>
        <v>0.96309454698264196</v>
      </c>
      <c r="V36" s="77">
        <f>_xlfn.XLOOKUP(C36,Dados!$C$3:$C$329,Dados!$T$3:$T$329,"")</f>
        <v>1848.97763557444</v>
      </c>
      <c r="W36" s="77">
        <f>_xlfn.XLOOKUP(C36,Dados!$C$3:$C$329,Dados!$U$3:$U$329,"")</f>
        <v>1805.31215006097</v>
      </c>
      <c r="X36" s="77">
        <f>_xlfn.XLOOKUP(C36,Dados!$C$3:$C$329,Dados!$V$3:$V$329,"")</f>
        <v>1684.80439874528</v>
      </c>
      <c r="Y36" s="77">
        <f>_xlfn.XLOOKUP(C36,Dados!$C$3:$C$329,Dados!$W$3:$W$329,"")</f>
        <v>1334.1168823309999</v>
      </c>
      <c r="Z36" s="77">
        <f>_xlfn.XLOOKUP(C36,Dados!$C$3:$C$329,Dados!$X$3:$X$329,"")</f>
        <v>1383.1848778557601</v>
      </c>
      <c r="AA36" s="20"/>
      <c r="AB36" s="20"/>
      <c r="AC36" s="20"/>
      <c r="AD36" s="20"/>
      <c r="AE36" s="80"/>
      <c r="AF36" s="43">
        <v>0.3656848597762522</v>
      </c>
      <c r="AG36" s="43">
        <v>0.39114880341788805</v>
      </c>
      <c r="AH36" s="43">
        <v>0.37469552523696703</v>
      </c>
      <c r="AI36" s="43">
        <v>0.31945744046463737</v>
      </c>
      <c r="AJ36" s="43" t="e">
        <v>#DIV/0!</v>
      </c>
      <c r="AK36" s="43" cm="1">
        <f t="array" ref="AK36">_xlfn.XLOOKUP(C36,Dados!$C$3:$C$329,Dados!$Z$3:'Dados'!$Z$329,"")</f>
        <v>32.357942162231502</v>
      </c>
      <c r="AL36" s="43" cm="1">
        <f t="array" ref="AL36">_xlfn.XLOOKUP(C36,Dados!$C$3:$C$329,Dados!$AA$3:'Dados'!$AA$329,"")</f>
        <v>27.1361332689767</v>
      </c>
      <c r="AM36" s="43" cm="1">
        <f t="array" ref="AM36">_xlfn.XLOOKUP(C36,Dados!$C$3:$C$329,Dados!$AB$3:'Dados'!$AB$329,"")</f>
        <v>18.5265073556175</v>
      </c>
      <c r="AN36" s="43" cm="1">
        <f t="array" ref="AN36">_xlfn.XLOOKUP(C36,Dados!$C$3:$C$329,Dados!$AC$3:'Dados'!$AC$329,"")</f>
        <v>15.4341401749078</v>
      </c>
      <c r="AO36" s="82" cm="1">
        <f t="array" ref="AO36">_xlfn.XLOOKUP(C36,Dados!$C$3:$C$329,Dados!$AD$3:'Dados'!$AD$329,"")</f>
        <v>14.413895078826201</v>
      </c>
    </row>
    <row r="37" spans="1:41" ht="51" x14ac:dyDescent="0.25">
      <c r="A37" s="2">
        <v>266</v>
      </c>
      <c r="B37" s="18" t="s">
        <v>92</v>
      </c>
      <c r="C37" s="19" t="s">
        <v>93</v>
      </c>
      <c r="D37" s="19" t="s">
        <v>48</v>
      </c>
      <c r="E37" s="19" t="s">
        <v>21</v>
      </c>
      <c r="F37" s="72">
        <f>_xlfn.XLOOKUP(C37,Dados!$C$3:$C$329,Dados!$D$3:$D$329,"")</f>
        <v>20</v>
      </c>
      <c r="G37" s="86">
        <f>_xlfn.XLOOKUP(C37,Dados!$C$3:$C$329,Dados!$E$3:$E$329,"")</f>
        <v>309918</v>
      </c>
      <c r="H37" s="71">
        <f>_xlfn.XLOOKUP(C37,Dados!$C$3:$C$329,Dados!$F$3:$F$329,"")</f>
        <v>313951.66666666663</v>
      </c>
      <c r="I37" s="71">
        <f>_xlfn.XLOOKUP(C37,Dados!$C$3:$C$329,Dados!$G$3:$G$329,"")</f>
        <v>317985.33333333337</v>
      </c>
      <c r="J37" s="71">
        <f>_xlfn.XLOOKUP(C37,Dados!$C$3:$C$329,Dados!$H$3:$H$329,"")</f>
        <v>322019</v>
      </c>
      <c r="K37" s="71">
        <f>_xlfn.XLOOKUP(C37,Dados!$C$3:$C$329,Dados!$I$3:$I$329,"")</f>
        <v>320199</v>
      </c>
      <c r="L37" s="71">
        <f>_xlfn.XLOOKUP(C37,Dados!$C$3:$C$329,Dados!$J$3:$J$329,"")</f>
        <v>21</v>
      </c>
      <c r="M37" s="72" t="str">
        <f>_xlfn.XLOOKUP(C37,Dados!$C$3:$C$329,Dados!$K$3:$K$329,"")</f>
        <v>Sudeste</v>
      </c>
      <c r="N37" s="71">
        <f>_xlfn.XLOOKUP(C37,Dados!$C$3:$C$329,Dados!$L$3:$L$329,"")</f>
        <v>13</v>
      </c>
      <c r="O37" s="43">
        <f>_xlfn.XLOOKUP(C37,Dados!$C$3:$C$329,Dados!$M$3:$M$329,"")</f>
        <v>0.74363000196420903</v>
      </c>
      <c r="P37" s="43">
        <f>_xlfn.XLOOKUP(C37,Dados!$C$3:$C$329,Dados!$N$3:$N$329,"")</f>
        <v>0.71127550180511401</v>
      </c>
      <c r="Q37" s="43">
        <f>_xlfn.XLOOKUP(C37,Dados!$C$3:$C$329,Dados!$O$3:$O$329,"")</f>
        <v>0.69975001040311302</v>
      </c>
      <c r="R37" s="43">
        <f>_xlfn.XLOOKUP(C37,Dados!$C$3:$C$329,Dados!$P$3:$P$329,"")</f>
        <v>0.69638698996561499</v>
      </c>
      <c r="S37" s="43">
        <f>_xlfn.XLOOKUP(C37,Dados!$C$3:$C$329,Dados!$Q$3:$Q$329,"")</f>
        <v>0.88969833136958099</v>
      </c>
      <c r="T37" s="43">
        <f>_xlfn.XLOOKUP(C37,Dados!$C$3:$C$329,Dados!$R$3:$R$329,"")</f>
        <v>0.899563514145306</v>
      </c>
      <c r="U37" s="43">
        <f>_xlfn.XLOOKUP(C37,Dados!$C$3:$C$329,Dados!$S$3:$S$329,"")</f>
        <v>0.94723512247944297</v>
      </c>
      <c r="V37" s="77">
        <f>_xlfn.XLOOKUP(C37,Dados!$C$3:$C$329,Dados!$T$3:$T$329,"")</f>
        <v>2006.1039232313101</v>
      </c>
      <c r="W37" s="77">
        <f>_xlfn.XLOOKUP(C37,Dados!$C$3:$C$329,Dados!$U$3:$U$329,"")</f>
        <v>1768.9287881043299</v>
      </c>
      <c r="X37" s="77">
        <f>_xlfn.XLOOKUP(C37,Dados!$C$3:$C$329,Dados!$V$3:$V$329,"")</f>
        <v>1510.38130437882</v>
      </c>
      <c r="Y37" s="77">
        <f>_xlfn.XLOOKUP(C37,Dados!$C$3:$C$329,Dados!$W$3:$W$329,"")</f>
        <v>1260.9636048494001</v>
      </c>
      <c r="Z37" s="77">
        <f>_xlfn.XLOOKUP(C37,Dados!$C$3:$C$329,Dados!$X$3:$X$329,"")</f>
        <v>1124.7545756545101</v>
      </c>
      <c r="AA37" s="20"/>
      <c r="AB37" s="20"/>
      <c r="AC37" s="20"/>
      <c r="AD37" s="20"/>
      <c r="AE37" s="80"/>
      <c r="AF37" s="43">
        <v>2.2605887720736607E-2</v>
      </c>
      <c r="AG37" s="43">
        <v>1.8899029769147715E-2</v>
      </c>
      <c r="AH37" s="43">
        <v>1.7865647888205209E-2</v>
      </c>
      <c r="AI37" s="43">
        <v>2.0871263203843585E-2</v>
      </c>
      <c r="AJ37" s="43">
        <v>2.2261243707229046E-2</v>
      </c>
      <c r="AK37" s="43" cm="1">
        <f t="array" ref="AK37">_xlfn.XLOOKUP(C37,Dados!$C$3:$C$329,Dados!$Z$3:'Dados'!$Z$329,"")</f>
        <v>17.3170387005595</v>
      </c>
      <c r="AL37" s="43" cm="1">
        <f t="array" ref="AL37">_xlfn.XLOOKUP(C37,Dados!$C$3:$C$329,Dados!$AA$3:'Dados'!$AA$329,"")</f>
        <v>17.4907305264611</v>
      </c>
      <c r="AM37" s="43" cm="1">
        <f t="array" ref="AM37">_xlfn.XLOOKUP(C37,Dados!$C$3:$C$329,Dados!$AB$3:'Dados'!$AB$329,"")</f>
        <v>16.654570022097499</v>
      </c>
      <c r="AN37" s="43" cm="1">
        <f t="array" ref="AN37">_xlfn.XLOOKUP(C37,Dados!$C$3:$C$329,Dados!$AC$3:'Dados'!$AC$329,"")</f>
        <v>13.2286666314721</v>
      </c>
      <c r="AO37" s="82" cm="1">
        <f t="array" ref="AO37">_xlfn.XLOOKUP(C37,Dados!$C$3:$C$329,Dados!$AD$3:'Dados'!$AD$329,"")</f>
        <v>11.626816448521099</v>
      </c>
    </row>
    <row r="38" spans="1:41" ht="38.25" x14ac:dyDescent="0.25">
      <c r="A38" s="2">
        <v>267</v>
      </c>
      <c r="B38" s="18" t="s">
        <v>94</v>
      </c>
      <c r="C38" s="19" t="s">
        <v>95</v>
      </c>
      <c r="D38" s="19" t="s">
        <v>48</v>
      </c>
      <c r="E38" s="19" t="s">
        <v>21</v>
      </c>
      <c r="F38" s="72">
        <f>_xlfn.XLOOKUP(C38,Dados!$C$3:$C$329,Dados!$D$3:$D$329,"")</f>
        <v>24</v>
      </c>
      <c r="G38" s="86">
        <f>_xlfn.XLOOKUP(C38,Dados!$C$3:$C$329,Dados!$E$3:$E$329,"")</f>
        <v>182242</v>
      </c>
      <c r="H38" s="71">
        <f>_xlfn.XLOOKUP(C38,Dados!$C$3:$C$329,Dados!$F$3:$F$329,"")</f>
        <v>185489.33333333331</v>
      </c>
      <c r="I38" s="71">
        <f>_xlfn.XLOOKUP(C38,Dados!$C$3:$C$329,Dados!$G$3:$G$329,"")</f>
        <v>188736.66666666669</v>
      </c>
      <c r="J38" s="71">
        <f>_xlfn.XLOOKUP(C38,Dados!$C$3:$C$329,Dados!$H$3:$H$329,"")</f>
        <v>191984</v>
      </c>
      <c r="K38" s="71">
        <f>_xlfn.XLOOKUP(C38,Dados!$C$3:$C$329,Dados!$I$3:$I$329,"")</f>
        <v>190167</v>
      </c>
      <c r="L38" s="71">
        <f>_xlfn.XLOOKUP(C38,Dados!$C$3:$C$329,Dados!$J$3:$J$329,"")</f>
        <v>12</v>
      </c>
      <c r="M38" s="72" t="str">
        <f>_xlfn.XLOOKUP(C38,Dados!$C$3:$C$329,Dados!$K$3:$K$329,"")</f>
        <v>Sudeste</v>
      </c>
      <c r="N38" s="71">
        <f>_xlfn.XLOOKUP(C38,Dados!$C$3:$C$329,Dados!$L$3:$L$329,"")</f>
        <v>1</v>
      </c>
      <c r="O38" s="43">
        <f>_xlfn.XLOOKUP(C38,Dados!$C$3:$C$329,Dados!$M$3:$M$329,"")</f>
        <v>0.78558749182343002</v>
      </c>
      <c r="P38" s="43">
        <f>_xlfn.XLOOKUP(C38,Dados!$C$3:$C$329,Dados!$N$3:$N$329,"")</f>
        <v>0.75565616326098095</v>
      </c>
      <c r="Q38" s="43">
        <f>_xlfn.XLOOKUP(C38,Dados!$C$3:$C$329,Dados!$O$3:$O$329,"")</f>
        <v>0.73885217622301802</v>
      </c>
      <c r="R38" s="43">
        <f>_xlfn.XLOOKUP(C38,Dados!$C$3:$C$329,Dados!$P$3:$P$329,"")</f>
        <v>0.73173750282646299</v>
      </c>
      <c r="S38" s="43">
        <f>_xlfn.XLOOKUP(C38,Dados!$C$3:$C$329,Dados!$Q$3:$Q$329,"")</f>
        <v>0.95462149343882996</v>
      </c>
      <c r="T38" s="43">
        <f>_xlfn.XLOOKUP(C38,Dados!$C$3:$C$329,Dados!$R$3:$R$329,"")</f>
        <v>0.94870080411861302</v>
      </c>
      <c r="U38" s="43">
        <f>_xlfn.XLOOKUP(C38,Dados!$C$3:$C$329,Dados!$S$3:$S$329,"")</f>
        <v>0.98340811783613802</v>
      </c>
      <c r="V38" s="77">
        <f>_xlfn.XLOOKUP(C38,Dados!$C$3:$C$329,Dados!$T$3:$T$329,"")</f>
        <v>1654.8516113190101</v>
      </c>
      <c r="W38" s="77">
        <f>_xlfn.XLOOKUP(C38,Dados!$C$3:$C$329,Dados!$U$3:$U$329,"")</f>
        <v>1440.00579143814</v>
      </c>
      <c r="X38" s="77">
        <f>_xlfn.XLOOKUP(C38,Dados!$C$3:$C$329,Dados!$V$3:$V$329,"")</f>
        <v>1282.77201563024</v>
      </c>
      <c r="Y38" s="77">
        <f>_xlfn.XLOOKUP(C38,Dados!$C$3:$C$329,Dados!$W$3:$W$329,"")</f>
        <v>1129.5314532981899</v>
      </c>
      <c r="Z38" s="77">
        <f>_xlfn.XLOOKUP(C38,Dados!$C$3:$C$329,Dados!$X$3:$X$329,"")</f>
        <v>1063.26616358254</v>
      </c>
      <c r="AA38" s="20"/>
      <c r="AB38" s="20"/>
      <c r="AC38" s="20"/>
      <c r="AD38" s="20"/>
      <c r="AE38" s="80"/>
      <c r="AF38" s="43">
        <v>4.1788202596345157E-2</v>
      </c>
      <c r="AG38" s="43">
        <v>7.9575582211381557E-2</v>
      </c>
      <c r="AH38" s="43">
        <v>0.11304912839455028</v>
      </c>
      <c r="AI38" s="43">
        <v>0.12650427189854263</v>
      </c>
      <c r="AJ38" s="43">
        <v>0.17274344347753318</v>
      </c>
      <c r="AK38" s="43" cm="1">
        <f t="array" ref="AK38">_xlfn.XLOOKUP(C38,Dados!$C$3:$C$329,Dados!$Z$3:'Dados'!$Z$329,"")</f>
        <v>23.086955806016199</v>
      </c>
      <c r="AL38" s="43" cm="1">
        <f t="array" ref="AL38">_xlfn.XLOOKUP(C38,Dados!$C$3:$C$329,Dados!$AA$3:'Dados'!$AA$329,"")</f>
        <v>20.317680441642601</v>
      </c>
      <c r="AM38" s="43" cm="1">
        <f t="array" ref="AM38">_xlfn.XLOOKUP(C38,Dados!$C$3:$C$329,Dados!$AB$3:'Dados'!$AB$329,"")</f>
        <v>18.633756026915801</v>
      </c>
      <c r="AN38" s="43" cm="1">
        <f t="array" ref="AN38">_xlfn.XLOOKUP(C38,Dados!$C$3:$C$329,Dados!$AC$3:'Dados'!$AC$329,"")</f>
        <v>13.9312598966581</v>
      </c>
      <c r="AO38" s="82" cm="1">
        <f t="array" ref="AO38">_xlfn.XLOOKUP(C38,Dados!$C$3:$C$329,Dados!$AD$3:'Dados'!$AD$329,"")</f>
        <v>12.884569878054601</v>
      </c>
    </row>
    <row r="39" spans="1:41" ht="63.75" x14ac:dyDescent="0.25">
      <c r="A39" s="2">
        <v>268</v>
      </c>
      <c r="B39" s="18" t="s">
        <v>96</v>
      </c>
      <c r="C39" s="19" t="s">
        <v>97</v>
      </c>
      <c r="D39" s="19" t="s">
        <v>48</v>
      </c>
      <c r="E39" s="19" t="s">
        <v>21</v>
      </c>
      <c r="F39" s="72">
        <f>_xlfn.XLOOKUP(C39,Dados!$C$3:$C$329,Dados!$D$3:$D$329,"")</f>
        <v>37</v>
      </c>
      <c r="G39" s="86">
        <f>_xlfn.XLOOKUP(C39,Dados!$C$3:$C$329,Dados!$E$3:$E$329,"")</f>
        <v>98687</v>
      </c>
      <c r="H39" s="71">
        <f>_xlfn.XLOOKUP(C39,Dados!$C$3:$C$329,Dados!$F$3:$F$329,"")</f>
        <v>101233.33333333334</v>
      </c>
      <c r="I39" s="71">
        <f>_xlfn.XLOOKUP(C39,Dados!$C$3:$C$329,Dados!$G$3:$G$329,"")</f>
        <v>103779.66666666666</v>
      </c>
      <c r="J39" s="71">
        <f>_xlfn.XLOOKUP(C39,Dados!$C$3:$C$329,Dados!$H$3:$H$329,"")</f>
        <v>106326</v>
      </c>
      <c r="K39" s="71">
        <f>_xlfn.XLOOKUP(C39,Dados!$C$3:$C$329,Dados!$I$3:$I$329,"")</f>
        <v>105597</v>
      </c>
      <c r="L39" s="71">
        <f>_xlfn.XLOOKUP(C39,Dados!$C$3:$C$329,Dados!$J$3:$J$329,"")</f>
        <v>7</v>
      </c>
      <c r="M39" s="72" t="str">
        <f>_xlfn.XLOOKUP(C39,Dados!$C$3:$C$329,Dados!$K$3:$K$329,"")</f>
        <v>Sudeste</v>
      </c>
      <c r="N39" s="71">
        <f>_xlfn.XLOOKUP(C39,Dados!$C$3:$C$329,Dados!$L$3:$L$329,"")</f>
        <v>14</v>
      </c>
      <c r="O39" s="43">
        <f>_xlfn.XLOOKUP(C39,Dados!$C$3:$C$329,Dados!$M$3:$M$329,"")</f>
        <v>0.73118468719130703</v>
      </c>
      <c r="P39" s="43">
        <f>_xlfn.XLOOKUP(C39,Dados!$C$3:$C$329,Dados!$N$3:$N$329,"")</f>
        <v>0.69896173592129496</v>
      </c>
      <c r="Q39" s="43">
        <f>_xlfn.XLOOKUP(C39,Dados!$C$3:$C$329,Dados!$O$3:$O$329,"")</f>
        <v>0.70757875496115696</v>
      </c>
      <c r="R39" s="43">
        <f>_xlfn.XLOOKUP(C39,Dados!$C$3:$C$329,Dados!$P$3:$P$329,"")</f>
        <v>0.67889082739092999</v>
      </c>
      <c r="S39" s="43">
        <f>_xlfn.XLOOKUP(C39,Dados!$C$3:$C$329,Dados!$Q$3:$Q$329,"")</f>
        <v>0.91269410867253997</v>
      </c>
      <c r="T39" s="43">
        <f>_xlfn.XLOOKUP(C39,Dados!$C$3:$C$329,Dados!$R$3:$R$329,"")</f>
        <v>0.92396031817407998</v>
      </c>
      <c r="U39" s="43">
        <f>_xlfn.XLOOKUP(C39,Dados!$C$3:$C$329,Dados!$S$3:$S$329,"")</f>
        <v>0.94158267322757505</v>
      </c>
      <c r="V39" s="77">
        <f>_xlfn.XLOOKUP(C39,Dados!$C$3:$C$329,Dados!$T$3:$T$329,"")</f>
        <v>2023.6441505973401</v>
      </c>
      <c r="W39" s="77">
        <f>_xlfn.XLOOKUP(C39,Dados!$C$3:$C$329,Dados!$U$3:$U$329,"")</f>
        <v>1595.3257195916999</v>
      </c>
      <c r="X39" s="77">
        <f>_xlfn.XLOOKUP(C39,Dados!$C$3:$C$329,Dados!$V$3:$V$329,"")</f>
        <v>1373.1699438875301</v>
      </c>
      <c r="Y39" s="77">
        <f>_xlfn.XLOOKUP(C39,Dados!$C$3:$C$329,Dados!$W$3:$W$329,"")</f>
        <v>1236.35598480146</v>
      </c>
      <c r="Z39" s="77">
        <f>_xlfn.XLOOKUP(C39,Dados!$C$3:$C$329,Dados!$X$3:$X$329,"")</f>
        <v>1198.82114690758</v>
      </c>
      <c r="AA39" s="20"/>
      <c r="AB39" s="20"/>
      <c r="AC39" s="20"/>
      <c r="AD39" s="20"/>
      <c r="AE39" s="80"/>
      <c r="AF39" s="43">
        <v>0.15159651995139853</v>
      </c>
      <c r="AG39" s="43">
        <v>0.19537539504569007</v>
      </c>
      <c r="AH39" s="43">
        <v>0.22509090623057609</v>
      </c>
      <c r="AI39" s="43">
        <v>0</v>
      </c>
      <c r="AJ39" s="43">
        <v>0</v>
      </c>
      <c r="AK39" s="43" cm="1">
        <f t="array" ref="AK39">_xlfn.XLOOKUP(C39,Dados!$C$3:$C$329,Dados!$Z$3:'Dados'!$Z$329,"")</f>
        <v>19.173335900371899</v>
      </c>
      <c r="AL39" s="43" cm="1">
        <f t="array" ref="AL39">_xlfn.XLOOKUP(C39,Dados!$C$3:$C$329,Dados!$AA$3:'Dados'!$AA$329,"")</f>
        <v>18.307023378333898</v>
      </c>
      <c r="AM39" s="43" cm="1">
        <f t="array" ref="AM39">_xlfn.XLOOKUP(C39,Dados!$C$3:$C$329,Dados!$AB$3:'Dados'!$AB$329,"")</f>
        <v>21.915632156588199</v>
      </c>
      <c r="AN39" s="43" cm="1">
        <f t="array" ref="AN39">_xlfn.XLOOKUP(C39,Dados!$C$3:$C$329,Dados!$AC$3:'Dados'!$AC$329,"")</f>
        <v>15.606643718375601</v>
      </c>
      <c r="AO39" s="82" cm="1">
        <f t="array" ref="AO39">_xlfn.XLOOKUP(C39,Dados!$C$3:$C$329,Dados!$AD$3:'Dados'!$AD$329,"")</f>
        <v>12.5647508925443</v>
      </c>
    </row>
    <row r="40" spans="1:41" ht="38.25" x14ac:dyDescent="0.25">
      <c r="A40" s="2">
        <v>269</v>
      </c>
      <c r="B40" s="18" t="s">
        <v>98</v>
      </c>
      <c r="C40" s="19" t="s">
        <v>99</v>
      </c>
      <c r="D40" s="19" t="s">
        <v>48</v>
      </c>
      <c r="E40" s="19" t="s">
        <v>21</v>
      </c>
      <c r="F40" s="72">
        <f>_xlfn.XLOOKUP(C40,Dados!$C$3:$C$329,Dados!$D$3:$D$329,"")</f>
        <v>19</v>
      </c>
      <c r="G40" s="86">
        <f>_xlfn.XLOOKUP(C40,Dados!$C$3:$C$329,Dados!$E$3:$E$329,"")</f>
        <v>117618</v>
      </c>
      <c r="H40" s="71">
        <f>_xlfn.XLOOKUP(C40,Dados!$C$3:$C$329,Dados!$F$3:$F$329,"")</f>
        <v>117643</v>
      </c>
      <c r="I40" s="71">
        <f>_xlfn.XLOOKUP(C40,Dados!$C$3:$C$329,Dados!$G$3:$G$329,"")</f>
        <v>117668</v>
      </c>
      <c r="J40" s="71">
        <f>_xlfn.XLOOKUP(C40,Dados!$C$3:$C$329,Dados!$H$3:$H$329,"")</f>
        <v>117693</v>
      </c>
      <c r="K40" s="71">
        <f>_xlfn.XLOOKUP(C40,Dados!$C$3:$C$329,Dados!$I$3:$I$329,"")</f>
        <v>117600</v>
      </c>
      <c r="L40" s="71">
        <f>_xlfn.XLOOKUP(C40,Dados!$C$3:$C$329,Dados!$J$3:$J$329,"")</f>
        <v>7</v>
      </c>
      <c r="M40" s="72" t="str">
        <f>_xlfn.XLOOKUP(C40,Dados!$C$3:$C$329,Dados!$K$3:$K$329,"")</f>
        <v>Sudeste</v>
      </c>
      <c r="N40" s="71">
        <f>_xlfn.XLOOKUP(C40,Dados!$C$3:$C$329,Dados!$L$3:$L$329,"")</f>
        <v>1</v>
      </c>
      <c r="O40" s="43">
        <f>_xlfn.XLOOKUP(C40,Dados!$C$3:$C$329,Dados!$M$3:$M$329,"")</f>
        <v>0.75992450039526405</v>
      </c>
      <c r="P40" s="43">
        <f>_xlfn.XLOOKUP(C40,Dados!$C$3:$C$329,Dados!$N$3:$N$329,"")</f>
        <v>0.75205919338024496</v>
      </c>
      <c r="Q40" s="43">
        <f>_xlfn.XLOOKUP(C40,Dados!$C$3:$C$329,Dados!$O$3:$O$329,"")</f>
        <v>0.73781610036280798</v>
      </c>
      <c r="R40" s="43">
        <f>_xlfn.XLOOKUP(C40,Dados!$C$3:$C$329,Dados!$P$3:$P$329,"")</f>
        <v>0.72212933928571399</v>
      </c>
      <c r="S40" s="43">
        <f>_xlfn.XLOOKUP(C40,Dados!$C$3:$C$329,Dados!$Q$3:$Q$329,"")</f>
        <v>0.92049437881723695</v>
      </c>
      <c r="T40" s="43">
        <f>_xlfn.XLOOKUP(C40,Dados!$C$3:$C$329,Dados!$R$3:$R$329,"")</f>
        <v>0.90645254388052299</v>
      </c>
      <c r="U40" s="43">
        <f>_xlfn.XLOOKUP(C40,Dados!$C$3:$C$329,Dados!$S$3:$S$329,"")</f>
        <v>0.95213824347599496</v>
      </c>
      <c r="V40" s="77">
        <f>_xlfn.XLOOKUP(C40,Dados!$C$3:$C$329,Dados!$T$3:$T$329,"")</f>
        <v>1729.1097230015801</v>
      </c>
      <c r="W40" s="77">
        <f>_xlfn.XLOOKUP(C40,Dados!$C$3:$C$329,Dados!$U$3:$U$329,"")</f>
        <v>1501.9430643273899</v>
      </c>
      <c r="X40" s="77">
        <f>_xlfn.XLOOKUP(C40,Dados!$C$3:$C$329,Dados!$V$3:$V$329,"")</f>
        <v>1321.96462765294</v>
      </c>
      <c r="Y40" s="77">
        <f>_xlfn.XLOOKUP(C40,Dados!$C$3:$C$329,Dados!$W$3:$W$329,"")</f>
        <v>1108.0960449644399</v>
      </c>
      <c r="Z40" s="77">
        <f>_xlfn.XLOOKUP(C40,Dados!$C$3:$C$329,Dados!$X$3:$X$329,"")</f>
        <v>1091.9684920918401</v>
      </c>
      <c r="AA40" s="20"/>
      <c r="AB40" s="20"/>
      <c r="AC40" s="20"/>
      <c r="AD40" s="20"/>
      <c r="AE40" s="80"/>
      <c r="AF40" s="43">
        <v>0.66030211534111583</v>
      </c>
      <c r="AG40" s="43">
        <v>0.68150109483615307</v>
      </c>
      <c r="AH40" s="43">
        <v>0.71369088609673326</v>
      </c>
      <c r="AI40" s="43">
        <v>0.73694272850076226</v>
      </c>
      <c r="AJ40" s="43" t="e">
        <v>#DIV/0!</v>
      </c>
      <c r="AK40" s="43" cm="1">
        <f t="array" ref="AK40">_xlfn.XLOOKUP(C40,Dados!$C$3:$C$329,Dados!$Z$3:'Dados'!$Z$329,"")</f>
        <v>10.227210120899899</v>
      </c>
      <c r="AL40" s="43" cm="1">
        <f t="array" ref="AL40">_xlfn.XLOOKUP(C40,Dados!$C$3:$C$329,Dados!$AA$3:'Dados'!$AA$329,"")</f>
        <v>14.310668718070801</v>
      </c>
      <c r="AM40" s="43" cm="1">
        <f t="array" ref="AM40">_xlfn.XLOOKUP(C40,Dados!$C$3:$C$329,Dados!$AB$3:'Dados'!$AB$329,"")</f>
        <v>11.915414556209001</v>
      </c>
      <c r="AN40" s="43" cm="1">
        <f t="array" ref="AN40">_xlfn.XLOOKUP(C40,Dados!$C$3:$C$329,Dados!$AC$3:'Dados'!$AC$329,"")</f>
        <v>8.8753621710722008</v>
      </c>
      <c r="AO40" s="82" cm="1">
        <f t="array" ref="AO40">_xlfn.XLOOKUP(C40,Dados!$C$3:$C$329,Dados!$AD$3:'Dados'!$AD$329,"")</f>
        <v>8.5719472789115603</v>
      </c>
    </row>
    <row r="41" spans="1:41" ht="51" x14ac:dyDescent="0.25">
      <c r="A41" s="2">
        <v>270</v>
      </c>
      <c r="B41" s="18" t="s">
        <v>100</v>
      </c>
      <c r="C41" s="19" t="s">
        <v>101</v>
      </c>
      <c r="D41" s="19" t="s">
        <v>48</v>
      </c>
      <c r="E41" s="19" t="s">
        <v>21</v>
      </c>
      <c r="F41" s="72">
        <f>_xlfn.XLOOKUP(C41,Dados!$C$3:$C$329,Dados!$D$3:$D$329,"")</f>
        <v>9</v>
      </c>
      <c r="G41" s="86">
        <f>_xlfn.XLOOKUP(C41,Dados!$C$3:$C$329,Dados!$E$3:$E$329,"")</f>
        <v>573475</v>
      </c>
      <c r="H41" s="71">
        <f>_xlfn.XLOOKUP(C41,Dados!$C$3:$C$329,Dados!$F$3:$F$329,"")</f>
        <v>579872.33333333314</v>
      </c>
      <c r="I41" s="71">
        <f>_xlfn.XLOOKUP(C41,Dados!$C$3:$C$329,Dados!$G$3:$G$329,"")</f>
        <v>586269.66666666686</v>
      </c>
      <c r="J41" s="71">
        <f>_xlfn.XLOOKUP(C41,Dados!$C$3:$C$329,Dados!$H$3:$H$329,"")</f>
        <v>592667</v>
      </c>
      <c r="K41" s="71">
        <f>_xlfn.XLOOKUP(C41,Dados!$C$3:$C$329,Dados!$I$3:$I$329,"")</f>
        <v>589505</v>
      </c>
      <c r="L41" s="71">
        <f>_xlfn.XLOOKUP(C41,Dados!$C$3:$C$329,Dados!$J$3:$J$329,"")</f>
        <v>30</v>
      </c>
      <c r="M41" s="72" t="str">
        <f>_xlfn.XLOOKUP(C41,Dados!$C$3:$C$329,Dados!$K$3:$K$329,"")</f>
        <v>Sudeste</v>
      </c>
      <c r="N41" s="71">
        <f>_xlfn.XLOOKUP(C41,Dados!$C$3:$C$329,Dados!$L$3:$L$329,"")</f>
        <v>30</v>
      </c>
      <c r="O41" s="43">
        <f>_xlfn.XLOOKUP(C41,Dados!$C$3:$C$329,Dados!$M$3:$M$329,"")</f>
        <v>0.79061745976269504</v>
      </c>
      <c r="P41" s="43">
        <f>_xlfn.XLOOKUP(C41,Dados!$C$3:$C$329,Dados!$N$3:$N$329,"")</f>
        <v>0.77303336883083895</v>
      </c>
      <c r="Q41" s="43">
        <f>_xlfn.XLOOKUP(C41,Dados!$C$3:$C$329,Dados!$O$3:$O$329,"")</f>
        <v>0.764219464555982</v>
      </c>
      <c r="R41" s="43">
        <f>_xlfn.XLOOKUP(C41,Dados!$C$3:$C$329,Dados!$P$3:$P$329,"")</f>
        <v>0.74873494117946404</v>
      </c>
      <c r="S41" s="43">
        <f>_xlfn.XLOOKUP(C41,Dados!$C$3:$C$329,Dados!$Q$3:$Q$329,"")</f>
        <v>0.95507853172231905</v>
      </c>
      <c r="T41" s="43">
        <f>_xlfn.XLOOKUP(C41,Dados!$C$3:$C$329,Dados!$R$3:$R$329,"")</f>
        <v>0.95048442059370797</v>
      </c>
      <c r="U41" s="43">
        <f>_xlfn.XLOOKUP(C41,Dados!$C$3:$C$329,Dados!$S$3:$S$329,"")</f>
        <v>0.97264356305886501</v>
      </c>
      <c r="V41" s="77">
        <f>_xlfn.XLOOKUP(C41,Dados!$C$3:$C$329,Dados!$T$3:$T$329,"")</f>
        <v>2020.8863115044201</v>
      </c>
      <c r="W41" s="77">
        <f>_xlfn.XLOOKUP(C41,Dados!$C$3:$C$329,Dados!$U$3:$U$329,"")</f>
        <v>1637.04686639645</v>
      </c>
      <c r="X41" s="77">
        <f>_xlfn.XLOOKUP(C41,Dados!$C$3:$C$329,Dados!$V$3:$V$329,"")</f>
        <v>1627.9209842626501</v>
      </c>
      <c r="Y41" s="77">
        <f>_xlfn.XLOOKUP(C41,Dados!$C$3:$C$329,Dados!$W$3:$W$329,"")</f>
        <v>1390.20818407301</v>
      </c>
      <c r="Z41" s="77">
        <f>_xlfn.XLOOKUP(C41,Dados!$C$3:$C$329,Dados!$X$3:$X$329,"")</f>
        <v>1189.50682445442</v>
      </c>
      <c r="AA41" s="20"/>
      <c r="AB41" s="20"/>
      <c r="AC41" s="20"/>
      <c r="AD41" s="20"/>
      <c r="AE41" s="80"/>
      <c r="AF41" s="43">
        <v>0.14589168446812323</v>
      </c>
      <c r="AG41" s="43">
        <v>0.32646731702455561</v>
      </c>
      <c r="AH41" s="43">
        <v>8.8137671377543109E-2</v>
      </c>
      <c r="AI41" s="43">
        <v>0.5898215381336972</v>
      </c>
      <c r="AJ41" s="43">
        <v>0.54476325459197839</v>
      </c>
      <c r="AK41" s="43" cm="1">
        <f t="array" ref="AK41">_xlfn.XLOOKUP(C41,Dados!$C$3:$C$329,Dados!$Z$3:'Dados'!$Z$329,"")</f>
        <v>25.792330964732599</v>
      </c>
      <c r="AL41" s="43" cm="1">
        <f t="array" ref="AL41">_xlfn.XLOOKUP(C41,Dados!$C$3:$C$329,Dados!$AA$3:'Dados'!$AA$329,"")</f>
        <v>23.870692227082198</v>
      </c>
      <c r="AM41" s="43" cm="1">
        <f t="array" ref="AM41">_xlfn.XLOOKUP(C41,Dados!$C$3:$C$329,Dados!$AB$3:'Dados'!$AB$329,"")</f>
        <v>21.4275541005305</v>
      </c>
      <c r="AN41" s="43" cm="1">
        <f t="array" ref="AN41">_xlfn.XLOOKUP(C41,Dados!$C$3:$C$329,Dados!$AC$3:'Dados'!$AC$329,"")</f>
        <v>17.0101186669749</v>
      </c>
      <c r="AO41" s="82" cm="1">
        <f t="array" ref="AO41">_xlfn.XLOOKUP(C41,Dados!$C$3:$C$329,Dados!$AD$3:'Dados'!$AD$329,"")</f>
        <v>18.666347189591299</v>
      </c>
    </row>
    <row r="42" spans="1:41" ht="51" x14ac:dyDescent="0.25">
      <c r="A42" s="2">
        <v>272</v>
      </c>
      <c r="B42" s="3" t="s">
        <v>102</v>
      </c>
      <c r="C42" s="19" t="s">
        <v>103</v>
      </c>
      <c r="D42" s="19" t="s">
        <v>48</v>
      </c>
      <c r="E42" s="19" t="s">
        <v>21</v>
      </c>
      <c r="F42" s="72">
        <f>_xlfn.XLOOKUP(C42,Dados!$C$3:$C$329,Dados!$D$3:$D$329,"")</f>
        <v>20</v>
      </c>
      <c r="G42" s="86">
        <f>_xlfn.XLOOKUP(C42,Dados!$C$3:$C$329,Dados!$E$3:$E$329,"")</f>
        <v>106590</v>
      </c>
      <c r="H42" s="71">
        <f>_xlfn.XLOOKUP(C42,Dados!$C$3:$C$329,Dados!$F$3:$F$329,"")</f>
        <v>106609.66666666667</v>
      </c>
      <c r="I42" s="71">
        <f>_xlfn.XLOOKUP(C42,Dados!$C$3:$C$329,Dados!$G$3:$G$329,"")</f>
        <v>106629.33333333333</v>
      </c>
      <c r="J42" s="71">
        <f>_xlfn.XLOOKUP(C42,Dados!$C$3:$C$329,Dados!$H$3:$H$329,"")</f>
        <v>106649</v>
      </c>
      <c r="K42" s="71">
        <f>_xlfn.XLOOKUP(C42,Dados!$C$3:$C$329,Dados!$I$3:$I$329,"")</f>
        <v>105815</v>
      </c>
      <c r="L42" s="71">
        <f>_xlfn.XLOOKUP(C42,Dados!$C$3:$C$329,Dados!$J$3:$J$329,"")</f>
        <v>5</v>
      </c>
      <c r="M42" s="72" t="str">
        <f>_xlfn.XLOOKUP(C42,Dados!$C$3:$C$329,Dados!$K$3:$K$329,"")</f>
        <v>Sudeste</v>
      </c>
      <c r="N42" s="71">
        <f>_xlfn.XLOOKUP(C42,Dados!$C$3:$C$329,Dados!$L$3:$L$329,"")</f>
        <v>1</v>
      </c>
      <c r="O42" s="43">
        <f>_xlfn.XLOOKUP(C42,Dados!$C$3:$C$329,Dados!$M$3:$M$329,"")</f>
        <v>0.76066380503331499</v>
      </c>
      <c r="P42" s="43">
        <f>_xlfn.XLOOKUP(C42,Dados!$C$3:$C$329,Dados!$N$3:$N$329,"")</f>
        <v>0.75404949169709401</v>
      </c>
      <c r="Q42" s="43">
        <f>_xlfn.XLOOKUP(C42,Dados!$C$3:$C$329,Dados!$O$3:$O$329,"")</f>
        <v>0.74110455137882203</v>
      </c>
      <c r="R42" s="43">
        <f>_xlfn.XLOOKUP(C42,Dados!$C$3:$C$329,Dados!$P$3:$P$329,"")</f>
        <v>0.71119042479799699</v>
      </c>
      <c r="S42" s="43">
        <f>_xlfn.XLOOKUP(C42,Dados!$C$3:$C$329,Dados!$Q$3:$Q$329,"")</f>
        <v>0.70349968238883598</v>
      </c>
      <c r="T42" s="43">
        <f>_xlfn.XLOOKUP(C42,Dados!$C$3:$C$329,Dados!$R$3:$R$329,"")</f>
        <v>0.75560649039663896</v>
      </c>
      <c r="U42" s="43">
        <f>_xlfn.XLOOKUP(C42,Dados!$C$3:$C$329,Dados!$S$3:$S$329,"")</f>
        <v>0.98342118960386105</v>
      </c>
      <c r="V42" s="77">
        <f>_xlfn.XLOOKUP(C42,Dados!$C$3:$C$329,Dados!$T$3:$T$329,"")</f>
        <v>1868.57142170935</v>
      </c>
      <c r="W42" s="77">
        <f>_xlfn.XLOOKUP(C42,Dados!$C$3:$C$329,Dados!$U$3:$U$329,"")</f>
        <v>1396.19138968011</v>
      </c>
      <c r="X42" s="77">
        <f>_xlfn.XLOOKUP(C42,Dados!$C$3:$C$329,Dados!$V$3:$V$329,"")</f>
        <v>1185.7952805044299</v>
      </c>
      <c r="Y42" s="77">
        <f>_xlfn.XLOOKUP(C42,Dados!$C$3:$C$329,Dados!$W$3:$W$329,"")</f>
        <v>1058.27758591267</v>
      </c>
      <c r="Z42" s="77">
        <f>_xlfn.XLOOKUP(C42,Dados!$C$3:$C$329,Dados!$X$3:$X$329,"")</f>
        <v>1040.6542934366601</v>
      </c>
      <c r="AA42" s="20"/>
      <c r="AB42" s="20"/>
      <c r="AC42" s="20"/>
      <c r="AD42" s="20"/>
      <c r="AE42" s="80"/>
      <c r="AF42" s="43" t="e">
        <v>#DIV/0!</v>
      </c>
      <c r="AG42" s="43">
        <v>0.11952027625467185</v>
      </c>
      <c r="AH42" s="43">
        <v>0.13839352901237931</v>
      </c>
      <c r="AI42" s="43">
        <v>0.18993488809937412</v>
      </c>
      <c r="AJ42" s="43" t="e">
        <v>#DIV/0!</v>
      </c>
      <c r="AK42" s="43" cm="1">
        <f t="array" ref="AK42">_xlfn.XLOOKUP(C42,Dados!$C$3:$C$329,Dados!$Z$3:'Dados'!$Z$329,"")</f>
        <v>18.017937892860498</v>
      </c>
      <c r="AL42" s="43" cm="1">
        <f t="array" ref="AL42">_xlfn.XLOOKUP(C42,Dados!$C$3:$C$329,Dados!$AA$3:'Dados'!$AA$329,"")</f>
        <v>14.8516738632207</v>
      </c>
      <c r="AM42" s="43" cm="1">
        <f t="array" ref="AM42">_xlfn.XLOOKUP(C42,Dados!$C$3:$C$329,Dados!$AB$3:'Dados'!$AB$329,"")</f>
        <v>12.947028334917199</v>
      </c>
      <c r="AN42" s="43" cm="1">
        <f t="array" ref="AN42">_xlfn.XLOOKUP(C42,Dados!$C$3:$C$329,Dados!$AC$3:'Dados'!$AC$329,"")</f>
        <v>9.9989967088298997</v>
      </c>
      <c r="AO42" s="82" cm="1">
        <f t="array" ref="AO42">_xlfn.XLOOKUP(C42,Dados!$C$3:$C$329,Dados!$AD$3:'Dados'!$AD$329,"")</f>
        <v>10.1641922222747</v>
      </c>
    </row>
    <row r="43" spans="1:41" ht="76.5" x14ac:dyDescent="0.25">
      <c r="A43" s="2">
        <v>273</v>
      </c>
      <c r="B43" s="3" t="s">
        <v>104</v>
      </c>
      <c r="C43" s="19" t="s">
        <v>105</v>
      </c>
      <c r="D43" s="19" t="s">
        <v>48</v>
      </c>
      <c r="E43" s="19" t="s">
        <v>21</v>
      </c>
      <c r="F43" s="72">
        <f>_xlfn.XLOOKUP(C43,Dados!$C$3:$C$329,Dados!$D$3:$D$329,"")</f>
        <v>11</v>
      </c>
      <c r="G43" s="86">
        <f>_xlfn.XLOOKUP(C43,Dados!$C$3:$C$329,Dados!$E$3:$E$329,"")</f>
        <v>1643187</v>
      </c>
      <c r="H43" s="71">
        <f>_xlfn.XLOOKUP(C43,Dados!$C$3:$C$329,Dados!$F$3:$F$329,"")</f>
        <v>1654637.666666667</v>
      </c>
      <c r="I43" s="71">
        <f>_xlfn.XLOOKUP(C43,Dados!$C$3:$C$329,Dados!$G$3:$G$329,"")</f>
        <v>1666088.333333333</v>
      </c>
      <c r="J43" s="71">
        <f>_xlfn.XLOOKUP(C43,Dados!$C$3:$C$329,Dados!$H$3:$H$329,"")</f>
        <v>1677539</v>
      </c>
      <c r="K43" s="71">
        <f>_xlfn.XLOOKUP(C43,Dados!$C$3:$C$329,Dados!$I$3:$I$329,"")</f>
        <v>1656922</v>
      </c>
      <c r="L43" s="71">
        <f>_xlfn.XLOOKUP(C43,Dados!$C$3:$C$329,Dados!$J$3:$J$329,"")</f>
        <v>25</v>
      </c>
      <c r="M43" s="72" t="str">
        <f>_xlfn.XLOOKUP(C43,Dados!$C$3:$C$329,Dados!$K$3:$K$329,"")</f>
        <v>Sudeste</v>
      </c>
      <c r="N43" s="71">
        <f>_xlfn.XLOOKUP(C43,Dados!$C$3:$C$329,Dados!$L$3:$L$329,"")</f>
        <v>1</v>
      </c>
      <c r="O43" s="43">
        <f>_xlfn.XLOOKUP(C43,Dados!$C$3:$C$329,Dados!$M$3:$M$329,"")</f>
        <v>0.78342741506549396</v>
      </c>
      <c r="P43" s="43">
        <f>_xlfn.XLOOKUP(C43,Dados!$C$3:$C$329,Dados!$N$3:$N$329,"")</f>
        <v>0.76674090519410298</v>
      </c>
      <c r="Q43" s="43">
        <f>_xlfn.XLOOKUP(C43,Dados!$C$3:$C$329,Dados!$O$3:$O$329,"")</f>
        <v>0.75324955902664503</v>
      </c>
      <c r="R43" s="43">
        <f>_xlfn.XLOOKUP(C43,Dados!$C$3:$C$329,Dados!$P$3:$P$329,"")</f>
        <v>0.74066562348740606</v>
      </c>
      <c r="S43" s="43">
        <f>_xlfn.XLOOKUP(C43,Dados!$C$3:$C$329,Dados!$Q$3:$Q$329,"")</f>
        <v>0.88101786373871704</v>
      </c>
      <c r="T43" s="43">
        <f>_xlfn.XLOOKUP(C43,Dados!$C$3:$C$329,Dados!$R$3:$R$329,"")</f>
        <v>0.92954854580539503</v>
      </c>
      <c r="U43" s="43">
        <f>_xlfn.XLOOKUP(C43,Dados!$C$3:$C$329,Dados!$S$3:$S$329,"")</f>
        <v>0.97426713597618397</v>
      </c>
      <c r="V43" s="77">
        <f>_xlfn.XLOOKUP(C43,Dados!$C$3:$C$329,Dados!$T$3:$T$329,"")</f>
        <v>1948.2960813772299</v>
      </c>
      <c r="W43" s="77">
        <f>_xlfn.XLOOKUP(C43,Dados!$C$3:$C$329,Dados!$U$3:$U$329,"")</f>
        <v>1707.3000782689001</v>
      </c>
      <c r="X43" s="77">
        <f>_xlfn.XLOOKUP(C43,Dados!$C$3:$C$329,Dados!$V$3:$V$329,"")</f>
        <v>1470.84768790971</v>
      </c>
      <c r="Y43" s="77">
        <f>_xlfn.XLOOKUP(C43,Dados!$C$3:$C$329,Dados!$W$3:$W$329,"")</f>
        <v>1350.90226894278</v>
      </c>
      <c r="Z43" s="77">
        <f>_xlfn.XLOOKUP(C43,Dados!$C$3:$C$329,Dados!$X$3:$X$329,"")</f>
        <v>1186.8326757867901</v>
      </c>
      <c r="AA43" s="20"/>
      <c r="AB43" s="20"/>
      <c r="AC43" s="20"/>
      <c r="AD43" s="20"/>
      <c r="AE43" s="80"/>
      <c r="AF43" s="43">
        <v>0.17614404979884971</v>
      </c>
      <c r="AG43" s="43">
        <v>0.17593874076561183</v>
      </c>
      <c r="AH43" s="43">
        <v>0.21042767468609605</v>
      </c>
      <c r="AI43" s="43">
        <v>0.22341741616529348</v>
      </c>
      <c r="AJ43" s="43">
        <v>0.27064721697819633</v>
      </c>
      <c r="AK43" s="43" cm="1">
        <f t="array" ref="AK43">_xlfn.XLOOKUP(C43,Dados!$C$3:$C$329,Dados!$Z$3:'Dados'!$Z$329,"")</f>
        <v>15.382092847618701</v>
      </c>
      <c r="AL43" s="43" cm="1">
        <f t="array" ref="AL43">_xlfn.XLOOKUP(C43,Dados!$C$3:$C$329,Dados!$AA$3:'Dados'!$AA$329,"")</f>
        <v>13.2375337762769</v>
      </c>
      <c r="AM43" s="43" cm="1">
        <f t="array" ref="AM43">_xlfn.XLOOKUP(C43,Dados!$C$3:$C$329,Dados!$AB$3:'Dados'!$AB$329,"")</f>
        <v>12.028064538394799</v>
      </c>
      <c r="AN43" s="43" cm="1">
        <f t="array" ref="AN43">_xlfn.XLOOKUP(C43,Dados!$C$3:$C$329,Dados!$AC$3:'Dados'!$AC$329,"")</f>
        <v>9.7658856217351708</v>
      </c>
      <c r="AO43" s="82" cm="1">
        <f t="array" ref="AO43">_xlfn.XLOOKUP(C43,Dados!$C$3:$C$329,Dados!$AD$3:'Dados'!$AD$329,"")</f>
        <v>8.1524682513721203</v>
      </c>
    </row>
    <row r="44" spans="1:41" ht="38.25" x14ac:dyDescent="0.25">
      <c r="A44" s="2">
        <v>274</v>
      </c>
      <c r="B44" s="18" t="s">
        <v>106</v>
      </c>
      <c r="C44" s="19" t="s">
        <v>107</v>
      </c>
      <c r="D44" s="19" t="s">
        <v>48</v>
      </c>
      <c r="E44" s="19" t="s">
        <v>21</v>
      </c>
      <c r="F44" s="72">
        <f>_xlfn.XLOOKUP(C44,Dados!$C$3:$C$329,Dados!$D$3:$D$329,"")</f>
        <v>28</v>
      </c>
      <c r="G44" s="86">
        <f>_xlfn.XLOOKUP(C44,Dados!$C$3:$C$329,Dados!$E$3:$E$329,"")</f>
        <v>306840</v>
      </c>
      <c r="H44" s="71">
        <f>_xlfn.XLOOKUP(C44,Dados!$C$3:$C$329,Dados!$F$3:$F$329,"")</f>
        <v>310459.99999999994</v>
      </c>
      <c r="I44" s="71">
        <f>_xlfn.XLOOKUP(C44,Dados!$C$3:$C$329,Dados!$G$3:$G$329,"")</f>
        <v>314080.00000000006</v>
      </c>
      <c r="J44" s="71">
        <f>_xlfn.XLOOKUP(C44,Dados!$C$3:$C$329,Dados!$H$3:$H$329,"")</f>
        <v>317700</v>
      </c>
      <c r="K44" s="71">
        <f>_xlfn.XLOOKUP(C44,Dados!$C$3:$C$329,Dados!$I$3:$I$329,"")</f>
        <v>316157</v>
      </c>
      <c r="L44" s="71">
        <f>_xlfn.XLOOKUP(C44,Dados!$C$3:$C$329,Dados!$J$3:$J$329,"")</f>
        <v>20</v>
      </c>
      <c r="M44" s="72" t="str">
        <f>_xlfn.XLOOKUP(C44,Dados!$C$3:$C$329,Dados!$K$3:$K$329,"")</f>
        <v>Sudeste</v>
      </c>
      <c r="N44" s="71">
        <f>_xlfn.XLOOKUP(C44,Dados!$C$3:$C$329,Dados!$L$3:$L$329,"")</f>
        <v>25</v>
      </c>
      <c r="O44" s="43">
        <f>_xlfn.XLOOKUP(C44,Dados!$C$3:$C$329,Dados!$M$3:$M$329,"")</f>
        <v>0.76489668631493102</v>
      </c>
      <c r="P44" s="43">
        <f>_xlfn.XLOOKUP(C44,Dados!$C$3:$C$329,Dados!$N$3:$N$329,"")</f>
        <v>0.74445083821531699</v>
      </c>
      <c r="Q44" s="43">
        <f>_xlfn.XLOOKUP(C44,Dados!$C$3:$C$329,Dados!$O$3:$O$329,"")</f>
        <v>0.73183218256216598</v>
      </c>
      <c r="R44" s="43">
        <f>_xlfn.XLOOKUP(C44,Dados!$C$3:$C$329,Dados!$P$3:$P$329,"")</f>
        <v>0.70698446784350799</v>
      </c>
      <c r="S44" s="43">
        <f>_xlfn.XLOOKUP(C44,Dados!$C$3:$C$329,Dados!$Q$3:$Q$329,"")</f>
        <v>0.89204967969943905</v>
      </c>
      <c r="T44" s="43">
        <f>_xlfn.XLOOKUP(C44,Dados!$C$3:$C$329,Dados!$R$3:$R$329,"")</f>
        <v>0.92723017660044105</v>
      </c>
      <c r="U44" s="43">
        <f>_xlfn.XLOOKUP(C44,Dados!$C$3:$C$329,Dados!$S$3:$S$329,"")</f>
        <v>0.97841711018424105</v>
      </c>
      <c r="V44" s="77">
        <f>_xlfn.XLOOKUP(C44,Dados!$C$3:$C$329,Dados!$T$3:$T$329,"")</f>
        <v>2233.0842171164099</v>
      </c>
      <c r="W44" s="77">
        <f>_xlfn.XLOOKUP(C44,Dados!$C$3:$C$329,Dados!$U$3:$U$329,"")</f>
        <v>1706.79669944598</v>
      </c>
      <c r="X44" s="77">
        <f>_xlfn.XLOOKUP(C44,Dados!$C$3:$C$329,Dados!$V$3:$V$329,"")</f>
        <v>1532.0736787654901</v>
      </c>
      <c r="Y44" s="77">
        <f>_xlfn.XLOOKUP(C44,Dados!$C$3:$C$329,Dados!$W$3:$W$329,"")</f>
        <v>1307.1234006924799</v>
      </c>
      <c r="Z44" s="77">
        <f>_xlfn.XLOOKUP(C44,Dados!$C$3:$C$329,Dados!$X$3:$X$329,"")</f>
        <v>1124.9170656983699</v>
      </c>
      <c r="AA44" s="20"/>
      <c r="AB44" s="20"/>
      <c r="AC44" s="20"/>
      <c r="AD44" s="20"/>
      <c r="AE44" s="80"/>
      <c r="AF44" s="43">
        <v>0.15542113112004602</v>
      </c>
      <c r="AG44" s="43">
        <v>9.8527510572997357E-2</v>
      </c>
      <c r="AH44" s="43" t="e">
        <v>#DIV/0!</v>
      </c>
      <c r="AI44" s="43">
        <v>0.12223729589783291</v>
      </c>
      <c r="AJ44" s="43">
        <v>0.1674935582073353</v>
      </c>
      <c r="AK44" s="43" cm="1">
        <f t="array" ref="AK44">_xlfn.XLOOKUP(C44,Dados!$C$3:$C$329,Dados!$Z$3:'Dados'!$Z$329,"")</f>
        <v>16.876003780471901</v>
      </c>
      <c r="AL44" s="43" cm="1">
        <f t="array" ref="AL44">_xlfn.XLOOKUP(C44,Dados!$C$3:$C$329,Dados!$AA$3:'Dados'!$AA$329,"")</f>
        <v>17.203626876248201</v>
      </c>
      <c r="AM44" s="43" cm="1">
        <f t="array" ref="AM44">_xlfn.XLOOKUP(C44,Dados!$C$3:$C$329,Dados!$AB$3:'Dados'!$AB$329,"")</f>
        <v>14.627072720326</v>
      </c>
      <c r="AN44" s="43" cm="1">
        <f t="array" ref="AN44">_xlfn.XLOOKUP(C44,Dados!$C$3:$C$329,Dados!$AC$3:'Dados'!$AC$329,"")</f>
        <v>11.447141957821801</v>
      </c>
      <c r="AO44" s="82" cm="1">
        <f t="array" ref="AO44">_xlfn.XLOOKUP(C44,Dados!$C$3:$C$329,Dados!$AD$3:'Dados'!$AD$329,"")</f>
        <v>11.407009808418</v>
      </c>
    </row>
    <row r="45" spans="1:41" ht="63.75" x14ac:dyDescent="0.25">
      <c r="A45" s="2">
        <v>275</v>
      </c>
      <c r="B45" s="18" t="s">
        <v>108</v>
      </c>
      <c r="C45" s="19" t="s">
        <v>109</v>
      </c>
      <c r="D45" s="19" t="s">
        <v>48</v>
      </c>
      <c r="E45" s="19" t="s">
        <v>21</v>
      </c>
      <c r="F45" s="72">
        <f>_xlfn.XLOOKUP(C45,Dados!$C$3:$C$329,Dados!$D$3:$D$329,"")</f>
        <v>24</v>
      </c>
      <c r="G45" s="86">
        <f>_xlfn.XLOOKUP(C45,Dados!$C$3:$C$329,Dados!$E$3:$E$329,"")</f>
        <v>360324</v>
      </c>
      <c r="H45" s="71">
        <f>_xlfn.XLOOKUP(C45,Dados!$C$3:$C$329,Dados!$F$3:$F$329,"")</f>
        <v>358981.33333333331</v>
      </c>
      <c r="I45" s="71">
        <f>_xlfn.XLOOKUP(C45,Dados!$C$3:$C$329,Dados!$G$3:$G$329,"")</f>
        <v>357638.66666666669</v>
      </c>
      <c r="J45" s="71">
        <f>_xlfn.XLOOKUP(C45,Dados!$C$3:$C$329,Dados!$H$3:$H$329,"")</f>
        <v>356296</v>
      </c>
      <c r="K45" s="71">
        <f>_xlfn.XLOOKUP(C45,Dados!$C$3:$C$329,Dados!$I$3:$I$329,"")</f>
        <v>354266</v>
      </c>
      <c r="L45" s="71">
        <f>_xlfn.XLOOKUP(C45,Dados!$C$3:$C$329,Dados!$J$3:$J$329,"")</f>
        <v>20</v>
      </c>
      <c r="M45" s="72" t="str">
        <f>_xlfn.XLOOKUP(C45,Dados!$C$3:$C$329,Dados!$K$3:$K$329,"")</f>
        <v>Sudeste</v>
      </c>
      <c r="N45" s="71">
        <f>_xlfn.XLOOKUP(C45,Dados!$C$3:$C$329,Dados!$L$3:$L$329,"")</f>
        <v>49</v>
      </c>
      <c r="O45" s="43">
        <f>_xlfn.XLOOKUP(C45,Dados!$C$3:$C$329,Dados!$M$3:$M$329,"")</f>
        <v>0.76221150124797599</v>
      </c>
      <c r="P45" s="43">
        <f>_xlfn.XLOOKUP(C45,Dados!$C$3:$C$329,Dados!$N$3:$N$329,"")</f>
        <v>0.73277164083674795</v>
      </c>
      <c r="Q45" s="43">
        <f>_xlfn.XLOOKUP(C45,Dados!$C$3:$C$329,Dados!$O$3:$O$329,"")</f>
        <v>0.71981365802591102</v>
      </c>
      <c r="R45" s="43">
        <f>_xlfn.XLOOKUP(C45,Dados!$C$3:$C$329,Dados!$P$3:$P$329,"")</f>
        <v>0.701328607317665</v>
      </c>
      <c r="S45" s="43">
        <f>_xlfn.XLOOKUP(C45,Dados!$C$3:$C$329,Dados!$Q$3:$Q$329,"")</f>
        <v>0.82876764192164198</v>
      </c>
      <c r="T45" s="43">
        <f>_xlfn.XLOOKUP(C45,Dados!$C$3:$C$329,Dados!$R$3:$R$329,"")</f>
        <v>0.86179844917961901</v>
      </c>
      <c r="U45" s="43">
        <f>_xlfn.XLOOKUP(C45,Dados!$C$3:$C$329,Dados!$S$3:$S$329,"")</f>
        <v>0.94276556151646496</v>
      </c>
      <c r="V45" s="77">
        <f>_xlfn.XLOOKUP(C45,Dados!$C$3:$C$329,Dados!$T$3:$T$329,"")</f>
        <v>1818.02198354814</v>
      </c>
      <c r="W45" s="77">
        <f>_xlfn.XLOOKUP(C45,Dados!$C$3:$C$329,Dados!$U$3:$U$329,"")</f>
        <v>1619.18253731856</v>
      </c>
      <c r="X45" s="77">
        <f>_xlfn.XLOOKUP(C45,Dados!$C$3:$C$329,Dados!$V$3:$V$329,"")</f>
        <v>1368.6161492884801</v>
      </c>
      <c r="Y45" s="77">
        <f>_xlfn.XLOOKUP(C45,Dados!$C$3:$C$329,Dados!$W$3:$W$329,"")</f>
        <v>1240.45893784943</v>
      </c>
      <c r="Z45" s="77">
        <f>_xlfn.XLOOKUP(C45,Dados!$C$3:$C$329,Dados!$X$3:$X$329,"")</f>
        <v>1071.21801126837</v>
      </c>
      <c r="AA45" s="20"/>
      <c r="AB45" s="20"/>
      <c r="AC45" s="20"/>
      <c r="AD45" s="20"/>
      <c r="AE45" s="80"/>
      <c r="AF45" s="43" t="e">
        <v>#DIV/0!</v>
      </c>
      <c r="AG45" s="43">
        <v>0.26875553960024612</v>
      </c>
      <c r="AH45" s="43">
        <v>0.51165661193218948</v>
      </c>
      <c r="AI45" s="43">
        <v>0.85110072456908714</v>
      </c>
      <c r="AJ45" s="43">
        <v>0.84059734362351646</v>
      </c>
      <c r="AK45" s="43" cm="1">
        <f t="array" ref="AK45">_xlfn.XLOOKUP(C45,Dados!$C$3:$C$329,Dados!$Z$3:'Dados'!$Z$329,"")</f>
        <v>15.5233040263763</v>
      </c>
      <c r="AL45" s="43" cm="1">
        <f t="array" ref="AL45">_xlfn.XLOOKUP(C45,Dados!$C$3:$C$329,Dados!$AA$3:'Dados'!$AA$329,"")</f>
        <v>13.501534898750499</v>
      </c>
      <c r="AM45" s="43" cm="1">
        <f t="array" ref="AM45">_xlfn.XLOOKUP(C45,Dados!$C$3:$C$329,Dados!$AB$3:'Dados'!$AB$329,"")</f>
        <v>11.5881233945621</v>
      </c>
      <c r="AN45" s="43" cm="1">
        <f t="array" ref="AN45">_xlfn.XLOOKUP(C45,Dados!$C$3:$C$329,Dados!$AC$3:'Dados'!$AC$329,"")</f>
        <v>10.4922620517772</v>
      </c>
      <c r="AO45" s="82" cm="1">
        <f t="array" ref="AO45">_xlfn.XLOOKUP(C45,Dados!$C$3:$C$329,Dados!$AD$3:'Dados'!$AD$329,"")</f>
        <v>9.0047393766266008</v>
      </c>
    </row>
    <row r="46" spans="1:41" ht="76.5" x14ac:dyDescent="0.25">
      <c r="A46" s="2">
        <v>276</v>
      </c>
      <c r="B46" s="18" t="s">
        <v>110</v>
      </c>
      <c r="C46" s="19" t="s">
        <v>111</v>
      </c>
      <c r="D46" s="19" t="s">
        <v>48</v>
      </c>
      <c r="E46" s="19" t="s">
        <v>21</v>
      </c>
      <c r="F46" s="72">
        <f>_xlfn.XLOOKUP(C46,Dados!$C$3:$C$329,Dados!$D$3:$D$329,"")</f>
        <v>29</v>
      </c>
      <c r="G46" s="86">
        <f>_xlfn.XLOOKUP(C46,Dados!$C$3:$C$329,Dados!$E$3:$E$329,"")</f>
        <v>254874</v>
      </c>
      <c r="H46" s="71">
        <f>_xlfn.XLOOKUP(C46,Dados!$C$3:$C$329,Dados!$F$3:$F$329,"")</f>
        <v>255452</v>
      </c>
      <c r="I46" s="71">
        <f>_xlfn.XLOOKUP(C46,Dados!$C$3:$C$329,Dados!$G$3:$G$329,"")</f>
        <v>256030</v>
      </c>
      <c r="J46" s="71">
        <f>_xlfn.XLOOKUP(C46,Dados!$C$3:$C$329,Dados!$H$3:$H$329,"")</f>
        <v>256608</v>
      </c>
      <c r="K46" s="71">
        <f>_xlfn.XLOOKUP(C46,Dados!$C$3:$C$329,Dados!$I$3:$I$329,"")</f>
        <v>256247</v>
      </c>
      <c r="L46" s="71">
        <f>_xlfn.XLOOKUP(C46,Dados!$C$3:$C$329,Dados!$J$3:$J$329,"")</f>
        <v>17</v>
      </c>
      <c r="M46" s="72" t="str">
        <f>_xlfn.XLOOKUP(C46,Dados!$C$3:$C$329,Dados!$K$3:$K$329,"")</f>
        <v>Sudeste</v>
      </c>
      <c r="N46" s="71">
        <f>_xlfn.XLOOKUP(C46,Dados!$C$3:$C$329,Dados!$L$3:$L$329,"")</f>
        <v>20</v>
      </c>
      <c r="O46" s="43">
        <f>_xlfn.XLOOKUP(C46,Dados!$C$3:$C$329,Dados!$M$3:$M$329,"")</f>
        <v>0.70273656303336796</v>
      </c>
      <c r="P46" s="43">
        <f>_xlfn.XLOOKUP(C46,Dados!$C$3:$C$329,Dados!$N$3:$N$329,"")</f>
        <v>0.685693257560963</v>
      </c>
      <c r="Q46" s="43">
        <f>_xlfn.XLOOKUP(C46,Dados!$C$3:$C$329,Dados!$O$3:$O$329,"")</f>
        <v>0.65242070005611696</v>
      </c>
      <c r="R46" s="43">
        <f>_xlfn.XLOOKUP(C46,Dados!$C$3:$C$329,Dados!$P$3:$P$329,"")</f>
        <v>0.643272837535659</v>
      </c>
      <c r="S46" s="43">
        <f>_xlfn.XLOOKUP(C46,Dados!$C$3:$C$329,Dados!$Q$3:$Q$329,"")</f>
        <v>0.679970335637751</v>
      </c>
      <c r="T46" s="43">
        <f>_xlfn.XLOOKUP(C46,Dados!$C$3:$C$329,Dados!$R$3:$R$329,"")</f>
        <v>0.81406178221302194</v>
      </c>
      <c r="U46" s="43">
        <f>_xlfn.XLOOKUP(C46,Dados!$C$3:$C$329,Dados!$S$3:$S$329,"")</f>
        <v>0.94261672902914995</v>
      </c>
      <c r="V46" s="77">
        <f>_xlfn.XLOOKUP(C46,Dados!$C$3:$C$329,Dados!$T$3:$T$329,"")</f>
        <v>1701.43728481524</v>
      </c>
      <c r="W46" s="77">
        <f>_xlfn.XLOOKUP(C46,Dados!$C$3:$C$329,Dados!$U$3:$U$329,"")</f>
        <v>1431.3610513129699</v>
      </c>
      <c r="X46" s="77">
        <f>_xlfn.XLOOKUP(C46,Dados!$C$3:$C$329,Dados!$V$3:$V$329,"")</f>
        <v>1228.59306441953</v>
      </c>
      <c r="Y46" s="77">
        <f>_xlfn.XLOOKUP(C46,Dados!$C$3:$C$329,Dados!$W$3:$W$329,"")</f>
        <v>931.19614306646702</v>
      </c>
      <c r="Z46" s="77">
        <f>_xlfn.XLOOKUP(C46,Dados!$C$3:$C$329,Dados!$X$3:$X$329,"")</f>
        <v>937.78374474628004</v>
      </c>
      <c r="AA46" s="20"/>
      <c r="AB46" s="20"/>
      <c r="AC46" s="20"/>
      <c r="AD46" s="20"/>
      <c r="AE46" s="80"/>
      <c r="AF46" s="43" t="e">
        <v>#DIV/0!</v>
      </c>
      <c r="AG46" s="43" t="e">
        <v>#DIV/0!</v>
      </c>
      <c r="AH46" s="43" t="e">
        <v>#DIV/0!</v>
      </c>
      <c r="AI46" s="43">
        <v>0</v>
      </c>
      <c r="AJ46" s="43" t="e">
        <v>#DIV/0!</v>
      </c>
      <c r="AK46" s="43" cm="1">
        <f t="array" ref="AK46">_xlfn.XLOOKUP(C46,Dados!$C$3:$C$329,Dados!$Z$3:'Dados'!$Z$329,"")</f>
        <v>13.6744548286604</v>
      </c>
      <c r="AL46" s="43" cm="1">
        <f t="array" ref="AL46">_xlfn.XLOOKUP(C46,Dados!$C$3:$C$329,Dados!$AA$3:'Dados'!$AA$329,"")</f>
        <v>11.5636244773969</v>
      </c>
      <c r="AM46" s="43" cm="1">
        <f t="array" ref="AM46">_xlfn.XLOOKUP(C46,Dados!$C$3:$C$329,Dados!$AB$3:'Dados'!$AB$329,"")</f>
        <v>11.1775377885404</v>
      </c>
      <c r="AN46" s="43" cm="1">
        <f t="array" ref="AN46">_xlfn.XLOOKUP(C46,Dados!$C$3:$C$329,Dados!$AC$3:'Dados'!$AC$329,"")</f>
        <v>7.9624446626761403</v>
      </c>
      <c r="AO46" s="82" cm="1">
        <f t="array" ref="AO46">_xlfn.XLOOKUP(C46,Dados!$C$3:$C$329,Dados!$AD$3:'Dados'!$AD$329,"")</f>
        <v>13.7583230242696</v>
      </c>
    </row>
    <row r="47" spans="1:41" ht="38.25" x14ac:dyDescent="0.25">
      <c r="A47" s="2">
        <v>277</v>
      </c>
      <c r="B47" s="3" t="s">
        <v>112</v>
      </c>
      <c r="C47" s="19" t="s">
        <v>113</v>
      </c>
      <c r="D47" s="19" t="s">
        <v>48</v>
      </c>
      <c r="E47" s="19" t="s">
        <v>21</v>
      </c>
      <c r="F47" s="72">
        <f>_xlfn.XLOOKUP(C47,Dados!$C$3:$C$329,Dados!$D$3:$D$329,"")</f>
        <v>24</v>
      </c>
      <c r="G47" s="86">
        <f>_xlfn.XLOOKUP(C47,Dados!$C$3:$C$329,Dados!$E$3:$E$329,"")</f>
        <v>936049</v>
      </c>
      <c r="H47" s="71">
        <f>_xlfn.XLOOKUP(C47,Dados!$C$3:$C$329,Dados!$F$3:$F$329,"")</f>
        <v>929133</v>
      </c>
      <c r="I47" s="71">
        <f>_xlfn.XLOOKUP(C47,Dados!$C$3:$C$329,Dados!$G$3:$G$329,"")</f>
        <v>922217</v>
      </c>
      <c r="J47" s="71">
        <f>_xlfn.XLOOKUP(C47,Dados!$C$3:$C$329,Dados!$H$3:$H$329,"")</f>
        <v>915301</v>
      </c>
      <c r="K47" s="71">
        <f>_xlfn.XLOOKUP(C47,Dados!$C$3:$C$329,Dados!$I$3:$I$329,"")</f>
        <v>906034</v>
      </c>
      <c r="L47" s="71">
        <f>_xlfn.XLOOKUP(C47,Dados!$C$3:$C$329,Dados!$J$3:$J$329,"")</f>
        <v>18</v>
      </c>
      <c r="M47" s="72" t="str">
        <f>_xlfn.XLOOKUP(C47,Dados!$C$3:$C$329,Dados!$K$3:$K$329,"")</f>
        <v>Sudeste</v>
      </c>
      <c r="N47" s="71">
        <f>_xlfn.XLOOKUP(C47,Dados!$C$3:$C$329,Dados!$L$3:$L$329,"")</f>
        <v>36</v>
      </c>
      <c r="O47" s="43">
        <f>_xlfn.XLOOKUP(C47,Dados!$C$3:$C$329,Dados!$M$3:$M$329,"")</f>
        <v>0.75766258483267002</v>
      </c>
      <c r="P47" s="43">
        <f>_xlfn.XLOOKUP(C47,Dados!$C$3:$C$329,Dados!$N$3:$N$329,"")</f>
        <v>0.73955758163931795</v>
      </c>
      <c r="Q47" s="43">
        <f>_xlfn.XLOOKUP(C47,Dados!$C$3:$C$329,Dados!$O$3:$O$329,"")</f>
        <v>0.70239493423474897</v>
      </c>
      <c r="R47" s="43">
        <f>_xlfn.XLOOKUP(C47,Dados!$C$3:$C$329,Dados!$P$3:$P$329,"")</f>
        <v>0.69577137778494003</v>
      </c>
      <c r="S47" s="43">
        <f>_xlfn.XLOOKUP(C47,Dados!$C$3:$C$329,Dados!$Q$3:$Q$329,"")</f>
        <v>0.71237775700657602</v>
      </c>
      <c r="T47" s="43">
        <f>_xlfn.XLOOKUP(C47,Dados!$C$3:$C$329,Dados!$R$3:$R$329,"")</f>
        <v>0.82904320859407299</v>
      </c>
      <c r="U47" s="43">
        <f>_xlfn.XLOOKUP(C47,Dados!$C$3:$C$329,Dados!$S$3:$S$329,"")</f>
        <v>0.97986914717468898</v>
      </c>
      <c r="V47" s="77">
        <f>_xlfn.XLOOKUP(C47,Dados!$C$3:$C$329,Dados!$T$3:$T$329,"")</f>
        <v>2176.9029376774101</v>
      </c>
      <c r="W47" s="77">
        <f>_xlfn.XLOOKUP(C47,Dados!$C$3:$C$329,Dados!$U$3:$U$329,"")</f>
        <v>2001.6429019419199</v>
      </c>
      <c r="X47" s="77">
        <f>_xlfn.XLOOKUP(C47,Dados!$C$3:$C$329,Dados!$V$3:$V$329,"")</f>
        <v>1718.6677131015099</v>
      </c>
      <c r="Y47" s="77">
        <f>_xlfn.XLOOKUP(C47,Dados!$C$3:$C$329,Dados!$W$3:$W$329,"")</f>
        <v>1370.6255762093599</v>
      </c>
      <c r="Z47" s="77">
        <f>_xlfn.XLOOKUP(C47,Dados!$C$3:$C$329,Dados!$X$3:$X$329,"")</f>
        <v>1366.0415618619199</v>
      </c>
      <c r="AA47" s="20"/>
      <c r="AB47" s="20"/>
      <c r="AC47" s="20"/>
      <c r="AD47" s="20"/>
      <c r="AE47" s="80"/>
      <c r="AF47" s="43">
        <v>0.75855827764854344</v>
      </c>
      <c r="AG47" s="43">
        <v>0.80610802799193693</v>
      </c>
      <c r="AH47" s="43">
        <v>0.46972382455565237</v>
      </c>
      <c r="AI47" s="43">
        <v>0.71295693305231667</v>
      </c>
      <c r="AJ47" s="43">
        <v>0.84786867184355019</v>
      </c>
      <c r="AK47" s="43" cm="1">
        <f t="array" ref="AK47">_xlfn.XLOOKUP(C47,Dados!$C$3:$C$329,Dados!$Z$3:'Dados'!$Z$329,"")</f>
        <v>15.342114568788601</v>
      </c>
      <c r="AL47" s="43" cm="1">
        <f t="array" ref="AL47">_xlfn.XLOOKUP(C47,Dados!$C$3:$C$329,Dados!$AA$3:'Dados'!$AA$329,"")</f>
        <v>14.826480170223199</v>
      </c>
      <c r="AM47" s="43" cm="1">
        <f t="array" ref="AM47">_xlfn.XLOOKUP(C47,Dados!$C$3:$C$329,Dados!$AB$3:'Dados'!$AB$329,"")</f>
        <v>14.8322726646765</v>
      </c>
      <c r="AN47" s="43" cm="1">
        <f t="array" ref="AN47">_xlfn.XLOOKUP(C47,Dados!$C$3:$C$329,Dados!$AC$3:'Dados'!$AC$329,"")</f>
        <v>12.508894888129699</v>
      </c>
      <c r="AO47" s="82" cm="1">
        <f t="array" ref="AO47">_xlfn.XLOOKUP(C47,Dados!$C$3:$C$329,Dados!$AD$3:'Dados'!$AD$329,"")</f>
        <v>11.705114819090699</v>
      </c>
    </row>
    <row r="48" spans="1:41" ht="51" x14ac:dyDescent="0.25">
      <c r="A48" s="2">
        <v>278</v>
      </c>
      <c r="B48" s="18" t="s">
        <v>114</v>
      </c>
      <c r="C48" s="19" t="s">
        <v>115</v>
      </c>
      <c r="D48" s="19" t="s">
        <v>48</v>
      </c>
      <c r="E48" s="19" t="s">
        <v>21</v>
      </c>
      <c r="F48" s="72">
        <f>_xlfn.XLOOKUP(C48,Dados!$C$3:$C$329,Dados!$D$3:$D$329,"")</f>
        <v>14</v>
      </c>
      <c r="G48" s="86">
        <f>_xlfn.XLOOKUP(C48,Dados!$C$3:$C$329,Dados!$E$3:$E$329,"")</f>
        <v>3043922</v>
      </c>
      <c r="H48" s="71">
        <f>_xlfn.XLOOKUP(C48,Dados!$C$3:$C$329,Dados!$F$3:$F$329,"")</f>
        <v>3065162.0000000005</v>
      </c>
      <c r="I48" s="71">
        <f>_xlfn.XLOOKUP(C48,Dados!$C$3:$C$329,Dados!$G$3:$G$329,"")</f>
        <v>3086401.9999999995</v>
      </c>
      <c r="J48" s="71">
        <f>_xlfn.XLOOKUP(C48,Dados!$C$3:$C$329,Dados!$H$3:$H$329,"")</f>
        <v>3107642</v>
      </c>
      <c r="K48" s="71">
        <f>_xlfn.XLOOKUP(C48,Dados!$C$3:$C$329,Dados!$I$3:$I$329,"")</f>
        <v>3077629</v>
      </c>
      <c r="L48" s="71">
        <f>_xlfn.XLOOKUP(C48,Dados!$C$3:$C$329,Dados!$J$3:$J$329,"")</f>
        <v>12</v>
      </c>
      <c r="M48" s="72" t="str">
        <f>_xlfn.XLOOKUP(C48,Dados!$C$3:$C$329,Dados!$K$3:$K$329,"")</f>
        <v>Sudeste</v>
      </c>
      <c r="N48" s="71">
        <f>_xlfn.XLOOKUP(C48,Dados!$C$3:$C$329,Dados!$L$3:$L$329,"")</f>
        <v>31</v>
      </c>
      <c r="O48" s="43">
        <f>_xlfn.XLOOKUP(C48,Dados!$C$3:$C$329,Dados!$M$3:$M$329,"")</f>
        <v>0.75470261543544304</v>
      </c>
      <c r="P48" s="43">
        <f>_xlfn.XLOOKUP(C48,Dados!$C$3:$C$329,Dados!$N$3:$N$329,"")</f>
        <v>0.73087526138850401</v>
      </c>
      <c r="Q48" s="43">
        <f>_xlfn.XLOOKUP(C48,Dados!$C$3:$C$329,Dados!$O$3:$O$329,"")</f>
        <v>0.71466495674212105</v>
      </c>
      <c r="R48" s="43">
        <f>_xlfn.XLOOKUP(C48,Dados!$C$3:$C$329,Dados!$P$3:$P$329,"")</f>
        <v>0.70383394853635695</v>
      </c>
      <c r="S48" s="43">
        <f>_xlfn.XLOOKUP(C48,Dados!$C$3:$C$329,Dados!$Q$3:$Q$329,"")</f>
        <v>0.86347319298220604</v>
      </c>
      <c r="T48" s="43">
        <f>_xlfn.XLOOKUP(C48,Dados!$C$3:$C$329,Dados!$R$3:$R$329,"")</f>
        <v>0.95501551040121602</v>
      </c>
      <c r="U48" s="43">
        <f>_xlfn.XLOOKUP(C48,Dados!$C$3:$C$329,Dados!$S$3:$S$329,"")</f>
        <v>0.99206260408289904</v>
      </c>
      <c r="V48" s="77">
        <f>_xlfn.XLOOKUP(C48,Dados!$C$3:$C$329,Dados!$T$3:$T$329,"")</f>
        <v>1151.8439957856999</v>
      </c>
      <c r="W48" s="77">
        <f>_xlfn.XLOOKUP(C48,Dados!$C$3:$C$329,Dados!$U$3:$U$329,"")</f>
        <v>1036.9340142348101</v>
      </c>
      <c r="X48" s="77">
        <f>_xlfn.XLOOKUP(C48,Dados!$C$3:$C$329,Dados!$V$3:$V$329,"")</f>
        <v>910.94614977677395</v>
      </c>
      <c r="Y48" s="77">
        <f>_xlfn.XLOOKUP(C48,Dados!$C$3:$C$329,Dados!$W$3:$W$329,"")</f>
        <v>809.27996398877406</v>
      </c>
      <c r="Z48" s="77">
        <f>_xlfn.XLOOKUP(C48,Dados!$C$3:$C$329,Dados!$X$3:$X$329,"")</f>
        <v>757.15829407313197</v>
      </c>
      <c r="AA48" s="20"/>
      <c r="AB48" s="20"/>
      <c r="AC48" s="20"/>
      <c r="AD48" s="20"/>
      <c r="AE48" s="80"/>
      <c r="AF48" s="43">
        <v>8.161338176846801E-2</v>
      </c>
      <c r="AG48" s="43">
        <v>8.8193856940240511E-2</v>
      </c>
      <c r="AH48" s="43">
        <v>7.9132997019426818E-2</v>
      </c>
      <c r="AI48" s="43">
        <v>0.10092472985486411</v>
      </c>
      <c r="AJ48" s="43">
        <v>0.12373036262261193</v>
      </c>
      <c r="AK48" s="43" cm="1">
        <f t="array" ref="AK48">_xlfn.XLOOKUP(C48,Dados!$C$3:$C$329,Dados!$Z$3:'Dados'!$Z$329,"")</f>
        <v>12.603823291135599</v>
      </c>
      <c r="AL48" s="43" cm="1">
        <f t="array" ref="AL48">_xlfn.XLOOKUP(C48,Dados!$C$3:$C$329,Dados!$AA$3:'Dados'!$AA$329,"")</f>
        <v>11.0880517897586</v>
      </c>
      <c r="AM48" s="43" cm="1">
        <f t="array" ref="AM48">_xlfn.XLOOKUP(C48,Dados!$C$3:$C$329,Dados!$AB$3:'Dados'!$AB$329,"")</f>
        <v>9.4374822203977295</v>
      </c>
      <c r="AN48" s="43" cm="1">
        <f t="array" ref="AN48">_xlfn.XLOOKUP(C48,Dados!$C$3:$C$329,Dados!$AC$3:'Dados'!$AC$329,"")</f>
        <v>8.5322881464467297</v>
      </c>
      <c r="AO48" s="82" cm="1">
        <f t="array" ref="AO48">_xlfn.XLOOKUP(C48,Dados!$C$3:$C$329,Dados!$AD$3:'Dados'!$AD$329,"")</f>
        <v>7.7187185330005699</v>
      </c>
    </row>
    <row r="49" spans="1:41" ht="38.25" x14ac:dyDescent="0.25">
      <c r="A49" s="2">
        <v>279</v>
      </c>
      <c r="B49" s="18" t="s">
        <v>116</v>
      </c>
      <c r="C49" s="19" t="s">
        <v>117</v>
      </c>
      <c r="D49" s="19" t="s">
        <v>48</v>
      </c>
      <c r="E49" s="19" t="s">
        <v>21</v>
      </c>
      <c r="F49" s="72">
        <f>_xlfn.XLOOKUP(C49,Dados!$C$3:$C$329,Dados!$D$3:$D$329,"")</f>
        <v>15</v>
      </c>
      <c r="G49" s="86">
        <f>_xlfn.XLOOKUP(C49,Dados!$C$3:$C$329,Dados!$E$3:$E$329,"")</f>
        <v>2789011</v>
      </c>
      <c r="H49" s="71">
        <f>_xlfn.XLOOKUP(C49,Dados!$C$3:$C$329,Dados!$F$3:$F$329,"")</f>
        <v>2801023.333333333</v>
      </c>
      <c r="I49" s="71">
        <f>_xlfn.XLOOKUP(C49,Dados!$C$3:$C$329,Dados!$G$3:$G$329,"")</f>
        <v>2813035.6666666665</v>
      </c>
      <c r="J49" s="71">
        <f>_xlfn.XLOOKUP(C49,Dados!$C$3:$C$329,Dados!$H$3:$H$329,"")</f>
        <v>2825048</v>
      </c>
      <c r="K49" s="71">
        <f>_xlfn.XLOOKUP(C49,Dados!$C$3:$C$329,Dados!$I$3:$I$329,"")</f>
        <v>2807712</v>
      </c>
      <c r="L49" s="71">
        <f>_xlfn.XLOOKUP(C49,Dados!$C$3:$C$329,Dados!$J$3:$J$329,"")</f>
        <v>7</v>
      </c>
      <c r="M49" s="72" t="str">
        <f>_xlfn.XLOOKUP(C49,Dados!$C$3:$C$329,Dados!$K$3:$K$329,"")</f>
        <v>Sudeste</v>
      </c>
      <c r="N49" s="71">
        <f>_xlfn.XLOOKUP(C49,Dados!$C$3:$C$329,Dados!$L$3:$L$329,"")</f>
        <v>27</v>
      </c>
      <c r="O49" s="43">
        <f>_xlfn.XLOOKUP(C49,Dados!$C$3:$C$329,Dados!$M$3:$M$329,"")</f>
        <v>0.73823487985938496</v>
      </c>
      <c r="P49" s="43">
        <f>_xlfn.XLOOKUP(C49,Dados!$C$3:$C$329,Dados!$N$3:$N$329,"")</f>
        <v>0.72467280814190405</v>
      </c>
      <c r="Q49" s="43">
        <f>_xlfn.XLOOKUP(C49,Dados!$C$3:$C$329,Dados!$O$3:$O$329,"")</f>
        <v>0.69446494838317796</v>
      </c>
      <c r="R49" s="43">
        <f>_xlfn.XLOOKUP(C49,Dados!$C$3:$C$329,Dados!$P$3:$P$329,"")</f>
        <v>0.67758601398576501</v>
      </c>
      <c r="S49" s="43">
        <f>_xlfn.XLOOKUP(C49,Dados!$C$3:$C$329,Dados!$Q$3:$Q$329,"")</f>
        <v>0.69783523517357904</v>
      </c>
      <c r="T49" s="43">
        <f>_xlfn.XLOOKUP(C49,Dados!$C$3:$C$329,Dados!$R$3:$R$329,"")</f>
        <v>0.79717575424745801</v>
      </c>
      <c r="U49" s="43">
        <f>_xlfn.XLOOKUP(C49,Dados!$C$3:$C$329,Dados!$S$3:$S$329,"")</f>
        <v>0.85820826556648699</v>
      </c>
      <c r="V49" s="77">
        <f>_xlfn.XLOOKUP(C49,Dados!$C$3:$C$329,Dados!$T$3:$T$329,"")</f>
        <v>1666.7798524172199</v>
      </c>
      <c r="W49" s="77">
        <f>_xlfn.XLOOKUP(C49,Dados!$C$3:$C$329,Dados!$U$3:$U$329,"")</f>
        <v>1500.4738493110301</v>
      </c>
      <c r="X49" s="77">
        <f>_xlfn.XLOOKUP(C49,Dados!$C$3:$C$329,Dados!$V$3:$V$329,"")</f>
        <v>1407.09196559067</v>
      </c>
      <c r="Y49" s="77">
        <f>_xlfn.XLOOKUP(C49,Dados!$C$3:$C$329,Dados!$W$3:$W$329,"")</f>
        <v>1353.9923297161699</v>
      </c>
      <c r="Z49" s="77">
        <f>_xlfn.XLOOKUP(C49,Dados!$C$3:$C$329,Dados!$X$3:$X$329,"")</f>
        <v>1254.90143779348</v>
      </c>
      <c r="AA49" s="20"/>
      <c r="AB49" s="20"/>
      <c r="AC49" s="20"/>
      <c r="AD49" s="20"/>
      <c r="AE49" s="80"/>
      <c r="AF49" s="43">
        <v>0.48540092527743728</v>
      </c>
      <c r="AG49" s="43">
        <v>0.55399170788624552</v>
      </c>
      <c r="AH49" s="43">
        <v>0.40318849517708366</v>
      </c>
      <c r="AI49" s="43">
        <v>0.46248556312465505</v>
      </c>
      <c r="AJ49" s="43">
        <v>0.22170114210985165</v>
      </c>
      <c r="AK49" s="43" cm="1">
        <f t="array" ref="AK49">_xlfn.XLOOKUP(C49,Dados!$C$3:$C$329,Dados!$Z$3:'Dados'!$Z$329,"")</f>
        <v>12.950013822103999</v>
      </c>
      <c r="AL49" s="43" cm="1">
        <f t="array" ref="AL49">_xlfn.XLOOKUP(C49,Dados!$C$3:$C$329,Dados!$AA$3:'Dados'!$AA$329,"")</f>
        <v>11.9517379957563</v>
      </c>
      <c r="AM49" s="43" cm="1">
        <f t="array" ref="AM49">_xlfn.XLOOKUP(C49,Dados!$C$3:$C$329,Dados!$AB$3:'Dados'!$AB$329,"")</f>
        <v>10.587250404574799</v>
      </c>
      <c r="AN49" s="43" cm="1">
        <f t="array" ref="AN49">_xlfn.XLOOKUP(C49,Dados!$C$3:$C$329,Dados!$AC$3:'Dados'!$AC$329,"")</f>
        <v>8.7419958882114592</v>
      </c>
      <c r="AO49" s="82" cm="1">
        <f t="array" ref="AO49">_xlfn.XLOOKUP(C49,Dados!$C$3:$C$329,Dados!$AD$3:'Dados'!$AD$329,"")</f>
        <v>7.5930554843231803</v>
      </c>
    </row>
    <row r="50" spans="1:41" ht="63.75" x14ac:dyDescent="0.25">
      <c r="A50" s="2">
        <v>281</v>
      </c>
      <c r="B50" s="3" t="s">
        <v>118</v>
      </c>
      <c r="C50" s="19" t="s">
        <v>119</v>
      </c>
      <c r="D50" s="19" t="s">
        <v>48</v>
      </c>
      <c r="E50" s="19" t="s">
        <v>21</v>
      </c>
      <c r="F50" s="72">
        <f>_xlfn.XLOOKUP(C50,Dados!$C$3:$C$329,Dados!$D$3:$D$329,"")</f>
        <v>22</v>
      </c>
      <c r="G50" s="86">
        <f>_xlfn.XLOOKUP(C50,Dados!$C$3:$C$329,Dados!$E$3:$E$329,"")</f>
        <v>1159902</v>
      </c>
      <c r="H50" s="71">
        <f>_xlfn.XLOOKUP(C50,Dados!$C$3:$C$329,Dados!$F$3:$F$329,"")</f>
        <v>1168913.3333333333</v>
      </c>
      <c r="I50" s="71">
        <f>_xlfn.XLOOKUP(C50,Dados!$C$3:$C$329,Dados!$G$3:$G$329,"")</f>
        <v>1177924.6666666667</v>
      </c>
      <c r="J50" s="71">
        <f>_xlfn.XLOOKUP(C50,Dados!$C$3:$C$329,Dados!$H$3:$H$329,"")</f>
        <v>1186936</v>
      </c>
      <c r="K50" s="71">
        <f>_xlfn.XLOOKUP(C50,Dados!$C$3:$C$329,Dados!$I$3:$I$329,"")</f>
        <v>1172450</v>
      </c>
      <c r="L50" s="71">
        <f>_xlfn.XLOOKUP(C50,Dados!$C$3:$C$329,Dados!$J$3:$J$329,"")</f>
        <v>8</v>
      </c>
      <c r="M50" s="72" t="str">
        <f>_xlfn.XLOOKUP(C50,Dados!$C$3:$C$329,Dados!$K$3:$K$329,"")</f>
        <v>Sudeste</v>
      </c>
      <c r="N50" s="71">
        <f>_xlfn.XLOOKUP(C50,Dados!$C$3:$C$329,Dados!$L$3:$L$329,"")</f>
        <v>17</v>
      </c>
      <c r="O50" s="43">
        <f>_xlfn.XLOOKUP(C50,Dados!$C$3:$C$329,Dados!$M$3:$M$329,"")</f>
        <v>0.74844099368644401</v>
      </c>
      <c r="P50" s="43">
        <f>_xlfn.XLOOKUP(C50,Dados!$C$3:$C$329,Dados!$N$3:$N$329,"")</f>
        <v>0.71598988922325002</v>
      </c>
      <c r="Q50" s="43">
        <f>_xlfn.XLOOKUP(C50,Dados!$C$3:$C$329,Dados!$O$3:$O$329,"")</f>
        <v>0.697392810395843</v>
      </c>
      <c r="R50" s="43">
        <f>_xlfn.XLOOKUP(C50,Dados!$C$3:$C$329,Dados!$P$3:$P$329,"")</f>
        <v>0.68650316405816902</v>
      </c>
      <c r="S50" s="43">
        <f>_xlfn.XLOOKUP(C50,Dados!$C$3:$C$329,Dados!$Q$3:$Q$329,"")</f>
        <v>0.73154838682383205</v>
      </c>
      <c r="T50" s="43">
        <f>_xlfn.XLOOKUP(C50,Dados!$C$3:$C$329,Dados!$R$3:$R$329,"")</f>
        <v>0.93451115280716901</v>
      </c>
      <c r="U50" s="43">
        <f>_xlfn.XLOOKUP(C50,Dados!$C$3:$C$329,Dados!$S$3:$S$329,"")</f>
        <v>0.990347317089321</v>
      </c>
      <c r="V50" s="77">
        <f>_xlfn.XLOOKUP(C50,Dados!$C$3:$C$329,Dados!$T$3:$T$329,"")</f>
        <v>1260.00411126112</v>
      </c>
      <c r="W50" s="77">
        <f>_xlfn.XLOOKUP(C50,Dados!$C$3:$C$329,Dados!$U$3:$U$329,"")</f>
        <v>975.65512431489105</v>
      </c>
      <c r="X50" s="77">
        <f>_xlfn.XLOOKUP(C50,Dados!$C$3:$C$329,Dados!$V$3:$V$329,"")</f>
        <v>911.41096694355701</v>
      </c>
      <c r="Y50" s="77">
        <f>_xlfn.XLOOKUP(C50,Dados!$C$3:$C$329,Dados!$W$3:$W$329,"")</f>
        <v>781.81766817250502</v>
      </c>
      <c r="Z50" s="77">
        <f>_xlfn.XLOOKUP(C50,Dados!$C$3:$C$329,Dados!$X$3:$X$329,"")</f>
        <v>745.73677871977497</v>
      </c>
      <c r="AA50" s="20"/>
      <c r="AB50" s="20"/>
      <c r="AC50" s="20"/>
      <c r="AD50" s="20"/>
      <c r="AE50" s="80"/>
      <c r="AF50" s="43">
        <v>0.55924907287421954</v>
      </c>
      <c r="AG50" s="43">
        <v>0.155772791956752</v>
      </c>
      <c r="AH50" s="43">
        <v>0.3015685992500175</v>
      </c>
      <c r="AI50" s="43">
        <v>0.47269206390140345</v>
      </c>
      <c r="AJ50" s="43">
        <v>0.82051471505749562</v>
      </c>
      <c r="AK50" s="43" cm="1">
        <f t="array" ref="AK50">_xlfn.XLOOKUP(C50,Dados!$C$3:$C$329,Dados!$Z$3:'Dados'!$Z$329,"")</f>
        <v>11.4048169586741</v>
      </c>
      <c r="AL50" s="43" cm="1">
        <f t="array" ref="AL50">_xlfn.XLOOKUP(C50,Dados!$C$3:$C$329,Dados!$AA$3:'Dados'!$AA$329,"")</f>
        <v>10.168940383376</v>
      </c>
      <c r="AM50" s="43" cm="1">
        <f t="array" ref="AM50">_xlfn.XLOOKUP(C50,Dados!$C$3:$C$329,Dados!$AB$3:'Dados'!$AB$329,"")</f>
        <v>9.3605638051556195</v>
      </c>
      <c r="AN50" s="43" cm="1">
        <f t="array" ref="AN50">_xlfn.XLOOKUP(C50,Dados!$C$3:$C$329,Dados!$AC$3:'Dados'!$AC$329,"")</f>
        <v>7.7069749337790796</v>
      </c>
      <c r="AO50" s="82" cm="1">
        <f t="array" ref="AO50">_xlfn.XLOOKUP(C50,Dados!$C$3:$C$329,Dados!$AD$3:'Dados'!$AD$329,"")</f>
        <v>7.9700848650262301</v>
      </c>
    </row>
    <row r="51" spans="1:41" ht="63.75" x14ac:dyDescent="0.25">
      <c r="A51" s="2">
        <v>311</v>
      </c>
      <c r="B51" s="18" t="s">
        <v>120</v>
      </c>
      <c r="C51" s="19" t="s">
        <v>121</v>
      </c>
      <c r="D51" s="19" t="s">
        <v>48</v>
      </c>
      <c r="E51" s="19" t="s">
        <v>21</v>
      </c>
      <c r="F51" s="72">
        <f>_xlfn.XLOOKUP(C51,Dados!$C$3:$C$329,Dados!$D$3:$D$329,"")</f>
        <v>21</v>
      </c>
      <c r="G51" s="86">
        <f>_xlfn.XLOOKUP(C51,Dados!$C$3:$C$329,Dados!$E$3:$E$329,"")</f>
        <v>143774</v>
      </c>
      <c r="H51" s="71">
        <f>_xlfn.XLOOKUP(C51,Dados!$C$3:$C$329,Dados!$F$3:$F$329,"")</f>
        <v>141412.33333333331</v>
      </c>
      <c r="I51" s="71">
        <f>_xlfn.XLOOKUP(C51,Dados!$C$3:$C$329,Dados!$G$3:$G$329,"")</f>
        <v>139050.66666666669</v>
      </c>
      <c r="J51" s="71">
        <f>_xlfn.XLOOKUP(C51,Dados!$C$3:$C$329,Dados!$H$3:$H$329,"")</f>
        <v>136689</v>
      </c>
      <c r="K51" s="71">
        <f>_xlfn.XLOOKUP(C51,Dados!$C$3:$C$329,Dados!$I$3:$I$329,"")</f>
        <v>136117</v>
      </c>
      <c r="L51" s="71">
        <f>_xlfn.XLOOKUP(C51,Dados!$C$3:$C$329,Dados!$J$3:$J$329,"")</f>
        <v>13</v>
      </c>
      <c r="M51" s="72" t="str">
        <f>_xlfn.XLOOKUP(C51,Dados!$C$3:$C$329,Dados!$K$3:$K$329,"")</f>
        <v>Sudeste</v>
      </c>
      <c r="N51" s="71">
        <f>_xlfn.XLOOKUP(C51,Dados!$C$3:$C$329,Dados!$L$3:$L$329,"")</f>
        <v>2</v>
      </c>
      <c r="O51" s="43">
        <f>_xlfn.XLOOKUP(C51,Dados!$C$3:$C$329,Dados!$M$3:$M$329,"")</f>
        <v>0.79155656343034697</v>
      </c>
      <c r="P51" s="43">
        <f>_xlfn.XLOOKUP(C51,Dados!$C$3:$C$329,Dados!$N$3:$N$329,"")</f>
        <v>0.77632984667459304</v>
      </c>
      <c r="Q51" s="43">
        <f>_xlfn.XLOOKUP(C51,Dados!$C$3:$C$329,Dados!$O$3:$O$329,"")</f>
        <v>0.73724106694759595</v>
      </c>
      <c r="R51" s="43">
        <f>_xlfn.XLOOKUP(C51,Dados!$C$3:$C$329,Dados!$P$3:$P$329,"")</f>
        <v>0.73712259453264495</v>
      </c>
      <c r="S51" s="43">
        <f>_xlfn.XLOOKUP(C51,Dados!$C$3:$C$329,Dados!$Q$3:$Q$329,"")</f>
        <v>0.88345945866255005</v>
      </c>
      <c r="T51" s="43">
        <f>_xlfn.XLOOKUP(C51,Dados!$C$3:$C$329,Dados!$R$3:$R$329,"")</f>
        <v>0.90728957310524705</v>
      </c>
      <c r="U51" s="43">
        <f>_xlfn.XLOOKUP(C51,Dados!$C$3:$C$329,Dados!$S$3:$S$329,"")</f>
        <v>0.94647265792804502</v>
      </c>
      <c r="V51" s="77">
        <f>_xlfn.XLOOKUP(C51,Dados!$C$3:$C$329,Dados!$T$3:$T$329,"")</f>
        <v>1828.07249996522</v>
      </c>
      <c r="W51" s="77">
        <f>_xlfn.XLOOKUP(C51,Dados!$C$3:$C$329,Dados!$U$3:$U$329,"")</f>
        <v>1729.8679185219601</v>
      </c>
      <c r="X51" s="77">
        <f>_xlfn.XLOOKUP(C51,Dados!$C$3:$C$329,Dados!$V$3:$V$329,"")</f>
        <v>1472.2756514651701</v>
      </c>
      <c r="Y51" s="77">
        <f>_xlfn.XLOOKUP(C51,Dados!$C$3:$C$329,Dados!$W$3:$W$329,"")</f>
        <v>1209.2088372144101</v>
      </c>
      <c r="Z51" s="77">
        <f>_xlfn.XLOOKUP(C51,Dados!$C$3:$C$329,Dados!$X$3:$X$329,"")</f>
        <v>1149.93583762498</v>
      </c>
      <c r="AA51" s="20"/>
      <c r="AB51" s="20"/>
      <c r="AC51" s="20"/>
      <c r="AD51" s="20"/>
      <c r="AE51" s="80"/>
      <c r="AF51" s="43">
        <v>0.5004818231884427</v>
      </c>
      <c r="AG51" s="43">
        <v>0.49042398746281779</v>
      </c>
      <c r="AH51" s="43">
        <v>0.57475283892232365</v>
      </c>
      <c r="AI51" s="43">
        <v>0.54786198284664811</v>
      </c>
      <c r="AJ51" s="43">
        <v>0.5375997340955363</v>
      </c>
      <c r="AK51" s="43" cm="1">
        <f t="array" ref="AK51">_xlfn.XLOOKUP(C51,Dados!$C$3:$C$329,Dados!$Z$3:'Dados'!$Z$329,"")</f>
        <v>15.0631407625857</v>
      </c>
      <c r="AL51" s="43" cm="1">
        <f t="array" ref="AL51">_xlfn.XLOOKUP(C51,Dados!$C$3:$C$329,Dados!$AA$3:'Dados'!$AA$329,"")</f>
        <v>11.9563828708953</v>
      </c>
      <c r="AM51" s="43" cm="1">
        <f t="array" ref="AM51">_xlfn.XLOOKUP(C51,Dados!$C$3:$C$329,Dados!$AB$3:'Dados'!$AB$329,"")</f>
        <v>10.4571019676281</v>
      </c>
      <c r="AN51" s="43" cm="1">
        <f t="array" ref="AN51">_xlfn.XLOOKUP(C51,Dados!$C$3:$C$329,Dados!$AC$3:'Dados'!$AC$329,"")</f>
        <v>9.4103914726130107</v>
      </c>
      <c r="AO51" s="82" cm="1">
        <f t="array" ref="AO51">_xlfn.XLOOKUP(C51,Dados!$C$3:$C$329,Dados!$AD$3:'Dados'!$AD$329,"")</f>
        <v>9.5828074377190209</v>
      </c>
    </row>
    <row r="52" spans="1:41" ht="76.5" x14ac:dyDescent="0.25">
      <c r="A52" s="2">
        <v>312</v>
      </c>
      <c r="B52" s="18" t="s">
        <v>122</v>
      </c>
      <c r="C52" s="19" t="s">
        <v>123</v>
      </c>
      <c r="D52" s="19" t="s">
        <v>48</v>
      </c>
      <c r="E52" s="19" t="s">
        <v>21</v>
      </c>
      <c r="F52" s="72">
        <f>_xlfn.XLOOKUP(C52,Dados!$C$3:$C$329,Dados!$D$3:$D$329,"")</f>
        <v>7</v>
      </c>
      <c r="G52" s="86">
        <f>_xlfn.XLOOKUP(C52,Dados!$C$3:$C$329,Dados!$E$3:$E$329,"")</f>
        <v>565733</v>
      </c>
      <c r="H52" s="71">
        <f>_xlfn.XLOOKUP(C52,Dados!$C$3:$C$329,Dados!$F$3:$F$329,"")</f>
        <v>566338.33333333314</v>
      </c>
      <c r="I52" s="71">
        <f>_xlfn.XLOOKUP(C52,Dados!$C$3:$C$329,Dados!$G$3:$G$329,"")</f>
        <v>566943.66666666686</v>
      </c>
      <c r="J52" s="71">
        <f>_xlfn.XLOOKUP(C52,Dados!$C$3:$C$329,Dados!$H$3:$H$329,"")</f>
        <v>567549</v>
      </c>
      <c r="K52" s="71">
        <f>_xlfn.XLOOKUP(C52,Dados!$C$3:$C$329,Dados!$I$3:$I$329,"")</f>
        <v>564561</v>
      </c>
      <c r="L52" s="71">
        <f>_xlfn.XLOOKUP(C52,Dados!$C$3:$C$329,Dados!$J$3:$J$329,"")</f>
        <v>43</v>
      </c>
      <c r="M52" s="72" t="str">
        <f>_xlfn.XLOOKUP(C52,Dados!$C$3:$C$329,Dados!$K$3:$K$329,"")</f>
        <v>Sudeste</v>
      </c>
      <c r="N52" s="71">
        <f>_xlfn.XLOOKUP(C52,Dados!$C$3:$C$329,Dados!$L$3:$L$329,"")</f>
        <v>14</v>
      </c>
      <c r="O52" s="43">
        <f>_xlfn.XLOOKUP(C52,Dados!$C$3:$C$329,Dados!$M$3:$M$329,"")</f>
        <v>0.72840505098542396</v>
      </c>
      <c r="P52" s="43">
        <f>_xlfn.XLOOKUP(C52,Dados!$C$3:$C$329,Dados!$N$3:$N$329,"")</f>
        <v>0.70095246747031303</v>
      </c>
      <c r="Q52" s="43">
        <f>_xlfn.XLOOKUP(C52,Dados!$C$3:$C$329,Dados!$O$3:$O$329,"")</f>
        <v>0.68115532121455602</v>
      </c>
      <c r="R52" s="43">
        <f>_xlfn.XLOOKUP(C52,Dados!$C$3:$C$329,Dados!$P$3:$P$329,"")</f>
        <v>0.67318810775097804</v>
      </c>
      <c r="S52" s="43">
        <f>_xlfn.XLOOKUP(C52,Dados!$C$3:$C$329,Dados!$Q$3:$Q$329,"")</f>
        <v>0.82804995416946203</v>
      </c>
      <c r="T52" s="43">
        <f>_xlfn.XLOOKUP(C52,Dados!$C$3:$C$329,Dados!$R$3:$R$329,"")</f>
        <v>0.85960079537590695</v>
      </c>
      <c r="U52" s="43">
        <f>_xlfn.XLOOKUP(C52,Dados!$C$3:$C$329,Dados!$S$3:$S$329,"")</f>
        <v>0.94478219840771904</v>
      </c>
      <c r="V52" s="77">
        <f>_xlfn.XLOOKUP(C52,Dados!$C$3:$C$329,Dados!$T$3:$T$329,"")</f>
        <v>1749.28534835337</v>
      </c>
      <c r="W52" s="77">
        <f>_xlfn.XLOOKUP(C52,Dados!$C$3:$C$329,Dados!$U$3:$U$329,"")</f>
        <v>1579.36996707504</v>
      </c>
      <c r="X52" s="77">
        <f>_xlfn.XLOOKUP(C52,Dados!$C$3:$C$329,Dados!$V$3:$V$329,"")</f>
        <v>1394.77246015624</v>
      </c>
      <c r="Y52" s="77">
        <f>_xlfn.XLOOKUP(C52,Dados!$C$3:$C$329,Dados!$W$3:$W$329,"")</f>
        <v>1178.3988330523</v>
      </c>
      <c r="Z52" s="77">
        <f>_xlfn.XLOOKUP(C52,Dados!$C$3:$C$329,Dados!$X$3:$X$329,"")</f>
        <v>1079.1780347384999</v>
      </c>
      <c r="AA52" s="20"/>
      <c r="AB52" s="20"/>
      <c r="AC52" s="20"/>
      <c r="AD52" s="20"/>
      <c r="AE52" s="80"/>
      <c r="AF52" s="43">
        <v>3.3906371604748665E-2</v>
      </c>
      <c r="AG52" s="43">
        <v>1.4114393383494234E-2</v>
      </c>
      <c r="AH52" s="43">
        <v>0.15555730249661498</v>
      </c>
      <c r="AI52" s="43" t="e">
        <v>#DIV/0!</v>
      </c>
      <c r="AJ52" s="43">
        <v>1.0162813365859665E-2</v>
      </c>
      <c r="AK52" s="43" cm="1">
        <f t="array" ref="AK52">_xlfn.XLOOKUP(C52,Dados!$C$3:$C$329,Dados!$Z$3:'Dados'!$Z$329,"")</f>
        <v>13.886847682563999</v>
      </c>
      <c r="AL52" s="43" cm="1">
        <f t="array" ref="AL52">_xlfn.XLOOKUP(C52,Dados!$C$3:$C$329,Dados!$AA$3:'Dados'!$AA$329,"")</f>
        <v>11.8668958190481</v>
      </c>
      <c r="AM52" s="43" cm="1">
        <f t="array" ref="AM52">_xlfn.XLOOKUP(C52,Dados!$C$3:$C$329,Dados!$AB$3:'Dados'!$AB$329,"")</f>
        <v>12.942786790692301</v>
      </c>
      <c r="AN52" s="43" cm="1">
        <f t="array" ref="AN52">_xlfn.XLOOKUP(C52,Dados!$C$3:$C$329,Dados!$AC$3:'Dados'!$AC$329,"")</f>
        <v>8.8171400178663006</v>
      </c>
      <c r="AO52" s="82" cm="1">
        <f t="array" ref="AO52">_xlfn.XLOOKUP(C52,Dados!$C$3:$C$329,Dados!$AD$3:'Dados'!$AD$329,"")</f>
        <v>8.0177607025635904</v>
      </c>
    </row>
    <row r="53" spans="1:41" ht="51" x14ac:dyDescent="0.25">
      <c r="A53" s="2">
        <v>313</v>
      </c>
      <c r="B53" s="18" t="s">
        <v>124</v>
      </c>
      <c r="C53" s="19" t="s">
        <v>125</v>
      </c>
      <c r="D53" s="19" t="s">
        <v>48</v>
      </c>
      <c r="E53" s="19" t="s">
        <v>21</v>
      </c>
      <c r="F53" s="72">
        <f>_xlfn.XLOOKUP(C53,Dados!$C$3:$C$329,Dados!$D$3:$D$329,"")</f>
        <v>3</v>
      </c>
      <c r="G53" s="86">
        <f>_xlfn.XLOOKUP(C53,Dados!$C$3:$C$329,Dados!$E$3:$E$329,"")</f>
        <v>818697</v>
      </c>
      <c r="H53" s="71">
        <f>_xlfn.XLOOKUP(C53,Dados!$C$3:$C$329,Dados!$F$3:$F$329,"")</f>
        <v>820337</v>
      </c>
      <c r="I53" s="71">
        <f>_xlfn.XLOOKUP(C53,Dados!$C$3:$C$329,Dados!$G$3:$G$329,"")</f>
        <v>821977</v>
      </c>
      <c r="J53" s="71">
        <f>_xlfn.XLOOKUP(C53,Dados!$C$3:$C$329,Dados!$H$3:$H$329,"")</f>
        <v>823617</v>
      </c>
      <c r="K53" s="71">
        <f>_xlfn.XLOOKUP(C53,Dados!$C$3:$C$329,Dados!$I$3:$I$329,"")</f>
        <v>816698</v>
      </c>
      <c r="L53" s="71">
        <f>_xlfn.XLOOKUP(C53,Dados!$C$3:$C$329,Dados!$J$3:$J$329,"")</f>
        <v>17</v>
      </c>
      <c r="M53" s="72" t="str">
        <f>_xlfn.XLOOKUP(C53,Dados!$C$3:$C$329,Dados!$K$3:$K$329,"")</f>
        <v>Sudeste</v>
      </c>
      <c r="N53" s="71">
        <f>_xlfn.XLOOKUP(C53,Dados!$C$3:$C$329,Dados!$L$3:$L$329,"")</f>
        <v>6</v>
      </c>
      <c r="O53" s="43">
        <f>_xlfn.XLOOKUP(C53,Dados!$C$3:$C$329,Dados!$M$3:$M$329,"")</f>
        <v>0.81839983791214299</v>
      </c>
      <c r="P53" s="43">
        <f>_xlfn.XLOOKUP(C53,Dados!$C$3:$C$329,Dados!$N$3:$N$329,"")</f>
        <v>0.80888995016486698</v>
      </c>
      <c r="Q53" s="43">
        <f>_xlfn.XLOOKUP(C53,Dados!$C$3:$C$329,Dados!$O$3:$O$329,"")</f>
        <v>0.80378933242028805</v>
      </c>
      <c r="R53" s="43">
        <f>_xlfn.XLOOKUP(C53,Dados!$C$3:$C$329,Dados!$P$3:$P$329,"")</f>
        <v>0.777949956409836</v>
      </c>
      <c r="S53" s="43">
        <f>_xlfn.XLOOKUP(C53,Dados!$C$3:$C$329,Dados!$Q$3:$Q$329,"")</f>
        <v>0.94703570136390702</v>
      </c>
      <c r="T53" s="43">
        <f>_xlfn.XLOOKUP(C53,Dados!$C$3:$C$329,Dados!$R$3:$R$329,"")</f>
        <v>0.96441910414362797</v>
      </c>
      <c r="U53" s="43">
        <f>_xlfn.XLOOKUP(C53,Dados!$C$3:$C$329,Dados!$S$3:$S$329,"")</f>
        <v>0.98542508006104002</v>
      </c>
      <c r="V53" s="77">
        <f>_xlfn.XLOOKUP(C53,Dados!$C$3:$C$329,Dados!$T$3:$T$329,"")</f>
        <v>1997.3584194641001</v>
      </c>
      <c r="W53" s="77">
        <f>_xlfn.XLOOKUP(C53,Dados!$C$3:$C$329,Dados!$U$3:$U$329,"")</f>
        <v>1513.0160431546201</v>
      </c>
      <c r="X53" s="77">
        <f>_xlfn.XLOOKUP(C53,Dados!$C$3:$C$329,Dados!$V$3:$V$329,"")</f>
        <v>1321.21651675168</v>
      </c>
      <c r="Y53" s="77">
        <f>_xlfn.XLOOKUP(C53,Dados!$C$3:$C$329,Dados!$W$3:$W$329,"")</f>
        <v>1255.18605871418</v>
      </c>
      <c r="Z53" s="77">
        <f>_xlfn.XLOOKUP(C53,Dados!$C$3:$C$329,Dados!$X$3:$X$329,"")</f>
        <v>1088.05572533544</v>
      </c>
      <c r="AA53" s="20"/>
      <c r="AB53" s="20"/>
      <c r="AC53" s="20"/>
      <c r="AD53" s="20"/>
      <c r="AE53" s="80"/>
      <c r="AF53" s="43">
        <v>0.11913184592078095</v>
      </c>
      <c r="AG53" s="43">
        <v>3.9779952322650823E-2</v>
      </c>
      <c r="AH53" s="43">
        <v>0.58624953145987502</v>
      </c>
      <c r="AI53" s="43" t="e">
        <v>#DIV/0!</v>
      </c>
      <c r="AJ53" s="43" t="e">
        <v>#DIV/0!</v>
      </c>
      <c r="AK53" s="43" cm="1">
        <f t="array" ref="AK53">_xlfn.XLOOKUP(C53,Dados!$C$3:$C$329,Dados!$Z$3:'Dados'!$Z$329,"")</f>
        <v>10.381553859364301</v>
      </c>
      <c r="AL53" s="43" cm="1">
        <f t="array" ref="AL53">_xlfn.XLOOKUP(C53,Dados!$C$3:$C$329,Dados!$AA$3:'Dados'!$AA$329,"")</f>
        <v>9.1255910680610501</v>
      </c>
      <c r="AM53" s="43" cm="1">
        <f t="array" ref="AM53">_xlfn.XLOOKUP(C53,Dados!$C$3:$C$329,Dados!$AB$3:'Dados'!$AB$329,"")</f>
        <v>9.0806445922452799</v>
      </c>
      <c r="AN53" s="43" cm="1">
        <f t="array" ref="AN53">_xlfn.XLOOKUP(C53,Dados!$C$3:$C$329,Dados!$AC$3:'Dados'!$AC$329,"")</f>
        <v>7.9991330922018404</v>
      </c>
      <c r="AO53" s="82" cm="1">
        <f t="array" ref="AO53">_xlfn.XLOOKUP(C53,Dados!$C$3:$C$329,Dados!$AD$3:'Dados'!$AD$329,"")</f>
        <v>7.2823907980673397</v>
      </c>
    </row>
    <row r="54" spans="1:41" ht="51" x14ac:dyDescent="0.25">
      <c r="A54" s="2">
        <v>314</v>
      </c>
      <c r="B54" s="18" t="s">
        <v>126</v>
      </c>
      <c r="C54" s="19" t="s">
        <v>127</v>
      </c>
      <c r="D54" s="19" t="s">
        <v>48</v>
      </c>
      <c r="E54" s="19" t="s">
        <v>21</v>
      </c>
      <c r="F54" s="72">
        <f>_xlfn.XLOOKUP(C54,Dados!$C$3:$C$329,Dados!$D$3:$D$329,"")</f>
        <v>5</v>
      </c>
      <c r="G54" s="86">
        <f>_xlfn.XLOOKUP(C54,Dados!$C$3:$C$329,Dados!$E$3:$E$329,"")</f>
        <v>94964</v>
      </c>
      <c r="H54" s="71">
        <f>_xlfn.XLOOKUP(C54,Dados!$C$3:$C$329,Dados!$F$3:$F$329,"")</f>
        <v>93305.666666666672</v>
      </c>
      <c r="I54" s="71">
        <f>_xlfn.XLOOKUP(C54,Dados!$C$3:$C$329,Dados!$G$3:$G$329,"")</f>
        <v>91647.333333333328</v>
      </c>
      <c r="J54" s="71">
        <f>_xlfn.XLOOKUP(C54,Dados!$C$3:$C$329,Dados!$H$3:$H$329,"")</f>
        <v>89989</v>
      </c>
      <c r="K54" s="71">
        <f>_xlfn.XLOOKUP(C54,Dados!$C$3:$C$329,Dados!$I$3:$I$329,"")</f>
        <v>90468</v>
      </c>
      <c r="L54" s="71">
        <f>_xlfn.XLOOKUP(C54,Dados!$C$3:$C$329,Dados!$J$3:$J$329,"")</f>
        <v>7</v>
      </c>
      <c r="M54" s="72" t="str">
        <f>_xlfn.XLOOKUP(C54,Dados!$C$3:$C$329,Dados!$K$3:$K$329,"")</f>
        <v>Sudeste</v>
      </c>
      <c r="N54" s="71">
        <f>_xlfn.XLOOKUP(C54,Dados!$C$3:$C$329,Dados!$L$3:$L$329,"")</f>
        <v>1</v>
      </c>
      <c r="O54" s="43">
        <f>_xlfn.XLOOKUP(C54,Dados!$C$3:$C$329,Dados!$M$3:$M$329,"")</f>
        <v>0.69176588453005705</v>
      </c>
      <c r="P54" s="43">
        <f>_xlfn.XLOOKUP(C54,Dados!$C$3:$C$329,Dados!$N$3:$N$329,"")</f>
        <v>0.67610745029860797</v>
      </c>
      <c r="Q54" s="43">
        <f>_xlfn.XLOOKUP(C54,Dados!$C$3:$C$329,Dados!$O$3:$O$329,"")</f>
        <v>0.64156890508840003</v>
      </c>
      <c r="R54" s="43">
        <f>_xlfn.XLOOKUP(C54,Dados!$C$3:$C$329,Dados!$P$3:$P$329,"")</f>
        <v>0.63455566498651494</v>
      </c>
      <c r="S54" s="43">
        <f>_xlfn.XLOOKUP(C54,Dados!$C$3:$C$329,Dados!$Q$3:$Q$329,"")</f>
        <v>0.59903501356649802</v>
      </c>
      <c r="T54" s="43">
        <f>_xlfn.XLOOKUP(C54,Dados!$C$3:$C$329,Dados!$R$3:$R$329,"")</f>
        <v>0.75261485295080399</v>
      </c>
      <c r="U54" s="43">
        <f>_xlfn.XLOOKUP(C54,Dados!$C$3:$C$329,Dados!$S$3:$S$329,"")</f>
        <v>0.91205427181005505</v>
      </c>
      <c r="V54" s="77">
        <f>_xlfn.XLOOKUP(C54,Dados!$C$3:$C$329,Dados!$T$3:$T$329,"")</f>
        <v>1727.69693631271</v>
      </c>
      <c r="W54" s="77">
        <f>_xlfn.XLOOKUP(C54,Dados!$C$3:$C$329,Dados!$U$3:$U$329,"")</f>
        <v>1577.1279425329701</v>
      </c>
      <c r="X54" s="77">
        <f>_xlfn.XLOOKUP(C54,Dados!$C$3:$C$329,Dados!$V$3:$V$329,"")</f>
        <v>1428.5402359043001</v>
      </c>
      <c r="Y54" s="77">
        <f>_xlfn.XLOOKUP(C54,Dados!$C$3:$C$329,Dados!$W$3:$W$329,"")</f>
        <v>1018.77611396949</v>
      </c>
      <c r="Z54" s="77">
        <f>_xlfn.XLOOKUP(C54,Dados!$C$3:$C$329,Dados!$X$3:$X$329,"")</f>
        <v>1069.4142160764</v>
      </c>
      <c r="AA54" s="20"/>
      <c r="AB54" s="20"/>
      <c r="AC54" s="20"/>
      <c r="AD54" s="20"/>
      <c r="AE54" s="80"/>
      <c r="AF54" s="43">
        <v>3.9106117547556191E-2</v>
      </c>
      <c r="AG54" s="43">
        <v>4.0412603816567062E-2</v>
      </c>
      <c r="AH54" s="43">
        <v>3.7903272437013726E-2</v>
      </c>
      <c r="AI54" s="43">
        <v>8.7590677418036583E-2</v>
      </c>
      <c r="AJ54" s="43">
        <v>0.12647653737396744</v>
      </c>
      <c r="AK54" s="43" cm="1">
        <f t="array" ref="AK54">_xlfn.XLOOKUP(C54,Dados!$C$3:$C$329,Dados!$Z$3:'Dados'!$Z$329,"")</f>
        <v>10.054631228676101</v>
      </c>
      <c r="AL54" s="43" cm="1">
        <f t="array" ref="AL54">_xlfn.XLOOKUP(C54,Dados!$C$3:$C$329,Dados!$AA$3:'Dados'!$AA$329,"")</f>
        <v>8.5707656198087303</v>
      </c>
      <c r="AM54" s="43" cm="1">
        <f t="array" ref="AM54">_xlfn.XLOOKUP(C54,Dados!$C$3:$C$329,Dados!$AB$3:'Dados'!$AB$329,"")</f>
        <v>7.3429305089800803</v>
      </c>
      <c r="AN54" s="43" cm="1">
        <f t="array" ref="AN54">_xlfn.XLOOKUP(C54,Dados!$C$3:$C$329,Dados!$AC$3:'Dados'!$AC$329,"")</f>
        <v>9.6176866061407509</v>
      </c>
      <c r="AO54" s="82" cm="1">
        <f t="array" ref="AO54">_xlfn.XLOOKUP(C54,Dados!$C$3:$C$329,Dados!$AD$3:'Dados'!$AD$329,"")</f>
        <v>27.251680152098</v>
      </c>
    </row>
    <row r="55" spans="1:41" ht="63.75" x14ac:dyDescent="0.25">
      <c r="A55" s="2">
        <v>316</v>
      </c>
      <c r="B55" s="18" t="s">
        <v>128</v>
      </c>
      <c r="C55" s="19" t="s">
        <v>129</v>
      </c>
      <c r="D55" s="19" t="s">
        <v>24</v>
      </c>
      <c r="E55" s="19" t="s">
        <v>21</v>
      </c>
      <c r="F55" s="72">
        <f>_xlfn.XLOOKUP(C55,Dados!$C$3:$C$329,Dados!$D$3:$D$329,"")</f>
        <v>12</v>
      </c>
      <c r="G55" s="86">
        <f>_xlfn.XLOOKUP(C55,Dados!$C$3:$C$329,Dados!$E$3:$E$329,"")</f>
        <v>788727</v>
      </c>
      <c r="H55" s="71">
        <f>_xlfn.XLOOKUP(C55,Dados!$C$3:$C$329,Dados!$F$3:$F$329,"")</f>
        <v>789576</v>
      </c>
      <c r="I55" s="71">
        <f>_xlfn.XLOOKUP(C55,Dados!$C$3:$C$329,Dados!$G$3:$G$329,"")</f>
        <v>790425</v>
      </c>
      <c r="J55" s="71">
        <f>_xlfn.XLOOKUP(C55,Dados!$C$3:$C$329,Dados!$H$3:$H$329,"")</f>
        <v>791274</v>
      </c>
      <c r="K55" s="71">
        <f>_xlfn.XLOOKUP(C55,Dados!$C$3:$C$329,Dados!$I$3:$I$329,"")</f>
        <v>787738</v>
      </c>
      <c r="L55" s="71">
        <f>_xlfn.XLOOKUP(C55,Dados!$C$3:$C$329,Dados!$J$3:$J$329,"")</f>
        <v>50</v>
      </c>
      <c r="M55" s="72" t="str">
        <f>_xlfn.XLOOKUP(C55,Dados!$C$3:$C$329,Dados!$K$3:$K$329,"")</f>
        <v>Sudeste</v>
      </c>
      <c r="N55" s="71">
        <f>_xlfn.XLOOKUP(C55,Dados!$C$3:$C$329,Dados!$L$3:$L$329,"")</f>
        <v>1</v>
      </c>
      <c r="O55" s="43">
        <f>_xlfn.XLOOKUP(C55,Dados!$C$3:$C$329,Dados!$M$3:$M$329,"")</f>
        <v>0.67499877934486396</v>
      </c>
      <c r="P55" s="43">
        <f>_xlfn.XLOOKUP(C55,Dados!$C$3:$C$329,Dados!$N$3:$N$329,"")</f>
        <v>0.64860260876532705</v>
      </c>
      <c r="Q55" s="43">
        <f>_xlfn.XLOOKUP(C55,Dados!$C$3:$C$329,Dados!$O$3:$O$329,"")</f>
        <v>0.62301399641590605</v>
      </c>
      <c r="R55" s="43">
        <f>_xlfn.XLOOKUP(C55,Dados!$C$3:$C$329,Dados!$P$3:$P$329,"")</f>
        <v>0.60766502123802602</v>
      </c>
      <c r="S55" s="43">
        <f>_xlfn.XLOOKUP(C55,Dados!$C$3:$C$329,Dados!$Q$3:$Q$329,"")</f>
        <v>0.75179349695838704</v>
      </c>
      <c r="T55" s="43">
        <f>_xlfn.XLOOKUP(C55,Dados!$C$3:$C$329,Dados!$R$3:$R$329,"")</f>
        <v>0.84016637218374102</v>
      </c>
      <c r="U55" s="43">
        <f>_xlfn.XLOOKUP(C55,Dados!$C$3:$C$329,Dados!$S$3:$S$329,"")</f>
        <v>0.90922302309938696</v>
      </c>
      <c r="V55" s="77">
        <f>_xlfn.XLOOKUP(C55,Dados!$C$3:$C$329,Dados!$T$3:$T$329,"")</f>
        <v>2135.8620920800199</v>
      </c>
      <c r="W55" s="77">
        <f>_xlfn.XLOOKUP(C55,Dados!$C$3:$C$329,Dados!$U$3:$U$329,"")</f>
        <v>1971.909418688</v>
      </c>
      <c r="X55" s="77">
        <f>_xlfn.XLOOKUP(C55,Dados!$C$3:$C$329,Dados!$V$3:$V$329,"")</f>
        <v>1514.5156999420101</v>
      </c>
      <c r="Y55" s="77">
        <f>_xlfn.XLOOKUP(C55,Dados!$C$3:$C$329,Dados!$W$3:$W$329,"")</f>
        <v>1202.2003892709699</v>
      </c>
      <c r="Z55" s="77">
        <f>_xlfn.XLOOKUP(C55,Dados!$C$3:$C$329,Dados!$X$3:$X$329,"")</f>
        <v>1076.0437098121499</v>
      </c>
      <c r="AA55" s="20"/>
      <c r="AB55" s="20"/>
      <c r="AC55" s="20"/>
      <c r="AD55" s="20"/>
      <c r="AE55" s="80"/>
      <c r="AF55" s="43">
        <v>0.74398136163500594</v>
      </c>
      <c r="AG55" s="43">
        <v>0.71085761357449051</v>
      </c>
      <c r="AH55" s="43">
        <v>0.72065777720252988</v>
      </c>
      <c r="AI55" s="43">
        <v>0.74099830970373792</v>
      </c>
      <c r="AJ55" s="43">
        <v>0.79334137423433959</v>
      </c>
      <c r="AK55" s="43" cm="1">
        <f t="array" ref="AK55">_xlfn.XLOOKUP(C55,Dados!$C$3:$C$329,Dados!$Z$3:'Dados'!$Z$329,"")</f>
        <v>13.149076930293999</v>
      </c>
      <c r="AL55" s="43" cm="1">
        <f t="array" ref="AL55">_xlfn.XLOOKUP(C55,Dados!$C$3:$C$329,Dados!$AA$3:'Dados'!$AA$329,"")</f>
        <v>9.9938865922976401</v>
      </c>
      <c r="AM55" s="43" cm="1">
        <f t="array" ref="AM55">_xlfn.XLOOKUP(C55,Dados!$C$3:$C$329,Dados!$AB$3:'Dados'!$AB$329,"")</f>
        <v>7.8899604643071797</v>
      </c>
      <c r="AN55" s="43" cm="1">
        <f t="array" ref="AN55">_xlfn.XLOOKUP(C55,Dados!$C$3:$C$329,Dados!$AC$3:'Dados'!$AC$329,"")</f>
        <v>6.6313843245196997</v>
      </c>
      <c r="AO55" s="82" cm="1">
        <f t="array" ref="AO55">_xlfn.XLOOKUP(C55,Dados!$C$3:$C$329,Dados!$AD$3:'Dados'!$AD$329,"")</f>
        <v>6.69521846096037</v>
      </c>
    </row>
    <row r="56" spans="1:41" ht="102" x14ac:dyDescent="0.25">
      <c r="A56" s="2">
        <v>318</v>
      </c>
      <c r="B56" s="18" t="s">
        <v>130</v>
      </c>
      <c r="C56" s="19" t="s">
        <v>131</v>
      </c>
      <c r="D56" s="19" t="s">
        <v>24</v>
      </c>
      <c r="E56" s="19" t="s">
        <v>21</v>
      </c>
      <c r="F56" s="72">
        <f>_xlfn.XLOOKUP(C56,Dados!$C$3:$C$329,Dados!$D$3:$D$329,"")</f>
        <v>11</v>
      </c>
      <c r="G56" s="86">
        <f>_xlfn.XLOOKUP(C56,Dados!$C$3:$C$329,Dados!$E$3:$E$329,"")</f>
        <v>2360243</v>
      </c>
      <c r="H56" s="71">
        <f>_xlfn.XLOOKUP(C56,Dados!$C$3:$C$329,Dados!$F$3:$F$329,"")</f>
        <v>2370196.9999999995</v>
      </c>
      <c r="I56" s="71">
        <f>_xlfn.XLOOKUP(C56,Dados!$C$3:$C$329,Dados!$G$3:$G$329,"")</f>
        <v>2380151.0000000005</v>
      </c>
      <c r="J56" s="71">
        <f>_xlfn.XLOOKUP(C56,Dados!$C$3:$C$329,Dados!$H$3:$H$329,"")</f>
        <v>2390105</v>
      </c>
      <c r="K56" s="71">
        <f>_xlfn.XLOOKUP(C56,Dados!$C$3:$C$329,Dados!$I$3:$I$329,"")</f>
        <v>2380306</v>
      </c>
      <c r="L56" s="71">
        <f>_xlfn.XLOOKUP(C56,Dados!$C$3:$C$329,Dados!$J$3:$J$329,"")</f>
        <v>146</v>
      </c>
      <c r="M56" s="72" t="str">
        <f>_xlfn.XLOOKUP(C56,Dados!$C$3:$C$329,Dados!$K$3:$K$329,"")</f>
        <v>Sudeste</v>
      </c>
      <c r="N56" s="71">
        <f>_xlfn.XLOOKUP(C56,Dados!$C$3:$C$329,Dados!$L$3:$L$329,"")</f>
        <v>1</v>
      </c>
      <c r="O56" s="43">
        <f>_xlfn.XLOOKUP(C56,Dados!$C$3:$C$329,Dados!$M$3:$M$329,"")</f>
        <v>0.66144014903965098</v>
      </c>
      <c r="P56" s="43">
        <f>_xlfn.XLOOKUP(C56,Dados!$C$3:$C$329,Dados!$N$3:$N$329,"")</f>
        <v>0.63916644556024604</v>
      </c>
      <c r="Q56" s="43">
        <f>_xlfn.XLOOKUP(C56,Dados!$C$3:$C$329,Dados!$O$3:$O$329,"")</f>
        <v>0.61392493333974896</v>
      </c>
      <c r="R56" s="43">
        <f>_xlfn.XLOOKUP(C56,Dados!$C$3:$C$329,Dados!$P$3:$P$329,"")</f>
        <v>0.60310255030235604</v>
      </c>
      <c r="S56" s="43">
        <f>_xlfn.XLOOKUP(C56,Dados!$C$3:$C$329,Dados!$Q$3:$Q$329,"")</f>
        <v>0.77640998229383995</v>
      </c>
      <c r="T56" s="43">
        <f>_xlfn.XLOOKUP(C56,Dados!$C$3:$C$329,Dados!$R$3:$R$329,"")</f>
        <v>0.827956150373093</v>
      </c>
      <c r="U56" s="43">
        <f>_xlfn.XLOOKUP(C56,Dados!$C$3:$C$329,Dados!$S$3:$S$329,"")</f>
        <v>0.92217049268442697</v>
      </c>
      <c r="V56" s="77">
        <f>_xlfn.XLOOKUP(C56,Dados!$C$3:$C$329,Dados!$T$3:$T$329,"")</f>
        <v>1917.0603765798701</v>
      </c>
      <c r="W56" s="77">
        <f>_xlfn.XLOOKUP(C56,Dados!$C$3:$C$329,Dados!$U$3:$U$329,"")</f>
        <v>1456.5518132698101</v>
      </c>
      <c r="X56" s="77">
        <f>_xlfn.XLOOKUP(C56,Dados!$C$3:$C$329,Dados!$V$3:$V$329,"")</f>
        <v>1272.1819483217701</v>
      </c>
      <c r="Y56" s="77">
        <f>_xlfn.XLOOKUP(C56,Dados!$C$3:$C$329,Dados!$W$3:$W$329,"")</f>
        <v>1128.1343545785601</v>
      </c>
      <c r="Z56" s="77">
        <f>_xlfn.XLOOKUP(C56,Dados!$C$3:$C$329,Dados!$X$3:$X$329,"")</f>
        <v>1004.3110254731999</v>
      </c>
      <c r="AA56" s="20"/>
      <c r="AB56" s="20"/>
      <c r="AC56" s="20"/>
      <c r="AD56" s="20"/>
      <c r="AE56" s="80"/>
      <c r="AF56" s="43">
        <v>0.73147370760073172</v>
      </c>
      <c r="AG56" s="43">
        <v>0.73315604132756307</v>
      </c>
      <c r="AH56" s="43">
        <v>0.60726562915713445</v>
      </c>
      <c r="AI56" s="43">
        <v>0.73734279757126564</v>
      </c>
      <c r="AJ56" s="43">
        <v>0.75280664912804496</v>
      </c>
      <c r="AK56" s="43" cm="1">
        <f t="array" ref="AK56">_xlfn.XLOOKUP(C56,Dados!$C$3:$C$329,Dados!$Z$3:'Dados'!$Z$329,"")</f>
        <v>10.8262123857586</v>
      </c>
      <c r="AL56" s="43" cm="1">
        <f t="array" ref="AL56">_xlfn.XLOOKUP(C56,Dados!$C$3:$C$329,Dados!$AA$3:'Dados'!$AA$329,"")</f>
        <v>7.2577954490702696</v>
      </c>
      <c r="AM56" s="43" cm="1">
        <f t="array" ref="AM56">_xlfn.XLOOKUP(C56,Dados!$C$3:$C$329,Dados!$AB$3:'Dados'!$AB$329,"")</f>
        <v>7.0172026900814304</v>
      </c>
      <c r="AN56" s="43" cm="1">
        <f t="array" ref="AN56">_xlfn.XLOOKUP(C56,Dados!$C$3:$C$329,Dados!$AC$3:'Dados'!$AC$329,"")</f>
        <v>6.0983329184282704</v>
      </c>
      <c r="AO56" s="82" cm="1">
        <f t="array" ref="AO56">_xlfn.XLOOKUP(C56,Dados!$C$3:$C$329,Dados!$AD$3:'Dados'!$AD$329,"")</f>
        <v>5.9671911930650898</v>
      </c>
    </row>
    <row r="57" spans="1:41" ht="63.75" x14ac:dyDescent="0.25">
      <c r="A57" s="2">
        <v>319</v>
      </c>
      <c r="B57" s="18" t="s">
        <v>132</v>
      </c>
      <c r="C57" s="19" t="s">
        <v>133</v>
      </c>
      <c r="D57" s="19" t="s">
        <v>24</v>
      </c>
      <c r="E57" s="19" t="s">
        <v>21</v>
      </c>
      <c r="F57" s="72">
        <f>_xlfn.XLOOKUP(C57,Dados!$C$3:$C$329,Dados!$D$3:$D$329,"")</f>
        <v>13</v>
      </c>
      <c r="G57" s="86">
        <f>_xlfn.XLOOKUP(C57,Dados!$C$3:$C$329,Dados!$E$3:$E$329,"")</f>
        <v>2881476</v>
      </c>
      <c r="H57" s="71">
        <f>_xlfn.XLOOKUP(C57,Dados!$C$3:$C$329,Dados!$F$3:$F$329,"")</f>
        <v>2864294.6666666674</v>
      </c>
      <c r="I57" s="71">
        <f>_xlfn.XLOOKUP(C57,Dados!$C$3:$C$329,Dados!$G$3:$G$329,"")</f>
        <v>2847113.3333333326</v>
      </c>
      <c r="J57" s="71">
        <f>_xlfn.XLOOKUP(C57,Dados!$C$3:$C$329,Dados!$H$3:$H$329,"")</f>
        <v>2829932</v>
      </c>
      <c r="K57" s="71">
        <f>_xlfn.XLOOKUP(C57,Dados!$C$3:$C$329,Dados!$I$3:$I$329,"")</f>
        <v>2815483</v>
      </c>
      <c r="L57" s="71">
        <f>_xlfn.XLOOKUP(C57,Dados!$C$3:$C$329,Dados!$J$3:$J$329,"")</f>
        <v>153</v>
      </c>
      <c r="M57" s="72" t="str">
        <f>_xlfn.XLOOKUP(C57,Dados!$C$3:$C$329,Dados!$K$3:$K$329,"")</f>
        <v>Sudeste</v>
      </c>
      <c r="N57" s="71">
        <f>_xlfn.XLOOKUP(C57,Dados!$C$3:$C$329,Dados!$L$3:$L$329,"")</f>
        <v>1</v>
      </c>
      <c r="O57" s="43">
        <f>_xlfn.XLOOKUP(C57,Dados!$C$3:$C$329,Dados!$M$3:$M$329,"")</f>
        <v>0.73253908843643201</v>
      </c>
      <c r="P57" s="43">
        <f>_xlfn.XLOOKUP(C57,Dados!$C$3:$C$329,Dados!$N$3:$N$329,"")</f>
        <v>0.71518760778753698</v>
      </c>
      <c r="Q57" s="43">
        <f>_xlfn.XLOOKUP(C57,Dados!$C$3:$C$329,Dados!$O$3:$O$329,"")</f>
        <v>0.68473618344893095</v>
      </c>
      <c r="R57" s="43">
        <f>_xlfn.XLOOKUP(C57,Dados!$C$3:$C$329,Dados!$P$3:$P$329,"")</f>
        <v>0.66896449976788996</v>
      </c>
      <c r="S57" s="43">
        <f>_xlfn.XLOOKUP(C57,Dados!$C$3:$C$329,Dados!$Q$3:$Q$329,"")</f>
        <v>0.832079008785507</v>
      </c>
      <c r="T57" s="43">
        <f>_xlfn.XLOOKUP(C57,Dados!$C$3:$C$329,Dados!$R$3:$R$329,"")</f>
        <v>0.84727053239889805</v>
      </c>
      <c r="U57" s="43">
        <f>_xlfn.XLOOKUP(C57,Dados!$C$3:$C$329,Dados!$S$3:$S$329,"")</f>
        <v>0.955876847895062</v>
      </c>
      <c r="V57" s="77">
        <f>_xlfn.XLOOKUP(C57,Dados!$C$3:$C$329,Dados!$T$3:$T$329,"")</f>
        <v>2030.52780437873</v>
      </c>
      <c r="W57" s="77">
        <f>_xlfn.XLOOKUP(C57,Dados!$C$3:$C$329,Dados!$U$3:$U$329,"")</f>
        <v>1724.38607542706</v>
      </c>
      <c r="X57" s="77">
        <f>_xlfn.XLOOKUP(C57,Dados!$C$3:$C$329,Dados!$V$3:$V$329,"")</f>
        <v>1461.6419548490101</v>
      </c>
      <c r="Y57" s="77">
        <f>_xlfn.XLOOKUP(C57,Dados!$C$3:$C$329,Dados!$W$3:$W$329,"")</f>
        <v>1253.4420719720499</v>
      </c>
      <c r="Z57" s="77">
        <f>_xlfn.XLOOKUP(C57,Dados!$C$3:$C$329,Dados!$X$3:$X$329,"")</f>
        <v>1114.1342389671699</v>
      </c>
      <c r="AA57" s="20"/>
      <c r="AB57" s="20"/>
      <c r="AC57" s="20"/>
      <c r="AD57" s="20"/>
      <c r="AE57" s="80"/>
      <c r="AF57" s="43">
        <v>0.67820772530987572</v>
      </c>
      <c r="AG57" s="43">
        <v>0.70143910872768955</v>
      </c>
      <c r="AH57" s="43">
        <v>0.71796848506324684</v>
      </c>
      <c r="AI57" s="43">
        <v>0.74245690859324587</v>
      </c>
      <c r="AJ57" s="43">
        <v>0.75708576831978946</v>
      </c>
      <c r="AK57" s="43" cm="1">
        <f t="array" ref="AK57">_xlfn.XLOOKUP(C57,Dados!$C$3:$C$329,Dados!$Z$3:'Dados'!$Z$329,"")</f>
        <v>14.14554346453</v>
      </c>
      <c r="AL57" s="43" cm="1">
        <f t="array" ref="AL57">_xlfn.XLOOKUP(C57,Dados!$C$3:$C$329,Dados!$AA$3:'Dados'!$AA$329,"")</f>
        <v>11.091700644393701</v>
      </c>
      <c r="AM57" s="43" cm="1">
        <f t="array" ref="AM57">_xlfn.XLOOKUP(C57,Dados!$C$3:$C$329,Dados!$AB$3:'Dados'!$AB$329,"")</f>
        <v>8.8869451397555892</v>
      </c>
      <c r="AN57" s="43" cm="1">
        <f t="array" ref="AN57">_xlfn.XLOOKUP(C57,Dados!$C$3:$C$329,Dados!$AC$3:'Dados'!$AC$329,"")</f>
        <v>7.6985079500143501</v>
      </c>
      <c r="AO57" s="82" cm="1">
        <f t="array" ref="AO57">_xlfn.XLOOKUP(C57,Dados!$C$3:$C$329,Dados!$AD$3:'Dados'!$AD$329,"")</f>
        <v>7.3597499967145996</v>
      </c>
    </row>
    <row r="58" spans="1:41" ht="51" x14ac:dyDescent="0.25">
      <c r="A58" s="2">
        <v>325</v>
      </c>
      <c r="B58" s="18" t="s">
        <v>134</v>
      </c>
      <c r="C58" s="19" t="s">
        <v>135</v>
      </c>
      <c r="D58" s="19" t="s">
        <v>45</v>
      </c>
      <c r="E58" s="19" t="s">
        <v>21</v>
      </c>
      <c r="F58" s="72">
        <f>_xlfn.XLOOKUP(C58,Dados!$C$3:$C$329,Dados!$D$3:$D$329,"")</f>
        <v>25</v>
      </c>
      <c r="G58" s="86">
        <f>_xlfn.XLOOKUP(C58,Dados!$C$3:$C$329,Dados!$E$3:$E$329,"")</f>
        <v>3571473</v>
      </c>
      <c r="H58" s="71">
        <f>_xlfn.XLOOKUP(C58,Dados!$C$3:$C$329,Dados!$F$3:$F$329,"")</f>
        <v>3598554.333333333</v>
      </c>
      <c r="I58" s="71">
        <f>_xlfn.XLOOKUP(C58,Dados!$C$3:$C$329,Dados!$G$3:$G$329,"")</f>
        <v>3625635.666666667</v>
      </c>
      <c r="J58" s="71">
        <f>_xlfn.XLOOKUP(C58,Dados!$C$3:$C$329,Dados!$H$3:$H$329,"")</f>
        <v>3652717</v>
      </c>
      <c r="K58" s="71">
        <f>_xlfn.XLOOKUP(C58,Dados!$C$3:$C$329,Dados!$I$3:$I$329,"")</f>
        <v>3637487</v>
      </c>
      <c r="L58" s="71">
        <f>_xlfn.XLOOKUP(C58,Dados!$C$3:$C$329,Dados!$J$3:$J$329,"")</f>
        <v>12</v>
      </c>
      <c r="M58" s="72" t="str">
        <f>_xlfn.XLOOKUP(C58,Dados!$C$3:$C$329,Dados!$K$3:$K$329,"")</f>
        <v>Sudeste</v>
      </c>
      <c r="N58" s="71">
        <f>_xlfn.XLOOKUP(C58,Dados!$C$3:$C$329,Dados!$L$3:$L$329,"")</f>
        <v>1</v>
      </c>
      <c r="O58" s="43">
        <f>_xlfn.XLOOKUP(C58,Dados!$C$3:$C$329,Dados!$M$3:$M$329,"")</f>
        <v>0.50856045853784104</v>
      </c>
      <c r="P58" s="43">
        <f>_xlfn.XLOOKUP(C58,Dados!$C$3:$C$329,Dados!$N$3:$N$329,"")</f>
        <v>0.48666045399671098</v>
      </c>
      <c r="Q58" s="43">
        <f>_xlfn.XLOOKUP(C58,Dados!$C$3:$C$329,Dados!$O$3:$O$329,"")</f>
        <v>0.48477986507030202</v>
      </c>
      <c r="R58" s="43">
        <f>_xlfn.XLOOKUP(C58,Dados!$C$3:$C$329,Dados!$P$3:$P$329,"")</f>
        <v>0.468402251416981</v>
      </c>
      <c r="S58" s="43">
        <f>_xlfn.XLOOKUP(C58,Dados!$C$3:$C$329,Dados!$Q$3:$Q$329,"")</f>
        <v>0.87741802912353695</v>
      </c>
      <c r="T58" s="43">
        <f>_xlfn.XLOOKUP(C58,Dados!$C$3:$C$329,Dados!$R$3:$R$329,"")</f>
        <v>0.69499667008277199</v>
      </c>
      <c r="U58" s="43">
        <f>_xlfn.XLOOKUP(C58,Dados!$C$3:$C$329,Dados!$S$3:$S$329,"")</f>
        <v>0.96271723411811805</v>
      </c>
      <c r="V58" s="77">
        <f>_xlfn.XLOOKUP(C58,Dados!$C$3:$C$329,Dados!$T$3:$T$329,"")</f>
        <v>1564.2553154146799</v>
      </c>
      <c r="W58" s="77">
        <f>_xlfn.XLOOKUP(C58,Dados!$C$3:$C$329,Dados!$U$3:$U$329,"")</f>
        <v>1257.19524869478</v>
      </c>
      <c r="X58" s="77">
        <f>_xlfn.XLOOKUP(C58,Dados!$C$3:$C$329,Dados!$V$3:$V$329,"")</f>
        <v>1143.07995074519</v>
      </c>
      <c r="Y58" s="77">
        <f>_xlfn.XLOOKUP(C58,Dados!$C$3:$C$329,Dados!$W$3:$W$329,"")</f>
        <v>911.47383346971606</v>
      </c>
      <c r="Z58" s="77">
        <f>_xlfn.XLOOKUP(C58,Dados!$C$3:$C$329,Dados!$X$3:$X$329,"")</f>
        <v>773.57063980984697</v>
      </c>
      <c r="AA58" s="20"/>
      <c r="AB58" s="20"/>
      <c r="AC58" s="20"/>
      <c r="AD58" s="20"/>
      <c r="AE58" s="80"/>
      <c r="AF58" s="43">
        <v>0.56561846790258508</v>
      </c>
      <c r="AG58" s="43">
        <v>0.58695654803168296</v>
      </c>
      <c r="AH58" s="43">
        <v>0.60882982044376976</v>
      </c>
      <c r="AI58" s="43">
        <v>0.70276405539267017</v>
      </c>
      <c r="AJ58" s="43">
        <v>0.72227684988084728</v>
      </c>
      <c r="AK58" s="43" cm="1">
        <f t="array" ref="AK58">_xlfn.XLOOKUP(C58,Dados!$C$3:$C$329,Dados!$Z$3:'Dados'!$Z$329,"")</f>
        <v>41.544218869917302</v>
      </c>
      <c r="AL58" s="43" cm="1">
        <f t="array" ref="AL58">_xlfn.XLOOKUP(C58,Dados!$C$3:$C$329,Dados!$AA$3:'Dados'!$AA$329,"")</f>
        <v>38.907569826883297</v>
      </c>
      <c r="AM58" s="43" cm="1">
        <f t="array" ref="AM58">_xlfn.XLOOKUP(C58,Dados!$C$3:$C$329,Dados!$AB$3:'Dados'!$AB$329,"")</f>
        <v>21.516002205406402</v>
      </c>
      <c r="AN58" s="43" cm="1">
        <f t="array" ref="AN58">_xlfn.XLOOKUP(C58,Dados!$C$3:$C$329,Dados!$AC$3:'Dados'!$AC$329,"")</f>
        <v>15.9983954409827</v>
      </c>
      <c r="AO58" s="82" cm="1">
        <f t="array" ref="AO58">_xlfn.XLOOKUP(C58,Dados!$C$3:$C$329,Dados!$AD$3:'Dados'!$AD$329,"")</f>
        <v>13.318589729667799</v>
      </c>
    </row>
    <row r="59" spans="1:41" ht="63.75" x14ac:dyDescent="0.25">
      <c r="A59" s="2">
        <v>326</v>
      </c>
      <c r="B59" s="18" t="s">
        <v>136</v>
      </c>
      <c r="C59" s="19" t="s">
        <v>137</v>
      </c>
      <c r="D59" s="19" t="s">
        <v>48</v>
      </c>
      <c r="E59" s="19" t="s">
        <v>21</v>
      </c>
      <c r="F59" s="72">
        <f>_xlfn.XLOOKUP(C59,Dados!$C$3:$C$329,Dados!$D$3:$D$329,"")</f>
        <v>12</v>
      </c>
      <c r="G59" s="86">
        <f>_xlfn.XLOOKUP(C59,Dados!$C$3:$C$329,Dados!$E$3:$E$329,"")</f>
        <v>1128248</v>
      </c>
      <c r="H59" s="71">
        <f>_xlfn.XLOOKUP(C59,Dados!$C$3:$C$329,Dados!$F$3:$F$329,"")</f>
        <v>1127034</v>
      </c>
      <c r="I59" s="71">
        <f>_xlfn.XLOOKUP(C59,Dados!$C$3:$C$329,Dados!$G$3:$G$329,"")</f>
        <v>1125820</v>
      </c>
      <c r="J59" s="71">
        <f>_xlfn.XLOOKUP(C59,Dados!$C$3:$C$329,Dados!$H$3:$H$329,"")</f>
        <v>1124606</v>
      </c>
      <c r="K59" s="71">
        <f>_xlfn.XLOOKUP(C59,Dados!$C$3:$C$329,Dados!$I$3:$I$329,"")</f>
        <v>1114287</v>
      </c>
      <c r="L59" s="71">
        <f>_xlfn.XLOOKUP(C59,Dados!$C$3:$C$329,Dados!$J$3:$J$329,"")</f>
        <v>8</v>
      </c>
      <c r="M59" s="72" t="str">
        <f>_xlfn.XLOOKUP(C59,Dados!$C$3:$C$329,Dados!$K$3:$K$329,"")</f>
        <v>Sudeste</v>
      </c>
      <c r="N59" s="71" t="str">
        <f>_xlfn.XLOOKUP(C59,Dados!$C$3:$C$329,Dados!$L$3:$L$329,"")</f>
        <v/>
      </c>
      <c r="O59" s="43">
        <f>_xlfn.XLOOKUP(C59,Dados!$C$3:$C$329,Dados!$M$3:$M$329,"")</f>
        <v>0.822169014717687</v>
      </c>
      <c r="P59" s="43">
        <f>_xlfn.XLOOKUP(C59,Dados!$C$3:$C$329,Dados!$N$3:$N$329,"")</f>
        <v>0.81530190776500699</v>
      </c>
      <c r="Q59" s="43">
        <f>_xlfn.XLOOKUP(C59,Dados!$C$3:$C$329,Dados!$O$3:$O$329,"")</f>
        <v>0.79690428310003703</v>
      </c>
      <c r="R59" s="43">
        <f>_xlfn.XLOOKUP(C59,Dados!$C$3:$C$329,Dados!$P$3:$P$329,"")</f>
        <v>0.77659503395444796</v>
      </c>
      <c r="S59" s="43">
        <f>_xlfn.XLOOKUP(C59,Dados!$C$3:$C$329,Dados!$Q$3:$Q$329,"")</f>
        <v>0.92230953047556397</v>
      </c>
      <c r="T59" s="43">
        <f>_xlfn.XLOOKUP(C59,Dados!$C$3:$C$329,Dados!$R$3:$R$329,"")</f>
        <v>0.955669984455774</v>
      </c>
      <c r="U59" s="43">
        <f>_xlfn.XLOOKUP(C59,Dados!$C$3:$C$329,Dados!$S$3:$S$329,"")</f>
        <v>0.99568417799174502</v>
      </c>
      <c r="V59" s="77">
        <f>_xlfn.XLOOKUP(C59,Dados!$C$3:$C$329,Dados!$T$3:$T$329,"")</f>
        <v>1595.1648429689201</v>
      </c>
      <c r="W59" s="77">
        <f>_xlfn.XLOOKUP(C59,Dados!$C$3:$C$329,Dados!$U$3:$U$329,"")</f>
        <v>1395.7584723678799</v>
      </c>
      <c r="X59" s="77">
        <f>_xlfn.XLOOKUP(C59,Dados!$C$3:$C$329,Dados!$V$3:$V$329,"")</f>
        <v>1278.61725011103</v>
      </c>
      <c r="Y59" s="77">
        <f>_xlfn.XLOOKUP(C59,Dados!$C$3:$C$329,Dados!$W$3:$W$329,"")</f>
        <v>1186.14548076393</v>
      </c>
      <c r="Z59" s="77">
        <f>_xlfn.XLOOKUP(C59,Dados!$C$3:$C$329,Dados!$X$3:$X$329,"")</f>
        <v>1108.6759191303499</v>
      </c>
      <c r="AA59" s="20"/>
      <c r="AB59" s="20"/>
      <c r="AC59" s="20"/>
      <c r="AD59" s="20"/>
      <c r="AE59" s="80"/>
      <c r="AF59" s="43">
        <v>3.0643119657688761E-2</v>
      </c>
      <c r="AG59" s="43">
        <v>3.4077661462831116E-2</v>
      </c>
      <c r="AH59" s="43">
        <f>AF59/AG59</f>
        <v>0.8992142753431468</v>
      </c>
      <c r="AI59" s="43">
        <v>3.0026441473333113E-2</v>
      </c>
      <c r="AJ59" s="43">
        <v>2.9628652848021256E-2</v>
      </c>
      <c r="AK59" s="43" cm="1">
        <f t="array" ref="AK59">_xlfn.XLOOKUP(C59,Dados!$C$3:$C$329,Dados!$Z$3:'Dados'!$Z$329,"")</f>
        <v>17.857719224851301</v>
      </c>
      <c r="AL59" s="43" cm="1">
        <f t="array" ref="AL59">_xlfn.XLOOKUP(C59,Dados!$C$3:$C$329,Dados!$AA$3:'Dados'!$AA$329,"")</f>
        <v>17.5350885598837</v>
      </c>
      <c r="AM59" s="43" cm="1">
        <f t="array" ref="AM59">_xlfn.XLOOKUP(C59,Dados!$C$3:$C$329,Dados!$AB$3:'Dados'!$AB$329,"")</f>
        <v>17.351789806540999</v>
      </c>
      <c r="AN59" s="43" cm="1">
        <f t="array" ref="AN59">_xlfn.XLOOKUP(C59,Dados!$C$3:$C$329,Dados!$AC$3:'Dados'!$AC$329,"")</f>
        <v>15.9236168044631</v>
      </c>
      <c r="AO59" s="82" cm="1">
        <f t="array" ref="AO59">_xlfn.XLOOKUP(C59,Dados!$C$3:$C$329,Dados!$AD$3:'Dados'!$AD$329,"")</f>
        <v>12.6726740956325</v>
      </c>
    </row>
    <row r="60" spans="1:41" ht="51" x14ac:dyDescent="0.25">
      <c r="A60" s="6">
        <v>44</v>
      </c>
      <c r="B60" s="3" t="s">
        <v>138</v>
      </c>
      <c r="C60" s="8" t="s">
        <v>139</v>
      </c>
      <c r="D60" s="8" t="s">
        <v>140</v>
      </c>
      <c r="E60" s="8" t="s">
        <v>141</v>
      </c>
      <c r="F60" s="72">
        <f>_xlfn.XLOOKUP(C60,Dados!$C$3:$C$329,Dados!$D$3:$D$329,"")</f>
        <v>30</v>
      </c>
      <c r="G60" s="86">
        <f>_xlfn.XLOOKUP(C60,Dados!$C$3:$C$329,Dados!$E$3:$E$329,"")</f>
        <v>217325</v>
      </c>
      <c r="H60" s="71">
        <f>_xlfn.XLOOKUP(C60,Dados!$C$3:$C$329,Dados!$F$3:$F$329,"")</f>
        <v>218429.33333333337</v>
      </c>
      <c r="I60" s="71">
        <f>_xlfn.XLOOKUP(C60,Dados!$C$3:$C$329,Dados!$G$3:$G$329,"")</f>
        <v>219533.66666666663</v>
      </c>
      <c r="J60" s="71">
        <f>_xlfn.XLOOKUP(C60,Dados!$C$3:$C$329,Dados!$H$3:$H$329,"")</f>
        <v>220638</v>
      </c>
      <c r="K60" s="71">
        <f>_xlfn.XLOOKUP(C60,Dados!$C$3:$C$329,Dados!$I$3:$I$329,"")</f>
        <v>221429</v>
      </c>
      <c r="L60" s="71">
        <f>_xlfn.XLOOKUP(C60,Dados!$C$3:$C$329,Dados!$J$3:$J$329,"")</f>
        <v>21</v>
      </c>
      <c r="M60" s="72" t="str">
        <f>_xlfn.XLOOKUP(C60,Dados!$C$3:$C$329,Dados!$K$3:$K$329,"")</f>
        <v>Sul</v>
      </c>
      <c r="N60" s="71">
        <f>_xlfn.XLOOKUP(C60,Dados!$C$3:$C$329,Dados!$L$3:$L$329,"")</f>
        <v>5</v>
      </c>
      <c r="O60" s="43">
        <f>_xlfn.XLOOKUP(C60,Dados!$C$3:$C$329,Dados!$M$3:$M$329,"")</f>
        <v>0.69576009128810501</v>
      </c>
      <c r="P60" s="43">
        <f>_xlfn.XLOOKUP(C60,Dados!$C$3:$C$329,Dados!$N$3:$N$329,"")</f>
        <v>0.66109032616106</v>
      </c>
      <c r="Q60" s="43">
        <f>_xlfn.XLOOKUP(C60,Dados!$C$3:$C$329,Dados!$O$3:$O$329,"")</f>
        <v>0.63864338962463396</v>
      </c>
      <c r="R60" s="43">
        <f>_xlfn.XLOOKUP(C60,Dados!$C$3:$C$329,Dados!$P$3:$P$329,"")</f>
        <v>0.63557695694782501</v>
      </c>
      <c r="S60" s="43">
        <f>_xlfn.XLOOKUP(C60,Dados!$C$3:$C$329,Dados!$Q$3:$Q$329,"")</f>
        <v>0.59768936199611</v>
      </c>
      <c r="T60" s="43">
        <f>_xlfn.XLOOKUP(C60,Dados!$C$3:$C$329,Dados!$R$3:$R$329,"")</f>
        <v>0.88808245341261205</v>
      </c>
      <c r="U60" s="43">
        <f>_xlfn.XLOOKUP(C60,Dados!$C$3:$C$329,Dados!$S$3:$S$329,"")</f>
        <v>0.916776154150996</v>
      </c>
      <c r="V60" s="77">
        <f>_xlfn.XLOOKUP(C60,Dados!$C$3:$C$329,Dados!$T$3:$T$329,"")</f>
        <v>1694.7299079259201</v>
      </c>
      <c r="W60" s="77">
        <f>_xlfn.XLOOKUP(C60,Dados!$C$3:$C$329,Dados!$U$3:$U$329,"")</f>
        <v>1415.09763885498</v>
      </c>
      <c r="X60" s="77">
        <f>_xlfn.XLOOKUP(C60,Dados!$C$3:$C$329,Dados!$V$3:$V$329,"")</f>
        <v>1292.8099278926099</v>
      </c>
      <c r="Y60" s="77">
        <f>_xlfn.XLOOKUP(C60,Dados!$C$3:$C$329,Dados!$W$3:$W$329,"")</f>
        <v>920.47919927664304</v>
      </c>
      <c r="Z60" s="77">
        <f>_xlfn.XLOOKUP(C60,Dados!$C$3:$C$329,Dados!$X$3:$X$329,"")</f>
        <v>967.90397143102302</v>
      </c>
      <c r="AA60" s="20"/>
      <c r="AB60" s="20"/>
      <c r="AC60" s="20"/>
      <c r="AD60" s="20"/>
      <c r="AE60" s="80"/>
      <c r="AF60" s="43">
        <v>6.3508771499334801E-2</v>
      </c>
      <c r="AG60" s="43">
        <v>7.8972534764506261E-2</v>
      </c>
      <c r="AH60" s="43">
        <v>1.4660660924642847E-2</v>
      </c>
      <c r="AI60" s="43">
        <v>9.7438894042351842E-2</v>
      </c>
      <c r="AJ60" s="43">
        <v>0.11669024812615046</v>
      </c>
      <c r="AK60" s="43" cm="1">
        <f t="array" ref="AK60">_xlfn.XLOOKUP(C60,Dados!$C$3:$C$329,Dados!$Z$3:'Dados'!$Z$329,"")</f>
        <v>2.4885079949384599</v>
      </c>
      <c r="AL60" s="43" cm="1">
        <f t="array" ref="AL60">_xlfn.XLOOKUP(C60,Dados!$C$3:$C$329,Dados!$AA$3:'Dados'!$AA$329,"")</f>
        <v>2.1396943023525501</v>
      </c>
      <c r="AM60" s="43" cm="1">
        <f t="array" ref="AM60">_xlfn.XLOOKUP(C60,Dados!$C$3:$C$329,Dados!$AB$3:'Dados'!$AB$329,"")</f>
        <v>1.7494765419426901</v>
      </c>
      <c r="AN60" s="43" cm="1">
        <f t="array" ref="AN60">_xlfn.XLOOKUP(C60,Dados!$C$3:$C$329,Dados!$AC$3:'Dados'!$AC$329,"")</f>
        <v>2.2847877518831701</v>
      </c>
      <c r="AO60" s="82" cm="1">
        <f t="array" ref="AO60">_xlfn.XLOOKUP(C60,Dados!$C$3:$C$329,Dados!$AD$3:'Dados'!$AD$329,"")</f>
        <v>2.0416747580488601</v>
      </c>
    </row>
    <row r="61" spans="1:41" ht="38.25" x14ac:dyDescent="0.25">
      <c r="A61" s="6">
        <v>45</v>
      </c>
      <c r="B61" s="3" t="s">
        <v>142</v>
      </c>
      <c r="C61" s="8" t="s">
        <v>143</v>
      </c>
      <c r="D61" s="8" t="s">
        <v>140</v>
      </c>
      <c r="E61" s="8" t="s">
        <v>141</v>
      </c>
      <c r="F61" s="72">
        <f>_xlfn.XLOOKUP(C61,Dados!$C$3:$C$329,Dados!$D$3:$D$329,"")</f>
        <v>30</v>
      </c>
      <c r="G61" s="86">
        <f>_xlfn.XLOOKUP(C61,Dados!$C$3:$C$329,Dados!$E$3:$E$329,"")</f>
        <v>705893</v>
      </c>
      <c r="H61" s="71">
        <f>_xlfn.XLOOKUP(C61,Dados!$C$3:$C$329,Dados!$F$3:$F$329,"")</f>
        <v>694293.33333333349</v>
      </c>
      <c r="I61" s="71">
        <f>_xlfn.XLOOKUP(C61,Dados!$C$3:$C$329,Dados!$G$3:$G$329,"")</f>
        <v>682693.66666666651</v>
      </c>
      <c r="J61" s="71">
        <f>_xlfn.XLOOKUP(C61,Dados!$C$3:$C$329,Dados!$H$3:$H$329,"")</f>
        <v>671094</v>
      </c>
      <c r="K61" s="71">
        <f>_xlfn.XLOOKUP(C61,Dados!$C$3:$C$329,Dados!$I$3:$I$329,"")</f>
        <v>662968</v>
      </c>
      <c r="L61" s="71">
        <f>_xlfn.XLOOKUP(C61,Dados!$C$3:$C$329,Dados!$J$3:$J$329,"")</f>
        <v>26</v>
      </c>
      <c r="M61" s="72" t="str">
        <f>_xlfn.XLOOKUP(C61,Dados!$C$3:$C$329,Dados!$K$3:$K$329,"")</f>
        <v>Sul</v>
      </c>
      <c r="N61" s="71">
        <f>_xlfn.XLOOKUP(C61,Dados!$C$3:$C$329,Dados!$L$3:$L$329,"")</f>
        <v>2</v>
      </c>
      <c r="O61" s="43">
        <f>_xlfn.XLOOKUP(C61,Dados!$C$3:$C$329,Dados!$M$3:$M$329,"")</f>
        <v>0.76736355694999203</v>
      </c>
      <c r="P61" s="43">
        <f>_xlfn.XLOOKUP(C61,Dados!$C$3:$C$329,Dados!$N$3:$N$329,"")</f>
        <v>0.75269721754168895</v>
      </c>
      <c r="Q61" s="43">
        <f>_xlfn.XLOOKUP(C61,Dados!$C$3:$C$329,Dados!$O$3:$O$329,"")</f>
        <v>0.722041939579254</v>
      </c>
      <c r="R61" s="43">
        <f>_xlfn.XLOOKUP(C61,Dados!$C$3:$C$329,Dados!$P$3:$P$329,"")</f>
        <v>0.71616975691134399</v>
      </c>
      <c r="S61" s="43">
        <f>_xlfn.XLOOKUP(C61,Dados!$C$3:$C$329,Dados!$Q$3:$Q$329,"")</f>
        <v>0.58655889166492903</v>
      </c>
      <c r="T61" s="43">
        <f>_xlfn.XLOOKUP(C61,Dados!$C$3:$C$329,Dados!$R$3:$R$329,"")</f>
        <v>0.86664384323666899</v>
      </c>
      <c r="U61" s="43">
        <f>_xlfn.XLOOKUP(C61,Dados!$C$3:$C$329,Dados!$S$3:$S$329,"")</f>
        <v>0.90485441864848104</v>
      </c>
      <c r="V61" s="77">
        <f>_xlfn.XLOOKUP(C61,Dados!$C$3:$C$329,Dados!$T$3:$T$329,"")</f>
        <v>1735.95554432471</v>
      </c>
      <c r="W61" s="77">
        <f>_xlfn.XLOOKUP(C61,Dados!$C$3:$C$329,Dados!$U$3:$U$329,"")</f>
        <v>1630.48339562049</v>
      </c>
      <c r="X61" s="77">
        <f>_xlfn.XLOOKUP(C61,Dados!$C$3:$C$329,Dados!$V$3:$V$329,"")</f>
        <v>1429.4261386244</v>
      </c>
      <c r="Y61" s="77">
        <f>_xlfn.XLOOKUP(C61,Dados!$C$3:$C$329,Dados!$W$3:$W$329,"")</f>
        <v>1202.4242385120399</v>
      </c>
      <c r="Z61" s="77">
        <f>_xlfn.XLOOKUP(C61,Dados!$C$3:$C$329,Dados!$X$3:$X$329,"")</f>
        <v>1047.76396209168</v>
      </c>
      <c r="AA61" s="20"/>
      <c r="AB61" s="20"/>
      <c r="AC61" s="20"/>
      <c r="AD61" s="20"/>
      <c r="AE61" s="80"/>
      <c r="AF61" s="43">
        <v>5.434817408781939E-2</v>
      </c>
      <c r="AG61" s="43">
        <v>5.4956481346973646E-2</v>
      </c>
      <c r="AH61" s="43">
        <v>6.8042981844231021E-2</v>
      </c>
      <c r="AI61" s="43">
        <v>8.2818409311394295E-2</v>
      </c>
      <c r="AJ61" s="43">
        <v>0.13591538509828077</v>
      </c>
      <c r="AK61" s="43" cm="1">
        <f t="array" ref="AK61">_xlfn.XLOOKUP(C61,Dados!$C$3:$C$329,Dados!$Z$3:'Dados'!$Z$329,"")</f>
        <v>16.565289640214601</v>
      </c>
      <c r="AL61" s="43" cm="1">
        <f t="array" ref="AL61">_xlfn.XLOOKUP(C61,Dados!$C$3:$C$329,Dados!$AA$3:'Dados'!$AA$329,"")</f>
        <v>15.521191811338101</v>
      </c>
      <c r="AM61" s="43" cm="1">
        <f t="array" ref="AM61">_xlfn.XLOOKUP(C61,Dados!$C$3:$C$329,Dados!$AB$3:'Dados'!$AB$329,"")</f>
        <v>14.650633934888299</v>
      </c>
      <c r="AN61" s="43" cm="1">
        <f t="array" ref="AN61">_xlfn.XLOOKUP(C61,Dados!$C$3:$C$329,Dados!$AC$3:'Dados'!$AC$329,"")</f>
        <v>10.3033747880327</v>
      </c>
      <c r="AO61" s="82" cm="1">
        <f t="array" ref="AO61">_xlfn.XLOOKUP(C61,Dados!$C$3:$C$329,Dados!$AD$3:'Dados'!$AD$329,"")</f>
        <v>12.316660834308699</v>
      </c>
    </row>
    <row r="62" spans="1:41" ht="38.25" x14ac:dyDescent="0.25">
      <c r="A62" s="6">
        <v>47</v>
      </c>
      <c r="B62" s="3" t="s">
        <v>144</v>
      </c>
      <c r="C62" s="8" t="s">
        <v>145</v>
      </c>
      <c r="D62" s="8" t="s">
        <v>140</v>
      </c>
      <c r="E62" s="8" t="s">
        <v>141</v>
      </c>
      <c r="F62" s="72">
        <f>_xlfn.XLOOKUP(C62,Dados!$C$3:$C$329,Dados!$D$3:$D$329,"")</f>
        <v>25</v>
      </c>
      <c r="G62" s="86">
        <f>_xlfn.XLOOKUP(C62,Dados!$C$3:$C$329,Dados!$E$3:$E$329,"")</f>
        <v>10098629</v>
      </c>
      <c r="H62" s="71">
        <f>_xlfn.XLOOKUP(C62,Dados!$C$3:$C$329,Dados!$F$3:$F$329,"")</f>
        <v>10004637</v>
      </c>
      <c r="I62" s="71">
        <f>_xlfn.XLOOKUP(C62,Dados!$C$3:$C$329,Dados!$G$3:$G$329,"")</f>
        <v>9910644.9999999981</v>
      </c>
      <c r="J62" s="71">
        <f>_xlfn.XLOOKUP(C62,Dados!$C$3:$C$329,Dados!$H$3:$H$329,"")</f>
        <v>9816653</v>
      </c>
      <c r="K62" s="71">
        <f>_xlfn.XLOOKUP(C62,Dados!$C$3:$C$329,Dados!$I$3:$I$329,"")</f>
        <v>9745601</v>
      </c>
      <c r="L62" s="71">
        <f>_xlfn.XLOOKUP(C62,Dados!$C$3:$C$329,Dados!$J$3:$J$329,"")</f>
        <v>397</v>
      </c>
      <c r="M62" s="72" t="str">
        <f>_xlfn.XLOOKUP(C62,Dados!$C$3:$C$329,Dados!$K$3:$K$329,"")</f>
        <v>Sul</v>
      </c>
      <c r="N62" s="71">
        <f>_xlfn.XLOOKUP(C62,Dados!$C$3:$C$329,Dados!$L$3:$L$329,"")</f>
        <v>1</v>
      </c>
      <c r="O62" s="43">
        <f>_xlfn.XLOOKUP(C62,Dados!$C$3:$C$329,Dados!$M$3:$M$329,"")</f>
        <v>0.74367914792244205</v>
      </c>
      <c r="P62" s="43">
        <f>_xlfn.XLOOKUP(C62,Dados!$C$3:$C$329,Dados!$N$3:$N$329,"")</f>
        <v>0.71630130333259501</v>
      </c>
      <c r="Q62" s="43">
        <f>_xlfn.XLOOKUP(C62,Dados!$C$3:$C$329,Dados!$O$3:$O$329,"")</f>
        <v>0.70334763249755305</v>
      </c>
      <c r="R62" s="43">
        <f>_xlfn.XLOOKUP(C62,Dados!$C$3:$C$329,Dados!$P$3:$P$329,"")</f>
        <v>0.67601494874456702</v>
      </c>
      <c r="S62" s="43">
        <f>_xlfn.XLOOKUP(C62,Dados!$C$3:$C$329,Dados!$Q$3:$Q$329,"")</f>
        <v>0.61983332687562998</v>
      </c>
      <c r="T62" s="43">
        <f>_xlfn.XLOOKUP(C62,Dados!$C$3:$C$329,Dados!$R$3:$R$329,"")</f>
        <v>0.85161029828701096</v>
      </c>
      <c r="U62" s="43">
        <f>_xlfn.XLOOKUP(C62,Dados!$C$3:$C$329,Dados!$S$3:$S$329,"")</f>
        <v>0.923694240189883</v>
      </c>
      <c r="V62" s="77">
        <f>_xlfn.XLOOKUP(C62,Dados!$C$3:$C$329,Dados!$T$3:$T$329,"")</f>
        <v>1632.74697931571</v>
      </c>
      <c r="W62" s="77">
        <f>_xlfn.XLOOKUP(C62,Dados!$C$3:$C$329,Dados!$U$3:$U$329,"")</f>
        <v>1452.4845876120601</v>
      </c>
      <c r="X62" s="77">
        <f>_xlfn.XLOOKUP(C62,Dados!$C$3:$C$329,Dados!$V$3:$V$329,"")</f>
        <v>1283.96079509322</v>
      </c>
      <c r="Y62" s="77">
        <f>_xlfn.XLOOKUP(C62,Dados!$C$3:$C$329,Dados!$W$3:$W$329,"")</f>
        <v>1082.25041373368</v>
      </c>
      <c r="Z62" s="77">
        <f>_xlfn.XLOOKUP(C62,Dados!$C$3:$C$329,Dados!$X$3:$X$329,"")</f>
        <v>972.03227732594405</v>
      </c>
      <c r="AA62" s="20"/>
      <c r="AB62" s="20"/>
      <c r="AC62" s="20"/>
      <c r="AD62" s="20"/>
      <c r="AE62" s="80"/>
      <c r="AF62" s="43">
        <v>1.0612759416945059E-2</v>
      </c>
      <c r="AG62" s="43" t="e">
        <v>#DIV/0!</v>
      </c>
      <c r="AH62" s="43" t="e">
        <v>#DIV/0!</v>
      </c>
      <c r="AI62" s="43">
        <v>8.6571261785446923E-3</v>
      </c>
      <c r="AJ62" s="43">
        <v>1.0787580128365564E-2</v>
      </c>
      <c r="AK62" s="43" cm="1">
        <f t="array" ref="AK62">_xlfn.XLOOKUP(C62,Dados!$C$3:$C$329,Dados!$Z$3:'Dados'!$Z$329,"")</f>
        <v>11.633480742782</v>
      </c>
      <c r="AL62" s="43" cm="1">
        <f t="array" ref="AL62">_xlfn.XLOOKUP(C62,Dados!$C$3:$C$329,Dados!$AA$3:'Dados'!$AA$329,"")</f>
        <v>11.0599753894119</v>
      </c>
      <c r="AM62" s="43" cm="1">
        <f t="array" ref="AM62">_xlfn.XLOOKUP(C62,Dados!$C$3:$C$329,Dados!$AB$3:'Dados'!$AB$329,"")</f>
        <v>10.0718150029589</v>
      </c>
      <c r="AN62" s="43" cm="1">
        <f t="array" ref="AN62">_xlfn.XLOOKUP(C62,Dados!$C$3:$C$329,Dados!$AC$3:'Dados'!$AC$329,"")</f>
        <v>8.0569232710986096</v>
      </c>
      <c r="AO62" s="82" cm="1">
        <f t="array" ref="AO62">_xlfn.XLOOKUP(C62,Dados!$C$3:$C$329,Dados!$AD$3:'Dados'!$AD$329,"")</f>
        <v>7.9023648721099899</v>
      </c>
    </row>
    <row r="63" spans="1:41" ht="51" x14ac:dyDescent="0.25">
      <c r="A63" s="6">
        <v>48</v>
      </c>
      <c r="B63" s="3" t="s">
        <v>146</v>
      </c>
      <c r="C63" s="8" t="s">
        <v>147</v>
      </c>
      <c r="D63" s="8" t="s">
        <v>140</v>
      </c>
      <c r="E63" s="8" t="s">
        <v>141</v>
      </c>
      <c r="F63" s="72">
        <f>_xlfn.XLOOKUP(C63,Dados!$C$3:$C$329,Dados!$D$3:$D$329,"")</f>
        <v>14</v>
      </c>
      <c r="G63" s="86">
        <f>_xlfn.XLOOKUP(C63,Dados!$C$3:$C$329,Dados!$E$3:$E$329,"")</f>
        <v>312589</v>
      </c>
      <c r="H63" s="71">
        <f>_xlfn.XLOOKUP(C63,Dados!$C$3:$C$329,Dados!$F$3:$F$329,"")</f>
        <v>309240.66666666663</v>
      </c>
      <c r="I63" s="71">
        <f>_xlfn.XLOOKUP(C63,Dados!$C$3:$C$329,Dados!$G$3:$G$329,"")</f>
        <v>305892.33333333337</v>
      </c>
      <c r="J63" s="71">
        <f>_xlfn.XLOOKUP(C63,Dados!$C$3:$C$329,Dados!$H$3:$H$329,"")</f>
        <v>302544</v>
      </c>
      <c r="K63" s="71">
        <f>_xlfn.XLOOKUP(C63,Dados!$C$3:$C$329,Dados!$I$3:$I$329,"")</f>
        <v>299824</v>
      </c>
      <c r="L63" s="71">
        <f>_xlfn.XLOOKUP(C63,Dados!$C$3:$C$329,Dados!$J$3:$J$329,"")</f>
        <v>7</v>
      </c>
      <c r="M63" s="72" t="str">
        <f>_xlfn.XLOOKUP(C63,Dados!$C$3:$C$329,Dados!$K$3:$K$329,"")</f>
        <v>Sul</v>
      </c>
      <c r="N63" s="71">
        <f>_xlfn.XLOOKUP(C63,Dados!$C$3:$C$329,Dados!$L$3:$L$329,"")</f>
        <v>3</v>
      </c>
      <c r="O63" s="43">
        <f>_xlfn.XLOOKUP(C63,Dados!$C$3:$C$329,Dados!$M$3:$M$329,"")</f>
        <v>0.66558422135079298</v>
      </c>
      <c r="P63" s="43">
        <f>_xlfn.XLOOKUP(C63,Dados!$C$3:$C$329,Dados!$N$3:$N$329,"")</f>
        <v>0.63530018012873801</v>
      </c>
      <c r="Q63" s="43">
        <f>_xlfn.XLOOKUP(C63,Dados!$C$3:$C$329,Dados!$O$3:$O$329,"")</f>
        <v>0.62455193095880301</v>
      </c>
      <c r="R63" s="43">
        <f>_xlfn.XLOOKUP(C63,Dados!$C$3:$C$329,Dados!$P$3:$P$329,"")</f>
        <v>0.601497442833129</v>
      </c>
      <c r="S63" s="43">
        <f>_xlfn.XLOOKUP(C63,Dados!$C$3:$C$329,Dados!$Q$3:$Q$329,"")</f>
        <v>0.73258168266176404</v>
      </c>
      <c r="T63" s="43">
        <f>_xlfn.XLOOKUP(C63,Dados!$C$3:$C$329,Dados!$R$3:$R$329,"")</f>
        <v>0.83578755880336997</v>
      </c>
      <c r="U63" s="43">
        <f>_xlfn.XLOOKUP(C63,Dados!$C$3:$C$329,Dados!$S$3:$S$329,"")</f>
        <v>0.97399558635554795</v>
      </c>
      <c r="V63" s="77">
        <f>_xlfn.XLOOKUP(C63,Dados!$C$3:$C$329,Dados!$T$3:$T$329,"")</f>
        <v>1406.6321024732199</v>
      </c>
      <c r="W63" s="77">
        <f>_xlfn.XLOOKUP(C63,Dados!$C$3:$C$329,Dados!$U$3:$U$329,"")</f>
        <v>1300.6855296306401</v>
      </c>
      <c r="X63" s="77">
        <f>_xlfn.XLOOKUP(C63,Dados!$C$3:$C$329,Dados!$V$3:$V$329,"")</f>
        <v>1205.64146956936</v>
      </c>
      <c r="Y63" s="77">
        <f>_xlfn.XLOOKUP(C63,Dados!$C$3:$C$329,Dados!$W$3:$W$329,"")</f>
        <v>1054.14546892353</v>
      </c>
      <c r="Z63" s="77">
        <f>_xlfn.XLOOKUP(C63,Dados!$C$3:$C$329,Dados!$X$3:$X$329,"")</f>
        <v>915.66323132904597</v>
      </c>
      <c r="AA63" s="20"/>
      <c r="AB63" s="20"/>
      <c r="AC63" s="20"/>
      <c r="AD63" s="20"/>
      <c r="AE63" s="80"/>
      <c r="AF63" s="43">
        <v>0.26814302702097259</v>
      </c>
      <c r="AG63" s="43">
        <v>0.32675969395385757</v>
      </c>
      <c r="AH63" s="43">
        <v>1.2982756306558716</v>
      </c>
      <c r="AI63" s="43">
        <v>0.28054936855679108</v>
      </c>
      <c r="AJ63" s="43">
        <v>0.54599981183591195</v>
      </c>
      <c r="AK63" s="43" cm="1">
        <f t="array" ref="AK63">_xlfn.XLOOKUP(C63,Dados!$C$3:$C$329,Dados!$Z$3:'Dados'!$Z$329,"")</f>
        <v>4.4123817536765504</v>
      </c>
      <c r="AL63" s="43" cm="1">
        <f t="array" ref="AL63">_xlfn.XLOOKUP(C63,Dados!$C$3:$C$329,Dados!$AA$3:'Dados'!$AA$329,"")</f>
        <v>5.0385061473156796</v>
      </c>
      <c r="AM63" s="43" cm="1">
        <f t="array" ref="AM63">_xlfn.XLOOKUP(C63,Dados!$C$3:$C$329,Dados!$AB$3:'Dados'!$AB$329,"")</f>
        <v>3.5296471416413402</v>
      </c>
      <c r="AN63" s="43" cm="1">
        <f t="array" ref="AN63">_xlfn.XLOOKUP(C63,Dados!$C$3:$C$329,Dados!$AC$3:'Dados'!$AC$329,"")</f>
        <v>3.67035538632397</v>
      </c>
      <c r="AO63" s="82" cm="1">
        <f t="array" ref="AO63">_xlfn.XLOOKUP(C63,Dados!$C$3:$C$329,Dados!$AD$3:'Dados'!$AD$329,"")</f>
        <v>3.9288048988740099</v>
      </c>
    </row>
    <row r="64" spans="1:41" ht="51" x14ac:dyDescent="0.25">
      <c r="A64" s="6">
        <v>49</v>
      </c>
      <c r="B64" s="3" t="s">
        <v>148</v>
      </c>
      <c r="C64" s="8" t="s">
        <v>149</v>
      </c>
      <c r="D64" s="8" t="s">
        <v>140</v>
      </c>
      <c r="E64" s="8" t="s">
        <v>141</v>
      </c>
      <c r="F64" s="72">
        <f>_xlfn.XLOOKUP(C64,Dados!$C$3:$C$329,Dados!$D$3:$D$329,"")</f>
        <v>31</v>
      </c>
      <c r="G64" s="86">
        <f>_xlfn.XLOOKUP(C64,Dados!$C$3:$C$329,Dados!$E$3:$E$329,"")</f>
        <v>189229</v>
      </c>
      <c r="H64" s="71">
        <f>_xlfn.XLOOKUP(C64,Dados!$C$3:$C$329,Dados!$F$3:$F$329,"")</f>
        <v>187243.66666666669</v>
      </c>
      <c r="I64" s="71">
        <f>_xlfn.XLOOKUP(C64,Dados!$C$3:$C$329,Dados!$G$3:$G$329,"")</f>
        <v>185258.33333333331</v>
      </c>
      <c r="J64" s="71">
        <f>_xlfn.XLOOKUP(C64,Dados!$C$3:$C$329,Dados!$H$3:$H$329,"")</f>
        <v>183273</v>
      </c>
      <c r="K64" s="71">
        <f>_xlfn.XLOOKUP(C64,Dados!$C$3:$C$329,Dados!$I$3:$I$329,"")</f>
        <v>183002</v>
      </c>
      <c r="L64" s="71">
        <f>_xlfn.XLOOKUP(C64,Dados!$C$3:$C$329,Dados!$J$3:$J$329,"")</f>
        <v>20</v>
      </c>
      <c r="M64" s="72" t="str">
        <f>_xlfn.XLOOKUP(C64,Dados!$C$3:$C$329,Dados!$K$3:$K$329,"")</f>
        <v>Sul</v>
      </c>
      <c r="N64" s="71">
        <f>_xlfn.XLOOKUP(C64,Dados!$C$3:$C$329,Dados!$L$3:$L$329,"")</f>
        <v>2</v>
      </c>
      <c r="O64" s="43">
        <f>_xlfn.XLOOKUP(C64,Dados!$C$3:$C$329,Dados!$M$3:$M$329,"")</f>
        <v>0.67688206063044398</v>
      </c>
      <c r="P64" s="43">
        <f>_xlfn.XLOOKUP(C64,Dados!$C$3:$C$329,Dados!$N$3:$N$329,"")</f>
        <v>0.664624499842562</v>
      </c>
      <c r="Q64" s="43">
        <f>_xlfn.XLOOKUP(C64,Dados!$C$3:$C$329,Dados!$O$3:$O$329,"")</f>
        <v>0.65319346766845099</v>
      </c>
      <c r="R64" s="43">
        <f>_xlfn.XLOOKUP(C64,Dados!$C$3:$C$329,Dados!$P$3:$P$329,"")</f>
        <v>0.62614681369602498</v>
      </c>
      <c r="S64" s="43">
        <f>_xlfn.XLOOKUP(C64,Dados!$C$3:$C$329,Dados!$Q$3:$Q$329,"")</f>
        <v>0.31741818037875003</v>
      </c>
      <c r="T64" s="43">
        <f>_xlfn.XLOOKUP(C64,Dados!$C$3:$C$329,Dados!$R$3:$R$329,"")</f>
        <v>0.76059272187486004</v>
      </c>
      <c r="U64" s="43">
        <f>_xlfn.XLOOKUP(C64,Dados!$C$3:$C$329,Dados!$S$3:$S$329,"")</f>
        <v>0.84855164625972701</v>
      </c>
      <c r="V64" s="77">
        <f>_xlfn.XLOOKUP(C64,Dados!$C$3:$C$329,Dados!$T$3:$T$329,"")</f>
        <v>2075.5021076579201</v>
      </c>
      <c r="W64" s="77">
        <f>_xlfn.XLOOKUP(C64,Dados!$C$3:$C$329,Dados!$U$3:$U$329,"")</f>
        <v>1969.8288663613</v>
      </c>
      <c r="X64" s="77">
        <f>_xlfn.XLOOKUP(C64,Dados!$C$3:$C$329,Dados!$V$3:$V$329,"")</f>
        <v>1874.1254446673599</v>
      </c>
      <c r="Y64" s="77">
        <f>_xlfn.XLOOKUP(C64,Dados!$C$3:$C$329,Dados!$W$3:$W$329,"")</f>
        <v>1461.4071214527</v>
      </c>
      <c r="Z64" s="77">
        <f>_xlfn.XLOOKUP(C64,Dados!$C$3:$C$329,Dados!$X$3:$X$329,"")</f>
        <v>1351.2819795412099</v>
      </c>
      <c r="AA64" s="20"/>
      <c r="AB64" s="20"/>
      <c r="AC64" s="20"/>
      <c r="AD64" s="20"/>
      <c r="AE64" s="80"/>
      <c r="AF64" s="43">
        <v>0.13960491085482676</v>
      </c>
      <c r="AG64" s="43">
        <v>9.8092982961463224E-2</v>
      </c>
      <c r="AH64" s="43">
        <v>0.10855165711465233</v>
      </c>
      <c r="AI64" s="43">
        <v>0.13379017892575429</v>
      </c>
      <c r="AJ64" s="43">
        <v>0.17730678267934882</v>
      </c>
      <c r="AK64" s="43" cm="1">
        <f t="array" ref="AK64">_xlfn.XLOOKUP(C64,Dados!$C$3:$C$329,Dados!$Z$3:'Dados'!$Z$329,"")</f>
        <v>14.9129731700744</v>
      </c>
      <c r="AL64" s="43" cm="1">
        <f t="array" ref="AL64">_xlfn.XLOOKUP(C64,Dados!$C$3:$C$329,Dados!$AA$3:'Dados'!$AA$329,"")</f>
        <v>14.328217598815099</v>
      </c>
      <c r="AM64" s="43" cm="1">
        <f t="array" ref="AM64">_xlfn.XLOOKUP(C64,Dados!$C$3:$C$329,Dados!$AB$3:'Dados'!$AB$329,"")</f>
        <v>13.0499824569295</v>
      </c>
      <c r="AN64" s="43" cm="1">
        <f t="array" ref="AN64">_xlfn.XLOOKUP(C64,Dados!$C$3:$C$329,Dados!$AC$3:'Dados'!$AC$329,"")</f>
        <v>10.7407692349664</v>
      </c>
      <c r="AO64" s="82" cm="1">
        <f t="array" ref="AO64">_xlfn.XLOOKUP(C64,Dados!$C$3:$C$329,Dados!$AD$3:'Dados'!$AD$329,"")</f>
        <v>11.388083190347601</v>
      </c>
    </row>
    <row r="65" spans="1:41" ht="63.75" x14ac:dyDescent="0.25">
      <c r="A65" s="6">
        <v>56</v>
      </c>
      <c r="B65" s="3" t="s">
        <v>150</v>
      </c>
      <c r="C65" s="8" t="s">
        <v>151</v>
      </c>
      <c r="D65" s="8" t="s">
        <v>152</v>
      </c>
      <c r="E65" s="8" t="s">
        <v>141</v>
      </c>
      <c r="F65" s="72">
        <f>_xlfn.XLOOKUP(C65,Dados!$C$3:$C$329,Dados!$D$3:$D$329,"")</f>
        <v>27</v>
      </c>
      <c r="G65" s="86">
        <f>_xlfn.XLOOKUP(C65,Dados!$C$3:$C$329,Dados!$E$3:$E$329,"")</f>
        <v>485529</v>
      </c>
      <c r="H65" s="71">
        <f>_xlfn.XLOOKUP(C65,Dados!$C$3:$C$329,Dados!$F$3:$F$329,"")</f>
        <v>481310.00000000017</v>
      </c>
      <c r="I65" s="71">
        <f>_xlfn.XLOOKUP(C65,Dados!$C$3:$C$329,Dados!$G$3:$G$329,"")</f>
        <v>477090.99999999983</v>
      </c>
      <c r="J65" s="71">
        <f>_xlfn.XLOOKUP(C65,Dados!$C$3:$C$329,Dados!$H$3:$H$329,"")</f>
        <v>472872</v>
      </c>
      <c r="K65" s="71">
        <f>_xlfn.XLOOKUP(C65,Dados!$C$3:$C$329,Dados!$I$3:$I$329,"")</f>
        <v>472006</v>
      </c>
      <c r="L65" s="71">
        <f>_xlfn.XLOOKUP(C65,Dados!$C$3:$C$329,Dados!$J$3:$J$329,"")</f>
        <v>46</v>
      </c>
      <c r="M65" s="72" t="str">
        <f>_xlfn.XLOOKUP(C65,Dados!$C$3:$C$329,Dados!$K$3:$K$329,"")</f>
        <v>Sul</v>
      </c>
      <c r="N65" s="71">
        <f>_xlfn.XLOOKUP(C65,Dados!$C$3:$C$329,Dados!$L$3:$L$329,"")</f>
        <v>11</v>
      </c>
      <c r="O65" s="43">
        <f>_xlfn.XLOOKUP(C65,Dados!$C$3:$C$329,Dados!$M$3:$M$329,"")</f>
        <v>0.68688048880485897</v>
      </c>
      <c r="P65" s="43">
        <f>_xlfn.XLOOKUP(C65,Dados!$C$3:$C$329,Dados!$N$3:$N$329,"")</f>
        <v>0.66716009838793899</v>
      </c>
      <c r="Q65" s="43">
        <f>_xlfn.XLOOKUP(C65,Dados!$C$3:$C$329,Dados!$O$3:$O$329,"")</f>
        <v>0.64974175590857597</v>
      </c>
      <c r="R65" s="43">
        <f>_xlfn.XLOOKUP(C65,Dados!$C$3:$C$329,Dados!$P$3:$P$329,"")</f>
        <v>0.63976332398317004</v>
      </c>
      <c r="S65" s="43">
        <f>_xlfn.XLOOKUP(C65,Dados!$C$3:$C$329,Dados!$Q$3:$Q$329,"")</f>
        <v>0.15088192734719399</v>
      </c>
      <c r="T65" s="43">
        <f>_xlfn.XLOOKUP(C65,Dados!$C$3:$C$329,Dados!$R$3:$R$329,"")</f>
        <v>0.83291374685332598</v>
      </c>
      <c r="U65" s="43">
        <f>_xlfn.XLOOKUP(C65,Dados!$C$3:$C$329,Dados!$S$3:$S$329,"")</f>
        <v>0.81272006130207197</v>
      </c>
      <c r="V65" s="77">
        <f>_xlfn.XLOOKUP(C65,Dados!$C$3:$C$329,Dados!$T$3:$T$329,"")</f>
        <v>1529.5807735892199</v>
      </c>
      <c r="W65" s="77">
        <f>_xlfn.XLOOKUP(C65,Dados!$C$3:$C$329,Dados!$U$3:$U$329,"")</f>
        <v>1514.40812413344</v>
      </c>
      <c r="X65" s="77">
        <f>_xlfn.XLOOKUP(C65,Dados!$C$3:$C$329,Dados!$V$3:$V$329,"")</f>
        <v>1430.8037526313999</v>
      </c>
      <c r="Y65" s="77">
        <f>_xlfn.XLOOKUP(C65,Dados!$C$3:$C$329,Dados!$W$3:$W$329,"")</f>
        <v>1162.5990554314899</v>
      </c>
      <c r="Z65" s="77">
        <f>_xlfn.XLOOKUP(C65,Dados!$C$3:$C$329,Dados!$X$3:$X$329,"")</f>
        <v>1037.8326684618401</v>
      </c>
      <c r="AA65" s="20"/>
      <c r="AB65" s="20"/>
      <c r="AC65" s="20"/>
      <c r="AD65" s="20"/>
      <c r="AE65" s="80"/>
      <c r="AF65" s="43" t="e">
        <v>#DIV/0!</v>
      </c>
      <c r="AG65" s="43" t="e">
        <v>#DIV/0!</v>
      </c>
      <c r="AH65" s="43" t="e">
        <v>#DIV/0!</v>
      </c>
      <c r="AI65" s="43">
        <v>1.2826789164254589E-2</v>
      </c>
      <c r="AJ65" s="43" t="e">
        <v>#DIV/0!</v>
      </c>
      <c r="AK65" s="43" cm="1">
        <f t="array" ref="AK65">_xlfn.XLOOKUP(C65,Dados!$C$3:$C$329,Dados!$Z$3:'Dados'!$Z$329,"")</f>
        <v>10.826255486283999</v>
      </c>
      <c r="AL65" s="43" cm="1">
        <f t="array" ref="AL65">_xlfn.XLOOKUP(C65,Dados!$C$3:$C$329,Dados!$AA$3:'Dados'!$AA$329,"")</f>
        <v>10.310438179136099</v>
      </c>
      <c r="AM65" s="43" cm="1">
        <f t="array" ref="AM65">_xlfn.XLOOKUP(C65,Dados!$C$3:$C$329,Dados!$AB$3:'Dados'!$AB$329,"")</f>
        <v>11.8881219725377</v>
      </c>
      <c r="AN65" s="43" cm="1">
        <f t="array" ref="AN65">_xlfn.XLOOKUP(C65,Dados!$C$3:$C$329,Dados!$AC$3:'Dados'!$AC$329,"")</f>
        <v>5.1302212860985597</v>
      </c>
      <c r="AO65" s="82" cm="1">
        <f t="array" ref="AO65">_xlfn.XLOOKUP(C65,Dados!$C$3:$C$329,Dados!$AD$3:'Dados'!$AD$329,"")</f>
        <v>4.2286623475125298</v>
      </c>
    </row>
    <row r="66" spans="1:41" ht="51" x14ac:dyDescent="0.25">
      <c r="A66" s="6">
        <v>57</v>
      </c>
      <c r="B66" s="3" t="s">
        <v>153</v>
      </c>
      <c r="C66" s="8" t="s">
        <v>154</v>
      </c>
      <c r="D66" s="8" t="s">
        <v>152</v>
      </c>
      <c r="E66" s="8" t="s">
        <v>141</v>
      </c>
      <c r="F66" s="72">
        <f>_xlfn.XLOOKUP(C66,Dados!$C$3:$C$329,Dados!$D$3:$D$329,"")</f>
        <v>27</v>
      </c>
      <c r="G66" s="86">
        <f>_xlfn.XLOOKUP(C66,Dados!$C$3:$C$329,Dados!$E$3:$E$329,"")</f>
        <v>212287</v>
      </c>
      <c r="H66" s="71">
        <f>_xlfn.XLOOKUP(C66,Dados!$C$3:$C$329,Dados!$F$3:$F$329,"")</f>
        <v>210150</v>
      </c>
      <c r="I66" s="71">
        <f>_xlfn.XLOOKUP(C66,Dados!$C$3:$C$329,Dados!$G$3:$G$329,"")</f>
        <v>208013</v>
      </c>
      <c r="J66" s="71">
        <f>_xlfn.XLOOKUP(C66,Dados!$C$3:$C$329,Dados!$H$3:$H$329,"")</f>
        <v>205876</v>
      </c>
      <c r="K66" s="71">
        <f>_xlfn.XLOOKUP(C66,Dados!$C$3:$C$329,Dados!$I$3:$I$329,"")</f>
        <v>207133</v>
      </c>
      <c r="L66" s="71">
        <f>_xlfn.XLOOKUP(C66,Dados!$C$3:$C$329,Dados!$J$3:$J$329,"")</f>
        <v>27</v>
      </c>
      <c r="M66" s="72" t="str">
        <f>_xlfn.XLOOKUP(C66,Dados!$C$3:$C$329,Dados!$K$3:$K$329,"")</f>
        <v>Sul</v>
      </c>
      <c r="N66" s="71">
        <f>_xlfn.XLOOKUP(C66,Dados!$C$3:$C$329,Dados!$L$3:$L$329,"")</f>
        <v>2</v>
      </c>
      <c r="O66" s="43">
        <f>_xlfn.XLOOKUP(C66,Dados!$C$3:$C$329,Dados!$M$3:$M$329,"")</f>
        <v>0.64145495297010102</v>
      </c>
      <c r="P66" s="43">
        <f>_xlfn.XLOOKUP(C66,Dados!$C$3:$C$329,Dados!$N$3:$N$329,"")</f>
        <v>0.61509408097891305</v>
      </c>
      <c r="Q66" s="43">
        <f>_xlfn.XLOOKUP(C66,Dados!$C$3:$C$329,Dados!$O$3:$O$329,"")</f>
        <v>0.59603403650741205</v>
      </c>
      <c r="R66" s="43">
        <f>_xlfn.XLOOKUP(C66,Dados!$C$3:$C$329,Dados!$P$3:$P$329,"")</f>
        <v>0.57379571772725702</v>
      </c>
      <c r="S66" s="43">
        <f>_xlfn.XLOOKUP(C66,Dados!$C$3:$C$329,Dados!$Q$3:$Q$329,"")</f>
        <v>0.158154116970253</v>
      </c>
      <c r="T66" s="43">
        <f>_xlfn.XLOOKUP(C66,Dados!$C$3:$C$329,Dados!$R$3:$R$329,"")</f>
        <v>0.82945429211956301</v>
      </c>
      <c r="U66" s="43">
        <f>_xlfn.XLOOKUP(C66,Dados!$C$3:$C$329,Dados!$S$3:$S$329,"")</f>
        <v>0.77123542182459703</v>
      </c>
      <c r="V66" s="77">
        <f>_xlfn.XLOOKUP(C66,Dados!$C$3:$C$329,Dados!$T$3:$T$329,"")</f>
        <v>1598.4743815683501</v>
      </c>
      <c r="W66" s="77">
        <f>_xlfn.XLOOKUP(C66,Dados!$C$3:$C$329,Dados!$U$3:$U$329,"")</f>
        <v>1488.4917031961299</v>
      </c>
      <c r="X66" s="77">
        <f>_xlfn.XLOOKUP(C66,Dados!$C$3:$C$329,Dados!$V$3:$V$329,"")</f>
        <v>1409.2450463672899</v>
      </c>
      <c r="Y66" s="77">
        <f>_xlfn.XLOOKUP(C66,Dados!$C$3:$C$329,Dados!$W$3:$W$329,"")</f>
        <v>1107.5458079620701</v>
      </c>
      <c r="Z66" s="77">
        <f>_xlfn.XLOOKUP(C66,Dados!$C$3:$C$329,Dados!$X$3:$X$329,"")</f>
        <v>1042.80399709365</v>
      </c>
      <c r="AA66" s="20"/>
      <c r="AB66" s="20"/>
      <c r="AC66" s="20"/>
      <c r="AD66" s="20"/>
      <c r="AE66" s="80"/>
      <c r="AF66" s="43" t="e">
        <v>#DIV/0!</v>
      </c>
      <c r="AG66" s="43">
        <v>5.3732697525680349E-2</v>
      </c>
      <c r="AH66" s="43" t="e">
        <v>#DIV/0!</v>
      </c>
      <c r="AI66" s="43" t="e">
        <v>#DIV/0!</v>
      </c>
      <c r="AJ66" s="43">
        <v>6.9464820981712222E-2</v>
      </c>
      <c r="AK66" s="43" cm="1">
        <f t="array" ref="AK66">_xlfn.XLOOKUP(C66,Dados!$C$3:$C$329,Dados!$Z$3:'Dados'!$Z$329,"")</f>
        <v>4.8065873086905899</v>
      </c>
      <c r="AL66" s="43" cm="1">
        <f t="array" ref="AL66">_xlfn.XLOOKUP(C66,Dados!$C$3:$C$329,Dados!$AA$3:'Dados'!$AA$329,"")</f>
        <v>4.18292648108494</v>
      </c>
      <c r="AM66" s="43" cm="1">
        <f t="array" ref="AM66">_xlfn.XLOOKUP(C66,Dados!$C$3:$C$329,Dados!$AB$3:'Dados'!$AB$329,"")</f>
        <v>5.7077249979568601</v>
      </c>
      <c r="AN66" s="43" cm="1">
        <f t="array" ref="AN66">_xlfn.XLOOKUP(C66,Dados!$C$3:$C$329,Dados!$AC$3:'Dados'!$AC$329,"")</f>
        <v>3.1244049816394299</v>
      </c>
      <c r="AO66" s="82" cm="1">
        <f t="array" ref="AO66">_xlfn.XLOOKUP(C66,Dados!$C$3:$C$329,Dados!$AD$3:'Dados'!$AD$329,"")</f>
        <v>2.6600879628065099</v>
      </c>
    </row>
    <row r="67" spans="1:41" ht="51" x14ac:dyDescent="0.25">
      <c r="A67" s="6">
        <v>61</v>
      </c>
      <c r="B67" s="3" t="s">
        <v>155</v>
      </c>
      <c r="C67" s="8" t="s">
        <v>156</v>
      </c>
      <c r="D67" s="8" t="s">
        <v>152</v>
      </c>
      <c r="E67" s="8" t="s">
        <v>141</v>
      </c>
      <c r="F67" s="72">
        <f>_xlfn.XLOOKUP(C67,Dados!$C$3:$C$329,Dados!$D$3:$D$329,"")</f>
        <v>18</v>
      </c>
      <c r="G67" s="86">
        <f>_xlfn.XLOOKUP(C67,Dados!$C$3:$C$329,Dados!$E$3:$E$329,"")</f>
        <v>78108</v>
      </c>
      <c r="H67" s="71">
        <f>_xlfn.XLOOKUP(C67,Dados!$C$3:$C$329,Dados!$F$3:$F$329,"")</f>
        <v>80729</v>
      </c>
      <c r="I67" s="71">
        <f>_xlfn.XLOOKUP(C67,Dados!$C$3:$C$329,Dados!$G$3:$G$329,"")</f>
        <v>81308</v>
      </c>
      <c r="J67" s="71">
        <f>_xlfn.XLOOKUP(C67,Dados!$C$3:$C$329,Dados!$H$3:$H$329,"")</f>
        <v>76371</v>
      </c>
      <c r="K67" s="71">
        <f>_xlfn.XLOOKUP(C67,Dados!$C$3:$C$329,Dados!$I$3:$I$329,"")</f>
        <v>76622</v>
      </c>
      <c r="L67" s="71">
        <f>_xlfn.XLOOKUP(C67,Dados!$C$3:$C$329,Dados!$J$3:$J$329,"")</f>
        <v>14</v>
      </c>
      <c r="M67" s="72" t="str">
        <f>_xlfn.XLOOKUP(C67,Dados!$C$3:$C$329,Dados!$K$3:$K$329,"")</f>
        <v>Sul</v>
      </c>
      <c r="N67" s="71">
        <f>_xlfn.XLOOKUP(C67,Dados!$C$3:$C$329,Dados!$L$3:$L$329,"")</f>
        <v>42</v>
      </c>
      <c r="O67" s="43">
        <f>_xlfn.XLOOKUP(C67,Dados!$C$3:$C$329,Dados!$M$3:$M$329,"")</f>
        <v>0.67924047736180104</v>
      </c>
      <c r="P67" s="43">
        <f>_xlfn.XLOOKUP(C67,Dados!$C$3:$C$329,Dados!$N$3:$N$329,"")</f>
        <v>0.64690455887392795</v>
      </c>
      <c r="Q67" s="43">
        <f>_xlfn.XLOOKUP(C67,Dados!$C$3:$C$329,Dados!$O$3:$O$329,"")</f>
        <v>0.62956519401122901</v>
      </c>
      <c r="R67" s="43">
        <f>_xlfn.XLOOKUP(C67,Dados!$C$3:$C$329,Dados!$P$3:$P$329,"")</f>
        <v>0.61000565167099896</v>
      </c>
      <c r="S67" s="43">
        <f>_xlfn.XLOOKUP(C67,Dados!$C$3:$C$329,Dados!$Q$3:$Q$329,"")</f>
        <v>0.13670257734725599</v>
      </c>
      <c r="T67" s="43">
        <f>_xlfn.XLOOKUP(C67,Dados!$C$3:$C$329,Dados!$R$3:$R$329,"")</f>
        <v>0.88275132273821499</v>
      </c>
      <c r="U67" s="43">
        <f>_xlfn.XLOOKUP(C67,Dados!$C$3:$C$329,Dados!$S$3:$S$329,"")</f>
        <v>0.82504433598830695</v>
      </c>
      <c r="V67" s="77">
        <f>_xlfn.XLOOKUP(C67,Dados!$C$3:$C$329,Dados!$T$3:$T$329,"")</f>
        <v>1928.64442976297</v>
      </c>
      <c r="W67" s="77">
        <f>_xlfn.XLOOKUP(C67,Dados!$C$3:$C$329,Dados!$U$3:$U$329,"")</f>
        <v>1658.6858572342201</v>
      </c>
      <c r="X67" s="77">
        <f>_xlfn.XLOOKUP(C67,Dados!$C$3:$C$329,Dados!$V$3:$V$329,"")</f>
        <v>1651.9873668693999</v>
      </c>
      <c r="Y67" s="77">
        <f>_xlfn.XLOOKUP(C67,Dados!$C$3:$C$329,Dados!$W$3:$W$329,"")</f>
        <v>1219.75528446662</v>
      </c>
      <c r="Z67" s="77">
        <f>_xlfn.XLOOKUP(C67,Dados!$C$3:$C$329,Dados!$X$3:$X$329,"")</f>
        <v>1117.41576435616</v>
      </c>
      <c r="AA67" s="20"/>
      <c r="AB67" s="20"/>
      <c r="AC67" s="20"/>
      <c r="AD67" s="20"/>
      <c r="AE67" s="80"/>
      <c r="AF67" s="43">
        <v>3.0494965904060558E-2</v>
      </c>
      <c r="AG67" s="43">
        <v>3.269407698927821E-2</v>
      </c>
      <c r="AH67" s="43">
        <v>3.8397835874322404E-2</v>
      </c>
      <c r="AI67" s="43">
        <v>4.1324834972391124E-2</v>
      </c>
      <c r="AJ67" s="43">
        <v>4.8918119353172078E-2</v>
      </c>
      <c r="AK67" s="43" cm="1">
        <f t="array" ref="AK67">_xlfn.XLOOKUP(C67,Dados!$C$3:$C$329,Dados!$Z$3:'Dados'!$Z$329,"")</f>
        <v>3.4314237913221901</v>
      </c>
      <c r="AL67" s="43" cm="1">
        <f t="array" ref="AL67">_xlfn.XLOOKUP(C67,Dados!$C$3:$C$329,Dados!$AA$3:'Dados'!$AA$329,"")</f>
        <v>3.3367073350715799</v>
      </c>
      <c r="AM67" s="43" cm="1">
        <f t="array" ref="AM67">_xlfn.XLOOKUP(C67,Dados!$C$3:$C$329,Dados!$AB$3:'Dados'!$AB$329,"")</f>
        <v>6.4652355411314399</v>
      </c>
      <c r="AN67" s="43" cm="1">
        <f t="array" ref="AN67">_xlfn.XLOOKUP(C67,Dados!$C$3:$C$329,Dados!$AC$3:'Dados'!$AC$329,"")</f>
        <v>3.1815346225826602</v>
      </c>
      <c r="AO67" s="82" cm="1">
        <f t="array" ref="AO67">_xlfn.XLOOKUP(C67,Dados!$C$3:$C$329,Dados!$AD$3:'Dados'!$AD$329,"")</f>
        <v>2.2952699593288601</v>
      </c>
    </row>
    <row r="68" spans="1:41" ht="63.75" x14ac:dyDescent="0.25">
      <c r="A68" s="6">
        <v>66</v>
      </c>
      <c r="B68" s="3" t="s">
        <v>157</v>
      </c>
      <c r="C68" s="8" t="s">
        <v>158</v>
      </c>
      <c r="D68" s="8" t="s">
        <v>159</v>
      </c>
      <c r="E68" s="8" t="s">
        <v>141</v>
      </c>
      <c r="F68" s="72">
        <f>_xlfn.XLOOKUP(C68,Dados!$C$3:$C$329,Dados!$D$3:$D$329,"")</f>
        <v>26</v>
      </c>
      <c r="G68" s="86">
        <f>_xlfn.XLOOKUP(C68,Dados!$C$3:$C$329,Dados!$E$3:$E$329,"")</f>
        <v>1358098</v>
      </c>
      <c r="H68" s="71">
        <f>_xlfn.XLOOKUP(C68,Dados!$C$3:$C$329,Dados!$F$3:$F$329,"")</f>
        <v>1329017.3333333337</v>
      </c>
      <c r="I68" s="71">
        <f>_xlfn.XLOOKUP(C68,Dados!$C$3:$C$329,Dados!$G$3:$G$329,"")</f>
        <v>1299936.6666666663</v>
      </c>
      <c r="J68" s="71">
        <f>_xlfn.XLOOKUP(C68,Dados!$C$3:$C$329,Dados!$H$3:$H$329,"")</f>
        <v>1270856</v>
      </c>
      <c r="K68" s="71">
        <f>_xlfn.XLOOKUP(C68,Dados!$C$3:$C$329,Dados!$I$3:$I$329,"")</f>
        <v>1252644</v>
      </c>
      <c r="L68" s="71">
        <f>_xlfn.XLOOKUP(C68,Dados!$C$3:$C$329,Dados!$J$3:$J$329,"")</f>
        <v>17</v>
      </c>
      <c r="M68" s="72" t="str">
        <f>_xlfn.XLOOKUP(C68,Dados!$C$3:$C$329,Dados!$K$3:$K$329,"")</f>
        <v>Sul</v>
      </c>
      <c r="N68" s="71">
        <f>_xlfn.XLOOKUP(C68,Dados!$C$3:$C$329,Dados!$L$3:$L$329,"")</f>
        <v>4</v>
      </c>
      <c r="O68" s="43">
        <f>_xlfn.XLOOKUP(C68,Dados!$C$3:$C$329,Dados!$M$3:$M$329,"")</f>
        <v>0.79438009893023698</v>
      </c>
      <c r="P68" s="43">
        <f>_xlfn.XLOOKUP(C68,Dados!$C$3:$C$329,Dados!$N$3:$N$329,"")</f>
        <v>0.78222536887694605</v>
      </c>
      <c r="Q68" s="43">
        <f>_xlfn.XLOOKUP(C68,Dados!$C$3:$C$329,Dados!$O$3:$O$329,"")</f>
        <v>0.77614488777642798</v>
      </c>
      <c r="R68" s="43">
        <f>_xlfn.XLOOKUP(C68,Dados!$C$3:$C$329,Dados!$P$3:$P$329,"")</f>
        <v>0.76261967478389703</v>
      </c>
      <c r="S68" s="43">
        <f>_xlfn.XLOOKUP(C68,Dados!$C$3:$C$329,Dados!$Q$3:$Q$329,"")</f>
        <v>0.66099861390683201</v>
      </c>
      <c r="T68" s="43">
        <f>_xlfn.XLOOKUP(C68,Dados!$C$3:$C$329,Dados!$R$3:$R$329,"")</f>
        <v>0.91075844582172005</v>
      </c>
      <c r="U68" s="43">
        <f>_xlfn.XLOOKUP(C68,Dados!$C$3:$C$329,Dados!$S$3:$S$329,"")</f>
        <v>0.99209989850787605</v>
      </c>
      <c r="V68" s="77">
        <f>_xlfn.XLOOKUP(C68,Dados!$C$3:$C$329,Dados!$T$3:$T$329,"")</f>
        <v>1902.58976967789</v>
      </c>
      <c r="W68" s="77">
        <f>_xlfn.XLOOKUP(C68,Dados!$C$3:$C$329,Dados!$U$3:$U$329,"")</f>
        <v>1616.2697640111001</v>
      </c>
      <c r="X68" s="77">
        <f>_xlfn.XLOOKUP(C68,Dados!$C$3:$C$329,Dados!$V$3:$V$329,"")</f>
        <v>1482.7291412786799</v>
      </c>
      <c r="Y68" s="77">
        <f>_xlfn.XLOOKUP(C68,Dados!$C$3:$C$329,Dados!$W$3:$W$329,"")</f>
        <v>1395.27276668639</v>
      </c>
      <c r="Z68" s="77">
        <f>_xlfn.XLOOKUP(C68,Dados!$C$3:$C$329,Dados!$X$3:$X$329,"")</f>
        <v>1260.6118657495699</v>
      </c>
      <c r="AA68" s="20"/>
      <c r="AB68" s="20"/>
      <c r="AC68" s="20"/>
      <c r="AD68" s="20"/>
      <c r="AE68" s="80"/>
      <c r="AF68" s="43" t="e">
        <v>#DIV/0!</v>
      </c>
      <c r="AG68" s="43" t="e">
        <v>#DIV/0!</v>
      </c>
      <c r="AH68" s="43" t="e">
        <v>#DIV/0!</v>
      </c>
      <c r="AI68" s="43">
        <v>5.4978315873111937E-2</v>
      </c>
      <c r="AJ68" s="43">
        <v>5.8390421356102049E-2</v>
      </c>
      <c r="AK68" s="43" cm="1">
        <f t="array" ref="AK68">_xlfn.XLOOKUP(C68,Dados!$C$3:$C$329,Dados!$Z$3:'Dados'!$Z$329,"")</f>
        <v>16.332402374497299</v>
      </c>
      <c r="AL68" s="43" cm="1">
        <f t="array" ref="AL68">_xlfn.XLOOKUP(C68,Dados!$C$3:$C$329,Dados!$AA$3:'Dados'!$AA$329,"")</f>
        <v>16.947505826359901</v>
      </c>
      <c r="AM68" s="43" cm="1">
        <f t="array" ref="AM68">_xlfn.XLOOKUP(C68,Dados!$C$3:$C$329,Dados!$AB$3:'Dados'!$AB$329,"")</f>
        <v>15.2618673730259</v>
      </c>
      <c r="AN68" s="43" cm="1">
        <f t="array" ref="AN68">_xlfn.XLOOKUP(C68,Dados!$C$3:$C$329,Dados!$AC$3:'Dados'!$AC$329,"")</f>
        <v>13.908794544779299</v>
      </c>
      <c r="AO68" s="82" cm="1">
        <f t="array" ref="AO68">_xlfn.XLOOKUP(C68,Dados!$C$3:$C$329,Dados!$AD$3:'Dados'!$AD$329,"")</f>
        <v>10.8927285006754</v>
      </c>
    </row>
    <row r="69" spans="1:41" ht="76.5" x14ac:dyDescent="0.25">
      <c r="A69" s="6">
        <v>213</v>
      </c>
      <c r="B69" s="3" t="s">
        <v>160</v>
      </c>
      <c r="C69" s="8" t="s">
        <v>161</v>
      </c>
      <c r="D69" s="8" t="s">
        <v>140</v>
      </c>
      <c r="E69" s="8" t="s">
        <v>141</v>
      </c>
      <c r="F69" s="72">
        <f>_xlfn.XLOOKUP(C69,Dados!$C$3:$C$329,Dados!$D$3:$D$329,"")</f>
        <v>28</v>
      </c>
      <c r="G69" s="86">
        <f>_xlfn.XLOOKUP(C69,Dados!$C$3:$C$329,Dados!$E$3:$E$329,"")</f>
        <v>174873</v>
      </c>
      <c r="H69" s="71">
        <f>_xlfn.XLOOKUP(C69,Dados!$C$3:$C$329,Dados!$F$3:$F$329,"")</f>
        <v>173923.66666666666</v>
      </c>
      <c r="I69" s="71">
        <f>_xlfn.XLOOKUP(C69,Dados!$C$3:$C$329,Dados!$G$3:$G$329,"")</f>
        <v>172974.33333333334</v>
      </c>
      <c r="J69" s="71">
        <f>_xlfn.XLOOKUP(C69,Dados!$C$3:$C$329,Dados!$H$3:$H$329,"")</f>
        <v>172025</v>
      </c>
      <c r="K69" s="71">
        <f>_xlfn.XLOOKUP(C69,Dados!$C$3:$C$329,Dados!$I$3:$I$329,"")</f>
        <v>171034</v>
      </c>
      <c r="L69" s="71">
        <f>_xlfn.XLOOKUP(C69,Dados!$C$3:$C$329,Dados!$J$3:$J$329,"")</f>
        <v>11</v>
      </c>
      <c r="M69" s="72" t="str">
        <f>_xlfn.XLOOKUP(C69,Dados!$C$3:$C$329,Dados!$K$3:$K$329,"")</f>
        <v>Sul</v>
      </c>
      <c r="N69" s="71">
        <f>_xlfn.XLOOKUP(C69,Dados!$C$3:$C$329,Dados!$L$3:$L$329,"")</f>
        <v>2</v>
      </c>
      <c r="O69" s="43">
        <f>_xlfn.XLOOKUP(C69,Dados!$C$3:$C$329,Dados!$M$3:$M$329,"")</f>
        <v>0.73190154320573597</v>
      </c>
      <c r="P69" s="43">
        <f>_xlfn.XLOOKUP(C69,Dados!$C$3:$C$329,Dados!$N$3:$N$329,"")</f>
        <v>0.72515487133929302</v>
      </c>
      <c r="Q69" s="43">
        <f>_xlfn.XLOOKUP(C69,Dados!$C$3:$C$329,Dados!$O$3:$O$329,"")</f>
        <v>0.70965028920215101</v>
      </c>
      <c r="R69" s="43">
        <f>_xlfn.XLOOKUP(C69,Dados!$C$3:$C$329,Dados!$P$3:$P$329,"")</f>
        <v>0.68672344680005104</v>
      </c>
      <c r="S69" s="43">
        <f>_xlfn.XLOOKUP(C69,Dados!$C$3:$C$329,Dados!$Q$3:$Q$329,"")</f>
        <v>0.53890420197216105</v>
      </c>
      <c r="T69" s="43">
        <f>_xlfn.XLOOKUP(C69,Dados!$C$3:$C$329,Dados!$R$3:$R$329,"")</f>
        <v>0.86612003013934602</v>
      </c>
      <c r="U69" s="43">
        <f>_xlfn.XLOOKUP(C69,Dados!$C$3:$C$329,Dados!$S$3:$S$329,"")</f>
        <v>0.90413337547189099</v>
      </c>
      <c r="V69" s="77">
        <f>_xlfn.XLOOKUP(C69,Dados!$C$3:$C$329,Dados!$T$3:$T$329,"")</f>
        <v>2064.3514452774298</v>
      </c>
      <c r="W69" s="77">
        <f>_xlfn.XLOOKUP(C69,Dados!$C$3:$C$329,Dados!$U$3:$U$329,"")</f>
        <v>1664.6901152804601</v>
      </c>
      <c r="X69" s="77">
        <f>_xlfn.XLOOKUP(C69,Dados!$C$3:$C$329,Dados!$V$3:$V$329,"")</f>
        <v>1549.49239390044</v>
      </c>
      <c r="Y69" s="77">
        <f>_xlfn.XLOOKUP(C69,Dados!$C$3:$C$329,Dados!$W$3:$W$329,"")</f>
        <v>1315.7237682313601</v>
      </c>
      <c r="Z69" s="77">
        <f>_xlfn.XLOOKUP(C69,Dados!$C$3:$C$329,Dados!$X$3:$X$329,"")</f>
        <v>1185.1118703883401</v>
      </c>
      <c r="AA69" s="20"/>
      <c r="AB69" s="20"/>
      <c r="AC69" s="20"/>
      <c r="AD69" s="20"/>
      <c r="AE69" s="80"/>
      <c r="AF69" s="43">
        <v>5.9081601105717828E-2</v>
      </c>
      <c r="AG69" s="43">
        <v>6.517293928069777E-2</v>
      </c>
      <c r="AH69" s="43" t="e">
        <v>#DIV/0!</v>
      </c>
      <c r="AI69" s="43" t="e">
        <v>#DIV/0!</v>
      </c>
      <c r="AJ69" s="43" t="e">
        <v>#DIV/0!</v>
      </c>
      <c r="AK69" s="43" cm="1">
        <f t="array" ref="AK69">_xlfn.XLOOKUP(C69,Dados!$C$3:$C$329,Dados!$Z$3:'Dados'!$Z$329,"")</f>
        <v>22.842685834863001</v>
      </c>
      <c r="AL69" s="43" cm="1">
        <f t="array" ref="AL69">_xlfn.XLOOKUP(C69,Dados!$C$3:$C$329,Dados!$AA$3:'Dados'!$AA$329,"")</f>
        <v>24.5385638527247</v>
      </c>
      <c r="AM69" s="43" cm="1">
        <f t="array" ref="AM69">_xlfn.XLOOKUP(C69,Dados!$C$3:$C$329,Dados!$AB$3:'Dados'!$AB$329,"")</f>
        <v>18.917719970014801</v>
      </c>
      <c r="AN69" s="43" cm="1">
        <f t="array" ref="AN69">_xlfn.XLOOKUP(C69,Dados!$C$3:$C$329,Dados!$AC$3:'Dados'!$AC$329,"")</f>
        <v>12.935782589739899</v>
      </c>
      <c r="AO69" s="82" cm="1">
        <f t="array" ref="AO69">_xlfn.XLOOKUP(C69,Dados!$C$3:$C$329,Dados!$AD$3:'Dados'!$AD$329,"")</f>
        <v>10.332267268496301</v>
      </c>
    </row>
    <row r="70" spans="1:41" ht="51" x14ac:dyDescent="0.25">
      <c r="A70" s="6">
        <v>216</v>
      </c>
      <c r="B70" s="3" t="s">
        <v>162</v>
      </c>
      <c r="C70" s="8" t="s">
        <v>163</v>
      </c>
      <c r="D70" s="8" t="s">
        <v>140</v>
      </c>
      <c r="E70" s="8" t="s">
        <v>141</v>
      </c>
      <c r="F70" s="72">
        <f>_xlfn.XLOOKUP(C70,Dados!$C$3:$C$329,Dados!$D$3:$D$329,"")</f>
        <v>29</v>
      </c>
      <c r="G70" s="86">
        <f>_xlfn.XLOOKUP(C70,Dados!$C$3:$C$329,Dados!$E$3:$E$329,"")</f>
        <v>391300</v>
      </c>
      <c r="H70" s="71">
        <f>_xlfn.XLOOKUP(C70,Dados!$C$3:$C$329,Dados!$F$3:$F$329,"")</f>
        <v>391857.33333333337</v>
      </c>
      <c r="I70" s="71">
        <f>_xlfn.XLOOKUP(C70,Dados!$C$3:$C$329,Dados!$G$3:$G$329,"")</f>
        <v>392414.66666666663</v>
      </c>
      <c r="J70" s="71">
        <f>_xlfn.XLOOKUP(C70,Dados!$C$3:$C$329,Dados!$H$3:$H$329,"")</f>
        <v>392972</v>
      </c>
      <c r="K70" s="71">
        <f>_xlfn.XLOOKUP(C70,Dados!$C$3:$C$329,Dados!$I$3:$I$329,"")</f>
        <v>389991</v>
      </c>
      <c r="L70" s="71">
        <f>_xlfn.XLOOKUP(C70,Dados!$C$3:$C$329,Dados!$J$3:$J$329,"")</f>
        <v>18</v>
      </c>
      <c r="M70" s="72" t="str">
        <f>_xlfn.XLOOKUP(C70,Dados!$C$3:$C$329,Dados!$K$3:$K$329,"")</f>
        <v>Sul</v>
      </c>
      <c r="N70" s="71">
        <f>_xlfn.XLOOKUP(C70,Dados!$C$3:$C$329,Dados!$L$3:$L$329,"")</f>
        <v>1</v>
      </c>
      <c r="O70" s="43">
        <f>_xlfn.XLOOKUP(C70,Dados!$C$3:$C$329,Dados!$M$3:$M$329,"")</f>
        <v>0.79335857625053996</v>
      </c>
      <c r="P70" s="43">
        <f>_xlfn.XLOOKUP(C70,Dados!$C$3:$C$329,Dados!$N$3:$N$329,"")</f>
        <v>0.76420027292557902</v>
      </c>
      <c r="Q70" s="43">
        <f>_xlfn.XLOOKUP(C70,Dados!$C$3:$C$329,Dados!$O$3:$O$329,"")</f>
        <v>0.74712176567287203</v>
      </c>
      <c r="R70" s="43">
        <f>_xlfn.XLOOKUP(C70,Dados!$C$3:$C$329,Dados!$P$3:$P$329,"")</f>
        <v>0.71433931090717495</v>
      </c>
      <c r="S70" s="43">
        <f>_xlfn.XLOOKUP(C70,Dados!$C$3:$C$329,Dados!$Q$3:$Q$329,"")</f>
        <v>0.60438213615868897</v>
      </c>
      <c r="T70" s="43">
        <f>_xlfn.XLOOKUP(C70,Dados!$C$3:$C$329,Dados!$R$3:$R$329,"")</f>
        <v>0.92100005292021003</v>
      </c>
      <c r="U70" s="43">
        <f>_xlfn.XLOOKUP(C70,Dados!$C$3:$C$329,Dados!$S$3:$S$329,"")</f>
        <v>0.95594852553931098</v>
      </c>
      <c r="V70" s="77">
        <f>_xlfn.XLOOKUP(C70,Dados!$C$3:$C$329,Dados!$T$3:$T$329,"")</f>
        <v>1673.4151851009501</v>
      </c>
      <c r="W70" s="77">
        <f>_xlfn.XLOOKUP(C70,Dados!$C$3:$C$329,Dados!$U$3:$U$329,"")</f>
        <v>1353.4576975889199</v>
      </c>
      <c r="X70" s="77">
        <f>_xlfn.XLOOKUP(C70,Dados!$C$3:$C$329,Dados!$V$3:$V$329,"")</f>
        <v>1223.1799694201</v>
      </c>
      <c r="Y70" s="77">
        <f>_xlfn.XLOOKUP(C70,Dados!$C$3:$C$329,Dados!$W$3:$W$329,"")</f>
        <v>1067.73194492228</v>
      </c>
      <c r="Z70" s="77">
        <f>_xlfn.XLOOKUP(C70,Dados!$C$3:$C$329,Dados!$X$3:$X$329,"")</f>
        <v>910.67483821421501</v>
      </c>
      <c r="AA70" s="20"/>
      <c r="AB70" s="20"/>
      <c r="AC70" s="20"/>
      <c r="AD70" s="20"/>
      <c r="AE70" s="80"/>
      <c r="AF70" s="43" t="e">
        <v>#DIV/0!</v>
      </c>
      <c r="AG70" s="43" t="e">
        <v>#DIV/0!</v>
      </c>
      <c r="AH70" s="43">
        <v>6.9411291112562681E-2</v>
      </c>
      <c r="AI70" s="43">
        <v>8.6549290290537914E-2</v>
      </c>
      <c r="AJ70" s="43">
        <v>0.10895423952801433</v>
      </c>
      <c r="AK70" s="43" cm="1">
        <f t="array" ref="AK70">_xlfn.XLOOKUP(C70,Dados!$C$3:$C$329,Dados!$Z$3:'Dados'!$Z$329,"")</f>
        <v>10.9171275236392</v>
      </c>
      <c r="AL70" s="43" cm="1">
        <f t="array" ref="AL70">_xlfn.XLOOKUP(C70,Dados!$C$3:$C$329,Dados!$AA$3:'Dados'!$AA$329,"")</f>
        <v>10.6714782250683</v>
      </c>
      <c r="AM70" s="43" cm="1">
        <f t="array" ref="AM70">_xlfn.XLOOKUP(C70,Dados!$C$3:$C$329,Dados!$AB$3:'Dados'!$AB$329,"")</f>
        <v>11.6982324819664</v>
      </c>
      <c r="AN70" s="43" cm="1">
        <f t="array" ref="AN70">_xlfn.XLOOKUP(C70,Dados!$C$3:$C$329,Dados!$AC$3:'Dados'!$AC$329,"")</f>
        <v>8.3300769520474702</v>
      </c>
      <c r="AO70" s="82" cm="1">
        <f t="array" ref="AO70">_xlfn.XLOOKUP(C70,Dados!$C$3:$C$329,Dados!$AD$3:'Dados'!$AD$329,"")</f>
        <v>8.4431153539440693</v>
      </c>
    </row>
    <row r="71" spans="1:41" ht="51" x14ac:dyDescent="0.25">
      <c r="A71" s="6">
        <v>217</v>
      </c>
      <c r="B71" s="3" t="s">
        <v>164</v>
      </c>
      <c r="C71" s="8" t="s">
        <v>165</v>
      </c>
      <c r="D71" s="8" t="s">
        <v>140</v>
      </c>
      <c r="E71" s="8" t="s">
        <v>141</v>
      </c>
      <c r="F71" s="72">
        <f>_xlfn.XLOOKUP(C71,Dados!$C$3:$C$329,Dados!$D$3:$D$329,"")</f>
        <v>29</v>
      </c>
      <c r="G71" s="86">
        <f>_xlfn.XLOOKUP(C71,Dados!$C$3:$C$329,Dados!$E$3:$E$329,"")</f>
        <v>282324</v>
      </c>
      <c r="H71" s="71">
        <f>_xlfn.XLOOKUP(C71,Dados!$C$3:$C$329,Dados!$F$3:$F$329,"")</f>
        <v>279324.66666666663</v>
      </c>
      <c r="I71" s="71">
        <f>_xlfn.XLOOKUP(C71,Dados!$C$3:$C$329,Dados!$G$3:$G$329,"")</f>
        <v>276325.33333333337</v>
      </c>
      <c r="J71" s="71">
        <f>_xlfn.XLOOKUP(C71,Dados!$C$3:$C$329,Dados!$H$3:$H$329,"")</f>
        <v>273326</v>
      </c>
      <c r="K71" s="71">
        <f>_xlfn.XLOOKUP(C71,Dados!$C$3:$C$329,Dados!$I$3:$I$329,"")</f>
        <v>272749</v>
      </c>
      <c r="L71" s="71">
        <f>_xlfn.XLOOKUP(C71,Dados!$C$3:$C$329,Dados!$J$3:$J$329,"")</f>
        <v>22</v>
      </c>
      <c r="M71" s="72" t="str">
        <f>_xlfn.XLOOKUP(C71,Dados!$C$3:$C$329,Dados!$K$3:$K$329,"")</f>
        <v>Sul</v>
      </c>
      <c r="N71" s="71">
        <f>_xlfn.XLOOKUP(C71,Dados!$C$3:$C$329,Dados!$L$3:$L$329,"")</f>
        <v>4</v>
      </c>
      <c r="O71" s="43">
        <f>_xlfn.XLOOKUP(C71,Dados!$C$3:$C$329,Dados!$M$3:$M$329,"")</f>
        <v>0.72835553811932097</v>
      </c>
      <c r="P71" s="43">
        <f>_xlfn.XLOOKUP(C71,Dados!$C$3:$C$329,Dados!$N$3:$N$329,"")</f>
        <v>0.69436758350060801</v>
      </c>
      <c r="Q71" s="43">
        <f>_xlfn.XLOOKUP(C71,Dados!$C$3:$C$329,Dados!$O$3:$O$329,"")</f>
        <v>0.68845225079209404</v>
      </c>
      <c r="R71" s="43">
        <f>_xlfn.XLOOKUP(C71,Dados!$C$3:$C$329,Dados!$P$3:$P$329,"")</f>
        <v>0.65182163967603901</v>
      </c>
      <c r="S71" s="43">
        <f>_xlfn.XLOOKUP(C71,Dados!$C$3:$C$329,Dados!$Q$3:$Q$329,"")</f>
        <v>0.63579040647738905</v>
      </c>
      <c r="T71" s="43">
        <f>_xlfn.XLOOKUP(C71,Dados!$C$3:$C$329,Dados!$R$3:$R$329,"")</f>
        <v>0.83266690712396996</v>
      </c>
      <c r="U71" s="43">
        <f>_xlfn.XLOOKUP(C71,Dados!$C$3:$C$329,Dados!$S$3:$S$329,"")</f>
        <v>0.933931838798711</v>
      </c>
      <c r="V71" s="77">
        <f>_xlfn.XLOOKUP(C71,Dados!$C$3:$C$329,Dados!$T$3:$T$329,"")</f>
        <v>1426.6576485527301</v>
      </c>
      <c r="W71" s="77">
        <f>_xlfn.XLOOKUP(C71,Dados!$C$3:$C$329,Dados!$U$3:$U$329,"")</f>
        <v>1448.13350333065</v>
      </c>
      <c r="X71" s="77">
        <f>_xlfn.XLOOKUP(C71,Dados!$C$3:$C$329,Dados!$V$3:$V$329,"")</f>
        <v>1257.36182463666</v>
      </c>
      <c r="Y71" s="77">
        <f>_xlfn.XLOOKUP(C71,Dados!$C$3:$C$329,Dados!$W$3:$W$329,"")</f>
        <v>995.56736259997194</v>
      </c>
      <c r="Z71" s="77">
        <f>_xlfn.XLOOKUP(C71,Dados!$C$3:$C$329,Dados!$X$3:$X$329,"")</f>
        <v>884.41571906771401</v>
      </c>
      <c r="AA71" s="20"/>
      <c r="AB71" s="20"/>
      <c r="AC71" s="20"/>
      <c r="AD71" s="20"/>
      <c r="AE71" s="80"/>
      <c r="AF71" s="43">
        <v>9.0996270158252693E-2</v>
      </c>
      <c r="AG71" s="43">
        <v>9.8759485848990095E-2</v>
      </c>
      <c r="AH71" s="43">
        <v>0.23665014728150877</v>
      </c>
      <c r="AI71" s="43" t="e">
        <v>#DIV/0!</v>
      </c>
      <c r="AJ71" s="43" t="e">
        <v>#DIV/0!</v>
      </c>
      <c r="AK71" s="43" cm="1">
        <f t="array" ref="AK71">_xlfn.XLOOKUP(C71,Dados!$C$3:$C$329,Dados!$Z$3:'Dados'!$Z$329,"")</f>
        <v>6.4362399229254299</v>
      </c>
      <c r="AL71" s="43" cm="1">
        <f t="array" ref="AL71">_xlfn.XLOOKUP(C71,Dados!$C$3:$C$329,Dados!$AA$3:'Dados'!$AA$329,"")</f>
        <v>10.6128865573395</v>
      </c>
      <c r="AM71" s="43" cm="1">
        <f t="array" ref="AM71">_xlfn.XLOOKUP(C71,Dados!$C$3:$C$329,Dados!$AB$3:'Dados'!$AB$329,"")</f>
        <v>6.2070277064716004</v>
      </c>
      <c r="AN71" s="43" cm="1">
        <f t="array" ref="AN71">_xlfn.XLOOKUP(C71,Dados!$C$3:$C$329,Dados!$AC$3:'Dados'!$AC$329,"")</f>
        <v>5.5677176704740896</v>
      </c>
      <c r="AO71" s="82" cm="1">
        <f t="array" ref="AO71">_xlfn.XLOOKUP(C71,Dados!$C$3:$C$329,Dados!$AD$3:'Dados'!$AD$329,"")</f>
        <v>3.8969125459671701</v>
      </c>
    </row>
    <row r="72" spans="1:41" ht="89.25" x14ac:dyDescent="0.25">
      <c r="A72" s="6">
        <v>220</v>
      </c>
      <c r="B72" s="3" t="s">
        <v>166</v>
      </c>
      <c r="C72" s="8" t="s">
        <v>167</v>
      </c>
      <c r="D72" s="8" t="s">
        <v>140</v>
      </c>
      <c r="E72" s="8" t="s">
        <v>141</v>
      </c>
      <c r="F72" s="72">
        <f>_xlfn.XLOOKUP(C72,Dados!$C$3:$C$329,Dados!$D$3:$D$329,"")</f>
        <v>12</v>
      </c>
      <c r="G72" s="86">
        <f>_xlfn.XLOOKUP(C72,Dados!$C$3:$C$329,Dados!$E$3:$E$329,"")</f>
        <v>14075</v>
      </c>
      <c r="H72" s="71">
        <f>_xlfn.XLOOKUP(C72,Dados!$C$3:$C$329,Dados!$F$3:$F$329,"")</f>
        <v>13908</v>
      </c>
      <c r="I72" s="71">
        <f>_xlfn.XLOOKUP(C72,Dados!$C$3:$C$329,Dados!$G$3:$G$329,"")</f>
        <v>13741</v>
      </c>
      <c r="J72" s="71">
        <f>_xlfn.XLOOKUP(C72,Dados!$C$3:$C$329,Dados!$H$3:$H$329,"")</f>
        <v>13574</v>
      </c>
      <c r="K72" s="71">
        <f>_xlfn.XLOOKUP(C72,Dados!$C$3:$C$329,Dados!$I$3:$I$329,"")</f>
        <v>13662</v>
      </c>
      <c r="L72" s="71">
        <f>_xlfn.XLOOKUP(C72,Dados!$C$3:$C$329,Dados!$J$3:$J$329,"")</f>
        <v>3</v>
      </c>
      <c r="M72" s="72" t="str">
        <f>_xlfn.XLOOKUP(C72,Dados!$C$3:$C$329,Dados!$K$3:$K$329,"")</f>
        <v>Sul</v>
      </c>
      <c r="N72" s="71">
        <f>_xlfn.XLOOKUP(C72,Dados!$C$3:$C$329,Dados!$L$3:$L$329,"")</f>
        <v>16</v>
      </c>
      <c r="O72" s="43">
        <f>_xlfn.XLOOKUP(C72,Dados!$C$3:$C$329,Dados!$M$3:$M$329,"")</f>
        <v>0.63643011216566003</v>
      </c>
      <c r="P72" s="43">
        <f>_xlfn.XLOOKUP(C72,Dados!$C$3:$C$329,Dados!$N$3:$N$329,"")</f>
        <v>0.62076666424083604</v>
      </c>
      <c r="Q72" s="43">
        <f>_xlfn.XLOOKUP(C72,Dados!$C$3:$C$329,Dados!$O$3:$O$329,"")</f>
        <v>0.61651091793133905</v>
      </c>
      <c r="R72" s="43">
        <f>_xlfn.XLOOKUP(C72,Dados!$C$3:$C$329,Dados!$P$3:$P$329,"")</f>
        <v>0.57525766359244601</v>
      </c>
      <c r="S72" s="43">
        <f>_xlfn.XLOOKUP(C72,Dados!$C$3:$C$329,Dados!$Q$3:$Q$329,"")</f>
        <v>0.25967448269170101</v>
      </c>
      <c r="T72" s="43">
        <f>_xlfn.XLOOKUP(C72,Dados!$C$3:$C$329,Dados!$R$3:$R$329,"")</f>
        <v>0.62978532130121501</v>
      </c>
      <c r="U72" s="43">
        <f>_xlfn.XLOOKUP(C72,Dados!$C$3:$C$329,Dados!$S$3:$S$329,"")</f>
        <v>0.84637628750939997</v>
      </c>
      <c r="V72" s="77">
        <f>_xlfn.XLOOKUP(C72,Dados!$C$3:$C$329,Dados!$T$3:$T$329,"")</f>
        <v>2331.3381250444099</v>
      </c>
      <c r="W72" s="77">
        <f>_xlfn.XLOOKUP(C72,Dados!$C$3:$C$329,Dados!$U$3:$U$329,"")</f>
        <v>1999.59197152718</v>
      </c>
      <c r="X72" s="77">
        <f>_xlfn.XLOOKUP(C72,Dados!$C$3:$C$329,Dados!$V$3:$V$329,"")</f>
        <v>1551.4616515052301</v>
      </c>
      <c r="Y72" s="77">
        <f>_xlfn.XLOOKUP(C72,Dados!$C$3:$C$329,Dados!$W$3:$W$329,"")</f>
        <v>1297.16691911006</v>
      </c>
      <c r="Z72" s="77">
        <f>_xlfn.XLOOKUP(C72,Dados!$C$3:$C$329,Dados!$X$3:$X$329,"")</f>
        <v>1178.3829131898699</v>
      </c>
      <c r="AA72" s="20"/>
      <c r="AB72" s="20"/>
      <c r="AC72" s="20"/>
      <c r="AD72" s="20"/>
      <c r="AE72" s="80"/>
      <c r="AF72" s="43" t="e">
        <v>#DIV/0!</v>
      </c>
      <c r="AG72" s="43">
        <v>0.17722972676982149</v>
      </c>
      <c r="AH72" s="43">
        <v>0.31517396000431319</v>
      </c>
      <c r="AI72" s="43">
        <v>0.39898415584401425</v>
      </c>
      <c r="AJ72" s="43" t="e">
        <v>#DIV/0!</v>
      </c>
      <c r="AK72" s="43" cm="1">
        <f t="array" ref="AK72">_xlfn.XLOOKUP(C72,Dados!$C$3:$C$329,Dados!$Z$3:'Dados'!$Z$329,"")</f>
        <v>12.020319715808199</v>
      </c>
      <c r="AL72" s="43" cm="1">
        <f t="array" ref="AL72">_xlfn.XLOOKUP(C72,Dados!$C$3:$C$329,Dados!$AA$3:'Dados'!$AA$329,"")</f>
        <v>7.4103393730227198</v>
      </c>
      <c r="AM72" s="43" cm="1">
        <f t="array" ref="AM72">_xlfn.XLOOKUP(C72,Dados!$C$3:$C$329,Dados!$AB$3:'Dados'!$AB$329,"")</f>
        <v>7.8587439051015204</v>
      </c>
      <c r="AN72" s="43" cm="1">
        <f t="array" ref="AN72">_xlfn.XLOOKUP(C72,Dados!$C$3:$C$329,Dados!$AC$3:'Dados'!$AC$329,"")</f>
        <v>10.967585089141</v>
      </c>
      <c r="AO72" s="82" cm="1">
        <f t="array" ref="AO72">_xlfn.XLOOKUP(C72,Dados!$C$3:$C$329,Dados!$AD$3:'Dados'!$AD$329,"")</f>
        <v>10.9061630800761</v>
      </c>
    </row>
    <row r="73" spans="1:41" ht="127.5" x14ac:dyDescent="0.25">
      <c r="A73" s="6">
        <v>223</v>
      </c>
      <c r="B73" s="3" t="s">
        <v>168</v>
      </c>
      <c r="C73" s="8" t="s">
        <v>169</v>
      </c>
      <c r="D73" s="8" t="s">
        <v>140</v>
      </c>
      <c r="E73" s="8" t="s">
        <v>141</v>
      </c>
      <c r="F73" s="72">
        <f>_xlfn.XLOOKUP(C73,Dados!$C$3:$C$329,Dados!$D$3:$D$329,"")</f>
        <v>14</v>
      </c>
      <c r="G73" s="86">
        <f>_xlfn.XLOOKUP(C73,Dados!$C$3:$C$329,Dados!$E$3:$E$329,"")</f>
        <v>481191</v>
      </c>
      <c r="H73" s="71">
        <f>_xlfn.XLOOKUP(C73,Dados!$C$3:$C$329,Dados!$F$3:$F$329,"")</f>
        <v>473301</v>
      </c>
      <c r="I73" s="71">
        <f>_xlfn.XLOOKUP(C73,Dados!$C$3:$C$329,Dados!$G$3:$G$329,"")</f>
        <v>465411</v>
      </c>
      <c r="J73" s="71">
        <f>_xlfn.XLOOKUP(C73,Dados!$C$3:$C$329,Dados!$H$3:$H$329,"")</f>
        <v>457521</v>
      </c>
      <c r="K73" s="71">
        <f>_xlfn.XLOOKUP(C73,Dados!$C$3:$C$329,Dados!$I$3:$I$329,"")</f>
        <v>459083</v>
      </c>
      <c r="L73" s="71">
        <f>_xlfn.XLOOKUP(C73,Dados!$C$3:$C$329,Dados!$J$3:$J$329,"")</f>
        <v>31</v>
      </c>
      <c r="M73" s="72" t="str">
        <f>_xlfn.XLOOKUP(C73,Dados!$C$3:$C$329,Dados!$K$3:$K$329,"")</f>
        <v>Sul</v>
      </c>
      <c r="N73" s="71">
        <f>_xlfn.XLOOKUP(C73,Dados!$C$3:$C$329,Dados!$L$3:$L$329,"")</f>
        <v>23</v>
      </c>
      <c r="O73" s="43">
        <f>_xlfn.XLOOKUP(C73,Dados!$C$3:$C$329,Dados!$M$3:$M$329,"")</f>
        <v>0.71845930412147896</v>
      </c>
      <c r="P73" s="43">
        <f>_xlfn.XLOOKUP(C73,Dados!$C$3:$C$329,Dados!$N$3:$N$329,"")</f>
        <v>0.68585977755861705</v>
      </c>
      <c r="Q73" s="43">
        <f>_xlfn.XLOOKUP(C73,Dados!$C$3:$C$329,Dados!$O$3:$O$329,"")</f>
        <v>0.67435013037652902</v>
      </c>
      <c r="R73" s="43">
        <f>_xlfn.XLOOKUP(C73,Dados!$C$3:$C$329,Dados!$P$3:$P$329,"")</f>
        <v>0.651745494387725</v>
      </c>
      <c r="S73" s="43">
        <f>_xlfn.XLOOKUP(C73,Dados!$C$3:$C$329,Dados!$Q$3:$Q$329,"")</f>
        <v>0.49333594672235898</v>
      </c>
      <c r="T73" s="43">
        <f>_xlfn.XLOOKUP(C73,Dados!$C$3:$C$329,Dados!$R$3:$R$329,"")</f>
        <v>0.80725774888575197</v>
      </c>
      <c r="U73" s="43">
        <f>_xlfn.XLOOKUP(C73,Dados!$C$3:$C$329,Dados!$S$3:$S$329,"")</f>
        <v>0.85401132604658403</v>
      </c>
      <c r="V73" s="77">
        <f>_xlfn.XLOOKUP(C73,Dados!$C$3:$C$329,Dados!$T$3:$T$329,"")</f>
        <v>1603.8189876577101</v>
      </c>
      <c r="W73" s="77">
        <f>_xlfn.XLOOKUP(C73,Dados!$C$3:$C$329,Dados!$U$3:$U$329,"")</f>
        <v>1594.70405260078</v>
      </c>
      <c r="X73" s="77">
        <f>_xlfn.XLOOKUP(C73,Dados!$C$3:$C$329,Dados!$V$3:$V$329,"")</f>
        <v>1359.7364409092199</v>
      </c>
      <c r="Y73" s="77">
        <f>_xlfn.XLOOKUP(C73,Dados!$C$3:$C$329,Dados!$W$3:$W$329,"")</f>
        <v>1021.73358617419</v>
      </c>
      <c r="Z73" s="77">
        <f>_xlfn.XLOOKUP(C73,Dados!$C$3:$C$329,Dados!$X$3:$X$329,"")</f>
        <v>912.46912562652096</v>
      </c>
      <c r="AA73" s="20"/>
      <c r="AB73" s="20"/>
      <c r="AC73" s="20"/>
      <c r="AD73" s="20"/>
      <c r="AE73" s="80"/>
      <c r="AF73" s="43">
        <v>0.51340120888740493</v>
      </c>
      <c r="AG73" s="43">
        <v>0.16929662135038295</v>
      </c>
      <c r="AH73" s="43">
        <v>5.4317744132718768E-2</v>
      </c>
      <c r="AI73" s="43">
        <v>7.2679845614478017E-2</v>
      </c>
      <c r="AJ73" s="43">
        <v>8.8514765507288221E-2</v>
      </c>
      <c r="AK73" s="43" cm="1">
        <f t="array" ref="AK73">_xlfn.XLOOKUP(C73,Dados!$C$3:$C$329,Dados!$Z$3:'Dados'!$Z$329,"")</f>
        <v>6.93087775955909</v>
      </c>
      <c r="AL73" s="43" cm="1">
        <f t="array" ref="AL73">_xlfn.XLOOKUP(C73,Dados!$C$3:$C$329,Dados!$AA$3:'Dados'!$AA$329,"")</f>
        <v>6.1836463476730499</v>
      </c>
      <c r="AM73" s="43" cm="1">
        <f t="array" ref="AM73">_xlfn.XLOOKUP(C73,Dados!$C$3:$C$329,Dados!$AB$3:'Dados'!$AB$329,"")</f>
        <v>5.2970127478723104</v>
      </c>
      <c r="AN73" s="43" cm="1">
        <f t="array" ref="AN73">_xlfn.XLOOKUP(C73,Dados!$C$3:$C$329,Dados!$AC$3:'Dados'!$AC$329,"")</f>
        <v>4.1606374352215498</v>
      </c>
      <c r="AO73" s="82" cm="1">
        <f t="array" ref="AO73">_xlfn.XLOOKUP(C73,Dados!$C$3:$C$329,Dados!$AD$3:'Dados'!$AD$329,"")</f>
        <v>4.4431769418601901</v>
      </c>
    </row>
    <row r="74" spans="1:41" ht="63.75" x14ac:dyDescent="0.25">
      <c r="A74" s="6">
        <v>225</v>
      </c>
      <c r="B74" s="3" t="s">
        <v>170</v>
      </c>
      <c r="C74" s="8" t="s">
        <v>171</v>
      </c>
      <c r="D74" s="8" t="s">
        <v>140</v>
      </c>
      <c r="E74" s="8" t="s">
        <v>141</v>
      </c>
      <c r="F74" s="72">
        <f>_xlfn.XLOOKUP(C74,Dados!$C$3:$C$329,Dados!$D$3:$D$329,"")</f>
        <v>6</v>
      </c>
      <c r="G74" s="86">
        <f>_xlfn.XLOOKUP(C74,Dados!$C$3:$C$329,Dados!$E$3:$E$329,"")</f>
        <v>438166</v>
      </c>
      <c r="H74" s="71">
        <f>_xlfn.XLOOKUP(C74,Dados!$C$3:$C$329,Dados!$F$3:$F$329,"")</f>
        <v>436727.66666666674</v>
      </c>
      <c r="I74" s="71">
        <f>_xlfn.XLOOKUP(C74,Dados!$C$3:$C$329,Dados!$G$3:$G$329,"")</f>
        <v>435289.33333333326</v>
      </c>
      <c r="J74" s="71">
        <f>_xlfn.XLOOKUP(C74,Dados!$C$3:$C$329,Dados!$H$3:$H$329,"")</f>
        <v>433851</v>
      </c>
      <c r="K74" s="71">
        <f>_xlfn.XLOOKUP(C74,Dados!$C$3:$C$329,Dados!$I$3:$I$329,"")</f>
        <v>432931</v>
      </c>
      <c r="L74" s="71">
        <f>_xlfn.XLOOKUP(C74,Dados!$C$3:$C$329,Dados!$J$3:$J$329,"")</f>
        <v>20</v>
      </c>
      <c r="M74" s="72" t="str">
        <f>_xlfn.XLOOKUP(C74,Dados!$C$3:$C$329,Dados!$K$3:$K$329,"")</f>
        <v>Sul</v>
      </c>
      <c r="N74" s="71">
        <f>_xlfn.XLOOKUP(C74,Dados!$C$3:$C$329,Dados!$L$3:$L$329,"")</f>
        <v>3</v>
      </c>
      <c r="O74" s="43">
        <f>_xlfn.XLOOKUP(C74,Dados!$C$3:$C$329,Dados!$M$3:$M$329,"")</f>
        <v>0.71894663226434796</v>
      </c>
      <c r="P74" s="43">
        <f>_xlfn.XLOOKUP(C74,Dados!$C$3:$C$329,Dados!$N$3:$N$329,"")</f>
        <v>0.69070997359610597</v>
      </c>
      <c r="Q74" s="43">
        <f>_xlfn.XLOOKUP(C74,Dados!$C$3:$C$329,Dados!$O$3:$O$329,"")</f>
        <v>0.679789163099774</v>
      </c>
      <c r="R74" s="43">
        <f>_xlfn.XLOOKUP(C74,Dados!$C$3:$C$329,Dados!$P$3:$P$329,"")</f>
        <v>0.65540554060577805</v>
      </c>
      <c r="S74" s="43">
        <f>_xlfn.XLOOKUP(C74,Dados!$C$3:$C$329,Dados!$Q$3:$Q$329,"")</f>
        <v>0.57509019004983697</v>
      </c>
      <c r="T74" s="43">
        <f>_xlfn.XLOOKUP(C74,Dados!$C$3:$C$329,Dados!$R$3:$R$329,"")</f>
        <v>0.77594424122499395</v>
      </c>
      <c r="U74" s="43">
        <f>_xlfn.XLOOKUP(C74,Dados!$C$3:$C$329,Dados!$S$3:$S$329,"")</f>
        <v>0.82951865479512499</v>
      </c>
      <c r="V74" s="77">
        <f>_xlfn.XLOOKUP(C74,Dados!$C$3:$C$329,Dados!$T$3:$T$329,"")</f>
        <v>1434.83213679291</v>
      </c>
      <c r="W74" s="77">
        <f>_xlfn.XLOOKUP(C74,Dados!$C$3:$C$329,Dados!$U$3:$U$329,"")</f>
        <v>1321.16605497858</v>
      </c>
      <c r="X74" s="77">
        <f>_xlfn.XLOOKUP(C74,Dados!$C$3:$C$329,Dados!$V$3:$V$329,"")</f>
        <v>1122.9833430101701</v>
      </c>
      <c r="Y74" s="77">
        <f>_xlfn.XLOOKUP(C74,Dados!$C$3:$C$329,Dados!$W$3:$W$329,"")</f>
        <v>899.55531428992902</v>
      </c>
      <c r="Z74" s="77">
        <f>_xlfn.XLOOKUP(C74,Dados!$C$3:$C$329,Dados!$X$3:$X$329,"")</f>
        <v>747.69655222194797</v>
      </c>
      <c r="AA74" s="20"/>
      <c r="AB74" s="20"/>
      <c r="AC74" s="20"/>
      <c r="AD74" s="20"/>
      <c r="AE74" s="80"/>
      <c r="AF74" s="43">
        <v>0.27260094869728518</v>
      </c>
      <c r="AG74" s="43">
        <v>0.41402099794404795</v>
      </c>
      <c r="AH74" s="43">
        <v>0.82486238796673883</v>
      </c>
      <c r="AI74" s="43" t="e">
        <v>#DIV/0!</v>
      </c>
      <c r="AJ74" s="43" t="e">
        <v>#DIV/0!</v>
      </c>
      <c r="AK74" s="43" cm="1">
        <f t="array" ref="AK74">_xlfn.XLOOKUP(C74,Dados!$C$3:$C$329,Dados!$Z$3:'Dados'!$Z$329,"")</f>
        <v>6.9940456356723297</v>
      </c>
      <c r="AL74" s="43" cm="1">
        <f t="array" ref="AL74">_xlfn.XLOOKUP(C74,Dados!$C$3:$C$329,Dados!$AA$3:'Dados'!$AA$329,"")</f>
        <v>5.7926259156163704</v>
      </c>
      <c r="AM74" s="43" cm="1">
        <f t="array" ref="AM74">_xlfn.XLOOKUP(C74,Dados!$C$3:$C$329,Dados!$AB$3:'Dados'!$AB$329,"")</f>
        <v>4.8784976735780301</v>
      </c>
      <c r="AN74" s="43" cm="1">
        <f t="array" ref="AN74">_xlfn.XLOOKUP(C74,Dados!$C$3:$C$329,Dados!$AC$3:'Dados'!$AC$329,"")</f>
        <v>4.5686214852564602</v>
      </c>
      <c r="AO74" s="82" cm="1">
        <f t="array" ref="AO74">_xlfn.XLOOKUP(C74,Dados!$C$3:$C$329,Dados!$AD$3:'Dados'!$AD$329,"")</f>
        <v>3.76457680323192</v>
      </c>
    </row>
    <row r="75" spans="1:41" ht="51" x14ac:dyDescent="0.25">
      <c r="A75" s="6">
        <v>226</v>
      </c>
      <c r="B75" s="3" t="s">
        <v>172</v>
      </c>
      <c r="C75" s="8" t="s">
        <v>173</v>
      </c>
      <c r="D75" s="8" t="s">
        <v>140</v>
      </c>
      <c r="E75" s="8" t="s">
        <v>141</v>
      </c>
      <c r="F75" s="72">
        <f>_xlfn.XLOOKUP(C75,Dados!$C$3:$C$329,Dados!$D$3:$D$329,"")</f>
        <v>23</v>
      </c>
      <c r="G75" s="86">
        <f>_xlfn.XLOOKUP(C75,Dados!$C$3:$C$329,Dados!$E$3:$E$329,"")</f>
        <v>841896</v>
      </c>
      <c r="H75" s="71">
        <f>_xlfn.XLOOKUP(C75,Dados!$C$3:$C$329,Dados!$F$3:$F$329,"")</f>
        <v>840870.66666666663</v>
      </c>
      <c r="I75" s="71">
        <f>_xlfn.XLOOKUP(C75,Dados!$C$3:$C$329,Dados!$G$3:$G$329,"")</f>
        <v>839845.33333333337</v>
      </c>
      <c r="J75" s="71">
        <f>_xlfn.XLOOKUP(C75,Dados!$C$3:$C$329,Dados!$H$3:$H$329,"")</f>
        <v>838820</v>
      </c>
      <c r="K75" s="71">
        <f>_xlfn.XLOOKUP(C75,Dados!$C$3:$C$329,Dados!$I$3:$I$329,"")</f>
        <v>832374</v>
      </c>
      <c r="L75" s="71">
        <f>_xlfn.XLOOKUP(C75,Dados!$C$3:$C$329,Dados!$J$3:$J$329,"")</f>
        <v>19</v>
      </c>
      <c r="M75" s="72" t="str">
        <f>_xlfn.XLOOKUP(C75,Dados!$C$3:$C$329,Dados!$K$3:$K$329,"")</f>
        <v>Sul</v>
      </c>
      <c r="N75" s="71">
        <f>_xlfn.XLOOKUP(C75,Dados!$C$3:$C$329,Dados!$L$3:$L$329,"")</f>
        <v>1</v>
      </c>
      <c r="O75" s="43">
        <f>_xlfn.XLOOKUP(C75,Dados!$C$3:$C$329,Dados!$M$3:$M$329,"")</f>
        <v>0.77923358895462302</v>
      </c>
      <c r="P75" s="43">
        <f>_xlfn.XLOOKUP(C75,Dados!$C$3:$C$329,Dados!$N$3:$N$329,"")</f>
        <v>0.7421098165694</v>
      </c>
      <c r="Q75" s="43">
        <f>_xlfn.XLOOKUP(C75,Dados!$C$3:$C$329,Dados!$O$3:$O$329,"")</f>
        <v>0.74426846284065695</v>
      </c>
      <c r="R75" s="43">
        <f>_xlfn.XLOOKUP(C75,Dados!$C$3:$C$329,Dados!$P$3:$P$329,"")</f>
        <v>0.70765455924860698</v>
      </c>
      <c r="S75" s="43">
        <f>_xlfn.XLOOKUP(C75,Dados!$C$3:$C$329,Dados!$Q$3:$Q$329,"")</f>
        <v>0.745400474968407</v>
      </c>
      <c r="T75" s="43">
        <f>_xlfn.XLOOKUP(C75,Dados!$C$3:$C$329,Dados!$R$3:$R$329,"")</f>
        <v>0.87640680526096904</v>
      </c>
      <c r="U75" s="43">
        <f>_xlfn.XLOOKUP(C75,Dados!$C$3:$C$329,Dados!$S$3:$S$329,"")</f>
        <v>0.92657797935810404</v>
      </c>
      <c r="V75" s="77">
        <f>_xlfn.XLOOKUP(C75,Dados!$C$3:$C$329,Dados!$T$3:$T$329,"")</f>
        <v>1261.6172701497601</v>
      </c>
      <c r="W75" s="77">
        <f>_xlfn.XLOOKUP(C75,Dados!$C$3:$C$329,Dados!$U$3:$U$329,"")</f>
        <v>1120.9738956446699</v>
      </c>
      <c r="X75" s="77">
        <f>_xlfn.XLOOKUP(C75,Dados!$C$3:$C$329,Dados!$V$3:$V$329,"")</f>
        <v>955.60903674327301</v>
      </c>
      <c r="Y75" s="77">
        <f>_xlfn.XLOOKUP(C75,Dados!$C$3:$C$329,Dados!$W$3:$W$329,"")</f>
        <v>851.457903352328</v>
      </c>
      <c r="Z75" s="77">
        <f>_xlfn.XLOOKUP(C75,Dados!$C$3:$C$329,Dados!$X$3:$X$329,"")</f>
        <v>742.78816690574195</v>
      </c>
      <c r="AA75" s="20"/>
      <c r="AB75" s="20"/>
      <c r="AC75" s="20"/>
      <c r="AD75" s="20"/>
      <c r="AE75" s="80"/>
      <c r="AF75" s="43">
        <v>6.0580005242365495E-2</v>
      </c>
      <c r="AG75" s="43">
        <v>0.102945903422781</v>
      </c>
      <c r="AH75" s="43">
        <v>0.10489581550843449</v>
      </c>
      <c r="AI75" s="43">
        <v>8.9917159980673886E-2</v>
      </c>
      <c r="AJ75" s="43" t="e">
        <v>#DIV/0!</v>
      </c>
      <c r="AK75" s="43" cm="1">
        <f t="array" ref="AK75">_xlfn.XLOOKUP(C75,Dados!$C$3:$C$329,Dados!$Z$3:'Dados'!$Z$329,"")</f>
        <v>5.7455837775687302</v>
      </c>
      <c r="AL75" s="43" cm="1">
        <f t="array" ref="AL75">_xlfn.XLOOKUP(C75,Dados!$C$3:$C$329,Dados!$AA$3:'Dados'!$AA$329,"")</f>
        <v>4.1349688338912198</v>
      </c>
      <c r="AM75" s="43" cm="1">
        <f t="array" ref="AM75">_xlfn.XLOOKUP(C75,Dados!$C$3:$C$329,Dados!$AB$3:'Dados'!$AB$329,"")</f>
        <v>3.8474786627378998</v>
      </c>
      <c r="AN75" s="43" cm="1">
        <f t="array" ref="AN75">_xlfn.XLOOKUP(C75,Dados!$C$3:$C$329,Dados!$AC$3:'Dados'!$AC$329,"")</f>
        <v>2.6629229155241898</v>
      </c>
      <c r="AO75" s="82" cm="1">
        <f t="array" ref="AO75">_xlfn.XLOOKUP(C75,Dados!$C$3:$C$329,Dados!$AD$3:'Dados'!$AD$329,"")</f>
        <v>3.2823646581945098</v>
      </c>
    </row>
    <row r="76" spans="1:41" ht="63.75" x14ac:dyDescent="0.25">
      <c r="A76" s="6">
        <v>227</v>
      </c>
      <c r="B76" s="3" t="s">
        <v>174</v>
      </c>
      <c r="C76" s="8" t="s">
        <v>175</v>
      </c>
      <c r="D76" s="8" t="s">
        <v>140</v>
      </c>
      <c r="E76" s="8" t="s">
        <v>141</v>
      </c>
      <c r="F76" s="72">
        <f>_xlfn.XLOOKUP(C76,Dados!$C$3:$C$329,Dados!$D$3:$D$329,"")</f>
        <v>30</v>
      </c>
      <c r="G76" s="86">
        <f>_xlfn.XLOOKUP(C76,Dados!$C$3:$C$329,Dados!$E$3:$E$329,"")</f>
        <v>167738</v>
      </c>
      <c r="H76" s="71">
        <f>_xlfn.XLOOKUP(C76,Dados!$C$3:$C$329,Dados!$F$3:$F$329,"")</f>
        <v>170887.33333333334</v>
      </c>
      <c r="I76" s="71">
        <f>_xlfn.XLOOKUP(C76,Dados!$C$3:$C$329,Dados!$G$3:$G$329,"")</f>
        <v>174036.66666666666</v>
      </c>
      <c r="J76" s="71">
        <f>_xlfn.XLOOKUP(C76,Dados!$C$3:$C$329,Dados!$H$3:$H$329,"")</f>
        <v>177186</v>
      </c>
      <c r="K76" s="71">
        <f>_xlfn.XLOOKUP(C76,Dados!$C$3:$C$329,Dados!$I$3:$I$329,"")</f>
        <v>176074</v>
      </c>
      <c r="L76" s="71">
        <f>_xlfn.XLOOKUP(C76,Dados!$C$3:$C$329,Dados!$J$3:$J$329,"")</f>
        <v>9</v>
      </c>
      <c r="M76" s="72" t="str">
        <f>_xlfn.XLOOKUP(C76,Dados!$C$3:$C$329,Dados!$K$3:$K$329,"")</f>
        <v>Sul</v>
      </c>
      <c r="N76" s="71">
        <f>_xlfn.XLOOKUP(C76,Dados!$C$3:$C$329,Dados!$L$3:$L$329,"")</f>
        <v>2</v>
      </c>
      <c r="O76" s="43">
        <f>_xlfn.XLOOKUP(C76,Dados!$C$3:$C$329,Dados!$M$3:$M$329,"")</f>
        <v>0.74089903835275495</v>
      </c>
      <c r="P76" s="43">
        <f>_xlfn.XLOOKUP(C76,Dados!$C$3:$C$329,Dados!$N$3:$N$329,"")</f>
        <v>0.71147159774760105</v>
      </c>
      <c r="Q76" s="43">
        <f>_xlfn.XLOOKUP(C76,Dados!$C$3:$C$329,Dados!$O$3:$O$329,"")</f>
        <v>0.68726536125879001</v>
      </c>
      <c r="R76" s="43">
        <f>_xlfn.XLOOKUP(C76,Dados!$C$3:$C$329,Dados!$P$3:$P$329,"")</f>
        <v>0.66239548201324405</v>
      </c>
      <c r="S76" s="43">
        <f>_xlfn.XLOOKUP(C76,Dados!$C$3:$C$329,Dados!$Q$3:$Q$329,"")</f>
        <v>0.518546158855414</v>
      </c>
      <c r="T76" s="43">
        <f>_xlfn.XLOOKUP(C76,Dados!$C$3:$C$329,Dados!$R$3:$R$329,"")</f>
        <v>0.75926879584761797</v>
      </c>
      <c r="U76" s="43">
        <f>_xlfn.XLOOKUP(C76,Dados!$C$3:$C$329,Dados!$S$3:$S$329,"")</f>
        <v>0.84139081821838302</v>
      </c>
      <c r="V76" s="77">
        <f>_xlfn.XLOOKUP(C76,Dados!$C$3:$C$329,Dados!$T$3:$T$329,"")</f>
        <v>1460.0072235867799</v>
      </c>
      <c r="W76" s="77">
        <f>_xlfn.XLOOKUP(C76,Dados!$C$3:$C$329,Dados!$U$3:$U$329,"")</f>
        <v>1225.3975914735199</v>
      </c>
      <c r="X76" s="77">
        <f>_xlfn.XLOOKUP(C76,Dados!$C$3:$C$329,Dados!$V$3:$V$329,"")</f>
        <v>1114.6207841068001</v>
      </c>
      <c r="Y76" s="77">
        <f>_xlfn.XLOOKUP(C76,Dados!$C$3:$C$329,Dados!$W$3:$W$329,"")</f>
        <v>920.29348932759899</v>
      </c>
      <c r="Z76" s="77">
        <f>_xlfn.XLOOKUP(C76,Dados!$C$3:$C$329,Dados!$X$3:$X$329,"")</f>
        <v>798.65502498949297</v>
      </c>
      <c r="AA76" s="20"/>
      <c r="AB76" s="20"/>
      <c r="AC76" s="20"/>
      <c r="AD76" s="20"/>
      <c r="AE76" s="80"/>
      <c r="AF76" s="43">
        <v>8.2502796144123619E-2</v>
      </c>
      <c r="AG76" s="43">
        <v>9.9587245585487483E-2</v>
      </c>
      <c r="AH76" s="43" t="e">
        <v>#DIV/0!</v>
      </c>
      <c r="AI76" s="43" t="e">
        <v>#DIV/0!</v>
      </c>
      <c r="AJ76" s="43" t="e">
        <v>#DIV/0!</v>
      </c>
      <c r="AK76" s="43" cm="1">
        <f t="array" ref="AK76">_xlfn.XLOOKUP(C76,Dados!$C$3:$C$329,Dados!$Z$3:'Dados'!$Z$329,"")</f>
        <v>4.3371269479783896</v>
      </c>
      <c r="AL76" s="43" cm="1">
        <f t="array" ref="AL76">_xlfn.XLOOKUP(C76,Dados!$C$3:$C$329,Dados!$AA$3:'Dados'!$AA$329,"")</f>
        <v>4.7736949491087701</v>
      </c>
      <c r="AM76" s="43" cm="1">
        <f t="array" ref="AM76">_xlfn.XLOOKUP(C76,Dados!$C$3:$C$329,Dados!$AB$3:'Dados'!$AB$329,"")</f>
        <v>6.0889640114152197</v>
      </c>
      <c r="AN76" s="43" cm="1">
        <f t="array" ref="AN76">_xlfn.XLOOKUP(C76,Dados!$C$3:$C$329,Dados!$AC$3:'Dados'!$AC$329,"")</f>
        <v>4.4697267278453197</v>
      </c>
      <c r="AO76" s="82" cm="1">
        <f t="array" ref="AO76">_xlfn.XLOOKUP(C76,Dados!$C$3:$C$329,Dados!$AD$3:'Dados'!$AD$329,"")</f>
        <v>5.6898974294898697</v>
      </c>
    </row>
    <row r="77" spans="1:41" ht="51" x14ac:dyDescent="0.25">
      <c r="A77" s="6">
        <v>229</v>
      </c>
      <c r="B77" s="3" t="s">
        <v>176</v>
      </c>
      <c r="C77" s="8" t="s">
        <v>177</v>
      </c>
      <c r="D77" s="8" t="s">
        <v>140</v>
      </c>
      <c r="E77" s="8" t="s">
        <v>141</v>
      </c>
      <c r="F77" s="72">
        <f>_xlfn.XLOOKUP(C77,Dados!$C$3:$C$329,Dados!$D$3:$D$329,"")</f>
        <v>29</v>
      </c>
      <c r="G77" s="86">
        <f>_xlfn.XLOOKUP(C77,Dados!$C$3:$C$329,Dados!$E$3:$E$329,"")</f>
        <v>165037</v>
      </c>
      <c r="H77" s="71">
        <f>_xlfn.XLOOKUP(C77,Dados!$C$3:$C$329,Dados!$F$3:$F$329,"")</f>
        <v>169730.33333333331</v>
      </c>
      <c r="I77" s="71">
        <f>_xlfn.XLOOKUP(C77,Dados!$C$3:$C$329,Dados!$G$3:$G$329,"")</f>
        <v>174423.66666666669</v>
      </c>
      <c r="J77" s="71">
        <f>_xlfn.XLOOKUP(C77,Dados!$C$3:$C$329,Dados!$H$3:$H$329,"")</f>
        <v>179117</v>
      </c>
      <c r="K77" s="71">
        <f>_xlfn.XLOOKUP(C77,Dados!$C$3:$C$329,Dados!$I$3:$I$329,"")</f>
        <v>178227</v>
      </c>
      <c r="L77" s="71">
        <f>_xlfn.XLOOKUP(C77,Dados!$C$3:$C$329,Dados!$J$3:$J$329,"")</f>
        <v>9</v>
      </c>
      <c r="M77" s="72" t="str">
        <f>_xlfn.XLOOKUP(C77,Dados!$C$3:$C$329,Dados!$K$3:$K$329,"")</f>
        <v>Sul</v>
      </c>
      <c r="N77" s="71">
        <f>_xlfn.XLOOKUP(C77,Dados!$C$3:$C$329,Dados!$L$3:$L$329,"")</f>
        <v>1</v>
      </c>
      <c r="O77" s="43">
        <f>_xlfn.XLOOKUP(C77,Dados!$C$3:$C$329,Dados!$M$3:$M$329,"")</f>
        <v>0.76907621855060304</v>
      </c>
      <c r="P77" s="43">
        <f>_xlfn.XLOOKUP(C77,Dados!$C$3:$C$329,Dados!$N$3:$N$329,"")</f>
        <v>0.72463658983585899</v>
      </c>
      <c r="Q77" s="43">
        <f>_xlfn.XLOOKUP(C77,Dados!$C$3:$C$329,Dados!$O$3:$O$329,"")</f>
        <v>0.70748538441354003</v>
      </c>
      <c r="R77" s="43">
        <f>_xlfn.XLOOKUP(C77,Dados!$C$3:$C$329,Dados!$P$3:$P$329,"")</f>
        <v>0.684098031162506</v>
      </c>
      <c r="S77" s="43">
        <f>_xlfn.XLOOKUP(C77,Dados!$C$3:$C$329,Dados!$Q$3:$Q$329,"")</f>
        <v>0.43622558368417103</v>
      </c>
      <c r="T77" s="43">
        <f>_xlfn.XLOOKUP(C77,Dados!$C$3:$C$329,Dados!$R$3:$R$329,"")</f>
        <v>0.68297035073604295</v>
      </c>
      <c r="U77" s="43">
        <f>_xlfn.XLOOKUP(C77,Dados!$C$3:$C$329,Dados!$S$3:$S$329,"")</f>
        <v>0.80554362729828299</v>
      </c>
      <c r="V77" s="77">
        <f>_xlfn.XLOOKUP(C77,Dados!$C$3:$C$329,Dados!$T$3:$T$329,"")</f>
        <v>1499.46761689803</v>
      </c>
      <c r="W77" s="77">
        <f>_xlfn.XLOOKUP(C77,Dados!$C$3:$C$329,Dados!$U$3:$U$329,"")</f>
        <v>1217.4573270148101</v>
      </c>
      <c r="X77" s="77">
        <f>_xlfn.XLOOKUP(C77,Dados!$C$3:$C$329,Dados!$V$3:$V$329,"")</f>
        <v>1033.3917520176001</v>
      </c>
      <c r="Y77" s="77">
        <f>_xlfn.XLOOKUP(C77,Dados!$C$3:$C$329,Dados!$W$3:$W$329,"")</f>
        <v>855.522195492332</v>
      </c>
      <c r="Z77" s="77">
        <f>_xlfn.XLOOKUP(C77,Dados!$C$3:$C$329,Dados!$X$3:$X$329,"")</f>
        <v>713.14529291297094</v>
      </c>
      <c r="AA77" s="20"/>
      <c r="AB77" s="20"/>
      <c r="AC77" s="20"/>
      <c r="AD77" s="20"/>
      <c r="AE77" s="80"/>
      <c r="AF77" s="43">
        <v>4.9281314268602043E-2</v>
      </c>
      <c r="AG77" s="43">
        <v>4.8438053143740639E-2</v>
      </c>
      <c r="AH77" s="43">
        <v>4.9337830481738586E-2</v>
      </c>
      <c r="AI77" s="43">
        <v>4.4592218125950558E-2</v>
      </c>
      <c r="AJ77" s="43" t="e">
        <v>#DIV/0!</v>
      </c>
      <c r="AK77" s="43" cm="1">
        <f t="array" ref="AK77">_xlfn.XLOOKUP(C77,Dados!$C$3:$C$329,Dados!$Z$3:'Dados'!$Z$329,"")</f>
        <v>4.4412040936274897</v>
      </c>
      <c r="AL77" s="43" cm="1">
        <f t="array" ref="AL77">_xlfn.XLOOKUP(C77,Dados!$C$3:$C$329,Dados!$AA$3:'Dados'!$AA$329,"")</f>
        <v>5.5373602439948897</v>
      </c>
      <c r="AM77" s="43" cm="1">
        <f t="array" ref="AM77">_xlfn.XLOOKUP(C77,Dados!$C$3:$C$329,Dados!$AB$3:'Dados'!$AB$329,"")</f>
        <v>6.5180145660661504</v>
      </c>
      <c r="AN77" s="43" cm="1">
        <f t="array" ref="AN77">_xlfn.XLOOKUP(C77,Dados!$C$3:$C$329,Dados!$AC$3:'Dados'!$AC$329,"")</f>
        <v>4.9415130892098498</v>
      </c>
      <c r="AO77" s="82" cm="1">
        <f t="array" ref="AO77">_xlfn.XLOOKUP(C77,Dados!$C$3:$C$329,Dados!$AD$3:'Dados'!$AD$329,"")</f>
        <v>5.6305834693957699</v>
      </c>
    </row>
    <row r="78" spans="1:41" ht="38.25" x14ac:dyDescent="0.25">
      <c r="A78" s="6">
        <v>230</v>
      </c>
      <c r="B78" s="3" t="s">
        <v>178</v>
      </c>
      <c r="C78" s="8" t="s">
        <v>179</v>
      </c>
      <c r="D78" s="8" t="s">
        <v>140</v>
      </c>
      <c r="E78" s="8" t="s">
        <v>141</v>
      </c>
      <c r="F78" s="72">
        <f>_xlfn.XLOOKUP(C78,Dados!$C$3:$C$329,Dados!$D$3:$D$329,"")</f>
        <v>15</v>
      </c>
      <c r="G78" s="86">
        <f>_xlfn.XLOOKUP(C78,Dados!$C$3:$C$329,Dados!$E$3:$E$329,"")</f>
        <v>29255</v>
      </c>
      <c r="H78" s="71">
        <f>_xlfn.XLOOKUP(C78,Dados!$C$3:$C$329,Dados!$F$3:$F$329,"")</f>
        <v>29307</v>
      </c>
      <c r="I78" s="71">
        <f>_xlfn.XLOOKUP(C78,Dados!$C$3:$C$329,Dados!$G$3:$G$329,"")</f>
        <v>29359</v>
      </c>
      <c r="J78" s="71">
        <f>_xlfn.XLOOKUP(C78,Dados!$C$3:$C$329,Dados!$H$3:$H$329,"")</f>
        <v>29411</v>
      </c>
      <c r="K78" s="71">
        <f>_xlfn.XLOOKUP(C78,Dados!$C$3:$C$329,Dados!$I$3:$I$329,"")</f>
        <v>29363</v>
      </c>
      <c r="L78" s="71">
        <f>_xlfn.XLOOKUP(C78,Dados!$C$3:$C$329,Dados!$J$3:$J$329,"")</f>
        <v>3</v>
      </c>
      <c r="M78" s="72" t="str">
        <f>_xlfn.XLOOKUP(C78,Dados!$C$3:$C$329,Dados!$K$3:$K$329,"")</f>
        <v>Sul</v>
      </c>
      <c r="N78" s="71">
        <f>_xlfn.XLOOKUP(C78,Dados!$C$3:$C$329,Dados!$L$3:$L$329,"")</f>
        <v>31</v>
      </c>
      <c r="O78" s="43">
        <f>_xlfn.XLOOKUP(C78,Dados!$C$3:$C$329,Dados!$M$3:$M$329,"")</f>
        <v>0.70034555680667898</v>
      </c>
      <c r="P78" s="43">
        <f>_xlfn.XLOOKUP(C78,Dados!$C$3:$C$329,Dados!$N$3:$N$329,"")</f>
        <v>0.66880097982447195</v>
      </c>
      <c r="Q78" s="43">
        <f>_xlfn.XLOOKUP(C78,Dados!$C$3:$C$329,Dados!$O$3:$O$329,"")</f>
        <v>0.65296594811465103</v>
      </c>
      <c r="R78" s="43">
        <f>_xlfn.XLOOKUP(C78,Dados!$C$3:$C$329,Dados!$P$3:$P$329,"")</f>
        <v>0.66005212682627801</v>
      </c>
      <c r="S78" s="43">
        <f>_xlfn.XLOOKUP(C78,Dados!$C$3:$C$329,Dados!$Q$3:$Q$329,"")</f>
        <v>0.20465424798755599</v>
      </c>
      <c r="T78" s="43">
        <f>_xlfn.XLOOKUP(C78,Dados!$C$3:$C$329,Dados!$R$3:$R$329,"")</f>
        <v>0.83264649908602695</v>
      </c>
      <c r="U78" s="43">
        <f>_xlfn.XLOOKUP(C78,Dados!$C$3:$C$329,Dados!$S$3:$S$329,"")</f>
        <v>0.78374959183441795</v>
      </c>
      <c r="V78" s="77">
        <f>_xlfn.XLOOKUP(C78,Dados!$C$3:$C$329,Dados!$T$3:$T$329,"")</f>
        <v>1870.3896995385401</v>
      </c>
      <c r="W78" s="77">
        <f>_xlfn.XLOOKUP(C78,Dados!$C$3:$C$329,Dados!$U$3:$U$329,"")</f>
        <v>1718.45847567703</v>
      </c>
      <c r="X78" s="77">
        <f>_xlfn.XLOOKUP(C78,Dados!$C$3:$C$329,Dados!$V$3:$V$329,"")</f>
        <v>1502.3675307969199</v>
      </c>
      <c r="Y78" s="77">
        <f>_xlfn.XLOOKUP(C78,Dados!$C$3:$C$329,Dados!$W$3:$W$329,"")</f>
        <v>1009.98866308524</v>
      </c>
      <c r="Z78" s="77">
        <f>_xlfn.XLOOKUP(C78,Dados!$C$3:$C$329,Dados!$X$3:$X$329,"")</f>
        <v>1184.63134965773</v>
      </c>
      <c r="AA78" s="20"/>
      <c r="AB78" s="20"/>
      <c r="AC78" s="20"/>
      <c r="AD78" s="20"/>
      <c r="AE78" s="80"/>
      <c r="AF78" s="43">
        <v>0.63009338803756654</v>
      </c>
      <c r="AG78" s="43">
        <v>0.65753437333473996</v>
      </c>
      <c r="AH78" s="43">
        <v>0.60944564329119477</v>
      </c>
      <c r="AI78" s="43">
        <v>0.6581462827454454</v>
      </c>
      <c r="AJ78" s="43">
        <v>0.6179912344395373</v>
      </c>
      <c r="AK78" s="43" cm="1">
        <f t="array" ref="AK78">_xlfn.XLOOKUP(C78,Dados!$C$3:$C$329,Dados!$Z$3:'Dados'!$Z$329,"")</f>
        <v>24.5868398564348</v>
      </c>
      <c r="AL78" s="43" cm="1">
        <f t="array" ref="AL78">_xlfn.XLOOKUP(C78,Dados!$C$3:$C$329,Dados!$AA$3:'Dados'!$AA$329,"")</f>
        <v>24.6455113112908</v>
      </c>
      <c r="AM78" s="43" cm="1">
        <f t="array" ref="AM78">_xlfn.XLOOKUP(C78,Dados!$C$3:$C$329,Dados!$AB$3:'Dados'!$AB$329,"")</f>
        <v>21.915766885793101</v>
      </c>
      <c r="AN78" s="43" cm="1">
        <f t="array" ref="AN78">_xlfn.XLOOKUP(C78,Dados!$C$3:$C$329,Dados!$AC$3:'Dados'!$AC$329,"")</f>
        <v>20.356873278705201</v>
      </c>
      <c r="AO78" s="82" cm="1">
        <f t="array" ref="AO78">_xlfn.XLOOKUP(C78,Dados!$C$3:$C$329,Dados!$AD$3:'Dados'!$AD$329,"")</f>
        <v>15.0676020842557</v>
      </c>
    </row>
    <row r="79" spans="1:41" ht="38.25" x14ac:dyDescent="0.25">
      <c r="A79" s="6">
        <v>231</v>
      </c>
      <c r="B79" s="3" t="s">
        <v>180</v>
      </c>
      <c r="C79" s="8" t="s">
        <v>181</v>
      </c>
      <c r="D79" s="8" t="s">
        <v>140</v>
      </c>
      <c r="E79" s="8" t="s">
        <v>141</v>
      </c>
      <c r="F79" s="72">
        <f>_xlfn.XLOOKUP(C79,Dados!$C$3:$C$329,Dados!$D$3:$D$329,"")</f>
        <v>29</v>
      </c>
      <c r="G79" s="86">
        <f>_xlfn.XLOOKUP(C79,Dados!$C$3:$C$329,Dados!$E$3:$E$329,"")</f>
        <v>139056</v>
      </c>
      <c r="H79" s="71">
        <f>_xlfn.XLOOKUP(C79,Dados!$C$3:$C$329,Dados!$F$3:$F$329,"")</f>
        <v>134089.33333333331</v>
      </c>
      <c r="I79" s="71">
        <f>_xlfn.XLOOKUP(C79,Dados!$C$3:$C$329,Dados!$G$3:$G$329,"")</f>
        <v>129122.66666666667</v>
      </c>
      <c r="J79" s="71">
        <f>_xlfn.XLOOKUP(C79,Dados!$C$3:$C$329,Dados!$H$3:$H$329,"")</f>
        <v>124156</v>
      </c>
      <c r="K79" s="71">
        <f>_xlfn.XLOOKUP(C79,Dados!$C$3:$C$329,Dados!$I$3:$I$329,"")</f>
        <v>123299</v>
      </c>
      <c r="L79" s="71">
        <f>_xlfn.XLOOKUP(C79,Dados!$C$3:$C$329,Dados!$J$3:$J$329,"")</f>
        <v>7</v>
      </c>
      <c r="M79" s="72" t="str">
        <f>_xlfn.XLOOKUP(C79,Dados!$C$3:$C$329,Dados!$K$3:$K$329,"")</f>
        <v>Sul</v>
      </c>
      <c r="N79" s="71">
        <f>_xlfn.XLOOKUP(C79,Dados!$C$3:$C$329,Dados!$L$3:$L$329,"")</f>
        <v>1</v>
      </c>
      <c r="O79" s="43">
        <f>_xlfn.XLOOKUP(C79,Dados!$C$3:$C$329,Dados!$M$3:$M$329,"")</f>
        <v>0.78593648811240302</v>
      </c>
      <c r="P79" s="43">
        <f>_xlfn.XLOOKUP(C79,Dados!$C$3:$C$329,Dados!$N$3:$N$329,"")</f>
        <v>0.74470938513248397</v>
      </c>
      <c r="Q79" s="43">
        <f>_xlfn.XLOOKUP(C79,Dados!$C$3:$C$329,Dados!$O$3:$O$329,"")</f>
        <v>0.72837160829923697</v>
      </c>
      <c r="R79" s="43">
        <f>_xlfn.XLOOKUP(C79,Dados!$C$3:$C$329,Dados!$P$3:$P$329,"")</f>
        <v>0.69480582080957698</v>
      </c>
      <c r="S79" s="43">
        <f>_xlfn.XLOOKUP(C79,Dados!$C$3:$C$329,Dados!$Q$3:$Q$329,"")</f>
        <v>0.38999901824621502</v>
      </c>
      <c r="T79" s="43">
        <f>_xlfn.XLOOKUP(C79,Dados!$C$3:$C$329,Dados!$R$3:$R$329,"")</f>
        <v>0.84892152191198</v>
      </c>
      <c r="U79" s="43">
        <f>_xlfn.XLOOKUP(C79,Dados!$C$3:$C$329,Dados!$S$3:$S$329,"")</f>
        <v>0.94177983906775997</v>
      </c>
      <c r="V79" s="77">
        <f>_xlfn.XLOOKUP(C79,Dados!$C$3:$C$329,Dados!$T$3:$T$329,"")</f>
        <v>2059.7755401421</v>
      </c>
      <c r="W79" s="77">
        <f>_xlfn.XLOOKUP(C79,Dados!$C$3:$C$329,Dados!$U$3:$U$329,"")</f>
        <v>1889.3052583849601</v>
      </c>
      <c r="X79" s="77">
        <f>_xlfn.XLOOKUP(C79,Dados!$C$3:$C$329,Dados!$V$3:$V$329,"")</f>
        <v>1703.32115174718</v>
      </c>
      <c r="Y79" s="77">
        <f>_xlfn.XLOOKUP(C79,Dados!$C$3:$C$329,Dados!$W$3:$W$329,"")</f>
        <v>1330.6946845903501</v>
      </c>
      <c r="Z79" s="77">
        <f>_xlfn.XLOOKUP(C79,Dados!$C$3:$C$329,Dados!$X$3:$X$329,"")</f>
        <v>1271.0571913803001</v>
      </c>
      <c r="AA79" s="20"/>
      <c r="AB79" s="20"/>
      <c r="AC79" s="20"/>
      <c r="AD79" s="20"/>
      <c r="AE79" s="80"/>
      <c r="AF79" s="43">
        <v>5.3926030015878347E-2</v>
      </c>
      <c r="AG79" s="43">
        <v>5.1918650947791328E-2</v>
      </c>
      <c r="AH79" s="43">
        <v>5.0703495121826515E-2</v>
      </c>
      <c r="AI79" s="43">
        <v>5.2829052573600488E-2</v>
      </c>
      <c r="AJ79" s="43">
        <v>6.5580129110606081E-2</v>
      </c>
      <c r="AK79" s="43" cm="1">
        <f t="array" ref="AK79">_xlfn.XLOOKUP(C79,Dados!$C$3:$C$329,Dados!$Z$3:'Dados'!$Z$329,"")</f>
        <v>16.261556495224902</v>
      </c>
      <c r="AL79" s="43" cm="1">
        <f t="array" ref="AL79">_xlfn.XLOOKUP(C79,Dados!$C$3:$C$329,Dados!$AA$3:'Dados'!$AA$329,"")</f>
        <v>15.7163955373035</v>
      </c>
      <c r="AM79" s="43" cm="1">
        <f t="array" ref="AM79">_xlfn.XLOOKUP(C79,Dados!$C$3:$C$329,Dados!$AB$3:'Dados'!$AB$329,"")</f>
        <v>11.1915517027736</v>
      </c>
      <c r="AN79" s="43" cm="1">
        <f t="array" ref="AN79">_xlfn.XLOOKUP(C79,Dados!$C$3:$C$329,Dados!$AC$3:'Dados'!$AC$329,"")</f>
        <v>9.0160443313251104</v>
      </c>
      <c r="AO79" s="82" cm="1">
        <f t="array" ref="AO79">_xlfn.XLOOKUP(C79,Dados!$C$3:$C$329,Dados!$AD$3:'Dados'!$AD$329,"")</f>
        <v>9.9401211688659306</v>
      </c>
    </row>
    <row r="80" spans="1:41" ht="38.25" x14ac:dyDescent="0.25">
      <c r="A80" s="6">
        <v>240</v>
      </c>
      <c r="B80" s="3" t="s">
        <v>182</v>
      </c>
      <c r="C80" s="8" t="s">
        <v>183</v>
      </c>
      <c r="D80" s="8" t="s">
        <v>184</v>
      </c>
      <c r="E80" s="8" t="s">
        <v>141</v>
      </c>
      <c r="F80" s="72">
        <f>_xlfn.XLOOKUP(C80,Dados!$C$3:$C$329,Dados!$D$3:$D$329,"")</f>
        <v>30</v>
      </c>
      <c r="G80" s="86">
        <f>_xlfn.XLOOKUP(C80,Dados!$C$3:$C$329,Dados!$E$3:$E$329,"")</f>
        <v>264069</v>
      </c>
      <c r="H80" s="71">
        <f>_xlfn.XLOOKUP(C80,Dados!$C$3:$C$329,Dados!$F$3:$F$329,"")</f>
        <v>259849.66666666663</v>
      </c>
      <c r="I80" s="71">
        <f>_xlfn.XLOOKUP(C80,Dados!$C$3:$C$329,Dados!$G$3:$G$329,"")</f>
        <v>255630.33333333337</v>
      </c>
      <c r="J80" s="71">
        <f>_xlfn.XLOOKUP(C80,Dados!$C$3:$C$329,Dados!$H$3:$H$329,"")</f>
        <v>251411</v>
      </c>
      <c r="K80" s="71">
        <f>_xlfn.XLOOKUP(C80,Dados!$C$3:$C$329,Dados!$I$3:$I$329,"")</f>
        <v>252081</v>
      </c>
      <c r="L80" s="71">
        <f>_xlfn.XLOOKUP(C80,Dados!$C$3:$C$329,Dados!$J$3:$J$329,"")</f>
        <v>25</v>
      </c>
      <c r="M80" s="72" t="str">
        <f>_xlfn.XLOOKUP(C80,Dados!$C$3:$C$329,Dados!$K$3:$K$329,"")</f>
        <v>Sul</v>
      </c>
      <c r="N80" s="71">
        <f>_xlfn.XLOOKUP(C80,Dados!$C$3:$C$329,Dados!$L$3:$L$329,"")</f>
        <v>5</v>
      </c>
      <c r="O80" s="43">
        <f>_xlfn.XLOOKUP(C80,Dados!$C$3:$C$329,Dados!$M$3:$M$329,"")</f>
        <v>0.73447639725020497</v>
      </c>
      <c r="P80" s="43">
        <f>_xlfn.XLOOKUP(C80,Dados!$C$3:$C$329,Dados!$N$3:$N$329,"")</f>
        <v>0.70957906521265701</v>
      </c>
      <c r="Q80" s="43">
        <f>_xlfn.XLOOKUP(C80,Dados!$C$3:$C$329,Dados!$O$3:$O$329,"")</f>
        <v>0.696976826391844</v>
      </c>
      <c r="R80" s="43">
        <f>_xlfn.XLOOKUP(C80,Dados!$C$3:$C$329,Dados!$P$3:$P$329,"")</f>
        <v>0.666128842316557</v>
      </c>
      <c r="S80" s="43">
        <f>_xlfn.XLOOKUP(C80,Dados!$C$3:$C$329,Dados!$Q$3:$Q$329,"")</f>
        <v>0.17825720252291399</v>
      </c>
      <c r="T80" s="43">
        <f>_xlfn.XLOOKUP(C80,Dados!$C$3:$C$329,Dados!$R$3:$R$329,"")</f>
        <v>0.86742117549951703</v>
      </c>
      <c r="U80" s="43">
        <f>_xlfn.XLOOKUP(C80,Dados!$C$3:$C$329,Dados!$S$3:$S$329,"")</f>
        <v>0.86599564031915899</v>
      </c>
      <c r="V80" s="77">
        <f>_xlfn.XLOOKUP(C80,Dados!$C$3:$C$329,Dados!$T$3:$T$329,"")</f>
        <v>1920.9816025735699</v>
      </c>
      <c r="W80" s="77">
        <f>_xlfn.XLOOKUP(C80,Dados!$C$3:$C$329,Dados!$U$3:$U$329,"")</f>
        <v>1783.6901450197499</v>
      </c>
      <c r="X80" s="77">
        <f>_xlfn.XLOOKUP(C80,Dados!$C$3:$C$329,Dados!$V$3:$V$329,"")</f>
        <v>1604.3299451682201</v>
      </c>
      <c r="Y80" s="77">
        <f>_xlfn.XLOOKUP(C80,Dados!$C$3:$C$329,Dados!$W$3:$W$329,"")</f>
        <v>1386.88460835047</v>
      </c>
      <c r="Z80" s="77">
        <f>_xlfn.XLOOKUP(C80,Dados!$C$3:$C$329,Dados!$X$3:$X$329,"")</f>
        <v>1280.6165130255699</v>
      </c>
      <c r="AA80" s="20"/>
      <c r="AB80" s="20"/>
      <c r="AC80" s="20"/>
      <c r="AD80" s="20"/>
      <c r="AE80" s="80"/>
      <c r="AF80" s="43" t="e">
        <v>#DIV/0!</v>
      </c>
      <c r="AG80" s="43">
        <v>2.6971046202954017E-2</v>
      </c>
      <c r="AH80" s="43">
        <v>3.0840457208939343E-2</v>
      </c>
      <c r="AI80" s="43">
        <v>3.0100173386112417E-2</v>
      </c>
      <c r="AJ80" s="43">
        <v>3.2102274627357701E-2</v>
      </c>
      <c r="AK80" s="43" cm="1">
        <f t="array" ref="AK80">_xlfn.XLOOKUP(C80,Dados!$C$3:$C$329,Dados!$Z$3:'Dados'!$Z$329,"")</f>
        <v>17.260992392139901</v>
      </c>
      <c r="AL80" s="43" cm="1">
        <f t="array" ref="AL80">_xlfn.XLOOKUP(C80,Dados!$C$3:$C$329,Dados!$AA$3:'Dados'!$AA$329,"")</f>
        <v>11.971179489679299</v>
      </c>
      <c r="AM80" s="43" cm="1">
        <f t="array" ref="AM80">_xlfn.XLOOKUP(C80,Dados!$C$3:$C$329,Dados!$AB$3:'Dados'!$AB$329,"")</f>
        <v>12.650670043070001</v>
      </c>
      <c r="AN80" s="43" cm="1">
        <f t="array" ref="AN80">_xlfn.XLOOKUP(C80,Dados!$C$3:$C$329,Dados!$AC$3:'Dados'!$AC$329,"")</f>
        <v>9.72321417917275</v>
      </c>
      <c r="AO80" s="82" cm="1">
        <f t="array" ref="AO80">_xlfn.XLOOKUP(C80,Dados!$C$3:$C$329,Dados!$AD$3:'Dados'!$AD$329,"")</f>
        <v>9.0466794403386199</v>
      </c>
    </row>
    <row r="81" spans="1:41" ht="63.75" x14ac:dyDescent="0.25">
      <c r="A81" s="6">
        <v>243</v>
      </c>
      <c r="B81" s="3" t="s">
        <v>185</v>
      </c>
      <c r="C81" s="8" t="s">
        <v>186</v>
      </c>
      <c r="D81" s="8" t="s">
        <v>184</v>
      </c>
      <c r="E81" s="8" t="s">
        <v>141</v>
      </c>
      <c r="F81" s="72">
        <f>_xlfn.XLOOKUP(C81,Dados!$C$3:$C$329,Dados!$D$3:$D$329,"")</f>
        <v>33</v>
      </c>
      <c r="G81" s="86">
        <f>_xlfn.XLOOKUP(C81,Dados!$C$3:$C$329,Dados!$E$3:$E$329,"")</f>
        <v>74150</v>
      </c>
      <c r="H81" s="71">
        <f>_xlfn.XLOOKUP(C81,Dados!$C$3:$C$329,Dados!$F$3:$F$329,"")</f>
        <v>73016.333333333328</v>
      </c>
      <c r="I81" s="71">
        <f>_xlfn.XLOOKUP(C81,Dados!$C$3:$C$329,Dados!$G$3:$G$329,"")</f>
        <v>71882.666666666672</v>
      </c>
      <c r="J81" s="71">
        <f>_xlfn.XLOOKUP(C81,Dados!$C$3:$C$329,Dados!$H$3:$H$329,"")</f>
        <v>70749</v>
      </c>
      <c r="K81" s="71">
        <f>_xlfn.XLOOKUP(C81,Dados!$C$3:$C$329,Dados!$I$3:$I$329,"")</f>
        <v>71367</v>
      </c>
      <c r="L81" s="71">
        <f>_xlfn.XLOOKUP(C81,Dados!$C$3:$C$329,Dados!$J$3:$J$329,"")</f>
        <v>9</v>
      </c>
      <c r="M81" s="72" t="str">
        <f>_xlfn.XLOOKUP(C81,Dados!$C$3:$C$329,Dados!$K$3:$K$329,"")</f>
        <v>Sul</v>
      </c>
      <c r="N81" s="71">
        <f>_xlfn.XLOOKUP(C81,Dados!$C$3:$C$329,Dados!$L$3:$L$329,"")</f>
        <v>4</v>
      </c>
      <c r="O81" s="43">
        <f>_xlfn.XLOOKUP(C81,Dados!$C$3:$C$329,Dados!$M$3:$M$329,"")</f>
        <v>0.63066008929508899</v>
      </c>
      <c r="P81" s="43">
        <f>_xlfn.XLOOKUP(C81,Dados!$C$3:$C$329,Dados!$N$3:$N$329,"")</f>
        <v>0.61112921102908402</v>
      </c>
      <c r="Q81" s="43">
        <f>_xlfn.XLOOKUP(C81,Dados!$C$3:$C$329,Dados!$O$3:$O$329,"")</f>
        <v>0.58199244512289905</v>
      </c>
      <c r="R81" s="43">
        <f>_xlfn.XLOOKUP(C81,Dados!$C$3:$C$329,Dados!$P$3:$P$329,"")</f>
        <v>0.56891854918940099</v>
      </c>
      <c r="S81" s="43">
        <f>_xlfn.XLOOKUP(C81,Dados!$C$3:$C$329,Dados!$Q$3:$Q$329,"")</f>
        <v>0.20798294210936299</v>
      </c>
      <c r="T81" s="43">
        <f>_xlfn.XLOOKUP(C81,Dados!$C$3:$C$329,Dados!$R$3:$R$329,"")</f>
        <v>0.85995427594969598</v>
      </c>
      <c r="U81" s="43">
        <f>_xlfn.XLOOKUP(C81,Dados!$C$3:$C$329,Dados!$S$3:$S$329,"")</f>
        <v>0.84278472974476903</v>
      </c>
      <c r="V81" s="77">
        <f>_xlfn.XLOOKUP(C81,Dados!$C$3:$C$329,Dados!$T$3:$T$329,"")</f>
        <v>1504.4235488873901</v>
      </c>
      <c r="W81" s="77">
        <f>_xlfn.XLOOKUP(C81,Dados!$C$3:$C$329,Dados!$U$3:$U$329,"")</f>
        <v>1479.1359246561301</v>
      </c>
      <c r="X81" s="77">
        <f>_xlfn.XLOOKUP(C81,Dados!$C$3:$C$329,Dados!$V$3:$V$329,"")</f>
        <v>1341.9779275022299</v>
      </c>
      <c r="Y81" s="77">
        <f>_xlfn.XLOOKUP(C81,Dados!$C$3:$C$329,Dados!$W$3:$W$329,"")</f>
        <v>1034.17498424006</v>
      </c>
      <c r="Z81" s="77">
        <f>_xlfn.XLOOKUP(C81,Dados!$C$3:$C$329,Dados!$X$3:$X$329,"")</f>
        <v>1010.65227177827</v>
      </c>
      <c r="AA81" s="20"/>
      <c r="AB81" s="20"/>
      <c r="AC81" s="20"/>
      <c r="AD81" s="20"/>
      <c r="AE81" s="80"/>
      <c r="AF81" s="43" t="e">
        <v>#DIV/0!</v>
      </c>
      <c r="AG81" s="43" t="e">
        <v>#DIV/0!</v>
      </c>
      <c r="AH81" s="43">
        <v>0.55642998786450215</v>
      </c>
      <c r="AI81" s="43">
        <v>0.59910460491663464</v>
      </c>
      <c r="AJ81" s="43">
        <v>0.99824033200389328</v>
      </c>
      <c r="AK81" s="43" cm="1">
        <f t="array" ref="AK81">_xlfn.XLOOKUP(C81,Dados!$C$3:$C$329,Dados!$Z$3:'Dados'!$Z$329,"")</f>
        <v>1.1827242076871201</v>
      </c>
      <c r="AL81" s="43" cm="1">
        <f t="array" ref="AL81">_xlfn.XLOOKUP(C81,Dados!$C$3:$C$329,Dados!$AA$3:'Dados'!$AA$329,"")</f>
        <v>1.34883519212596</v>
      </c>
      <c r="AM81" s="43" cm="1">
        <f t="array" ref="AM81">_xlfn.XLOOKUP(C81,Dados!$C$3:$C$329,Dados!$AB$3:'Dados'!$AB$329,"")</f>
        <v>1.2771785502299999</v>
      </c>
      <c r="AN81" s="43" cm="1">
        <f t="array" ref="AN81">_xlfn.XLOOKUP(C81,Dados!$C$3:$C$329,Dados!$AC$3:'Dados'!$AC$329,"")</f>
        <v>1.3684857736505101</v>
      </c>
      <c r="AO81" s="82" cm="1">
        <f t="array" ref="AO81">_xlfn.XLOOKUP(C81,Dados!$C$3:$C$329,Dados!$AD$3:'Dados'!$AD$329,"")</f>
        <v>1.3855843737301601</v>
      </c>
    </row>
    <row r="82" spans="1:41" ht="63.75" x14ac:dyDescent="0.25">
      <c r="A82" s="6">
        <v>247</v>
      </c>
      <c r="B82" s="3" t="s">
        <v>187</v>
      </c>
      <c r="C82" s="8" t="s">
        <v>188</v>
      </c>
      <c r="D82" s="8" t="s">
        <v>184</v>
      </c>
      <c r="E82" s="8" t="s">
        <v>141</v>
      </c>
      <c r="F82" s="72">
        <f>_xlfn.XLOOKUP(C82,Dados!$C$3:$C$329,Dados!$D$3:$D$329,"")</f>
        <v>14</v>
      </c>
      <c r="G82" s="86">
        <f>_xlfn.XLOOKUP(C82,Dados!$C$3:$C$329,Dados!$E$3:$E$329,"")</f>
        <v>127365</v>
      </c>
      <c r="H82" s="71">
        <f>_xlfn.XLOOKUP(C82,Dados!$C$3:$C$329,Dados!$F$3:$F$329,"")</f>
        <v>125041</v>
      </c>
      <c r="I82" s="71">
        <f>_xlfn.XLOOKUP(C82,Dados!$C$3:$C$329,Dados!$G$3:$G$329,"")</f>
        <v>122717</v>
      </c>
      <c r="J82" s="71">
        <f>_xlfn.XLOOKUP(C82,Dados!$C$3:$C$329,Dados!$H$3:$H$329,"")</f>
        <v>120393</v>
      </c>
      <c r="K82" s="71">
        <f>_xlfn.XLOOKUP(C82,Dados!$C$3:$C$329,Dados!$I$3:$I$329,"")</f>
        <v>119718</v>
      </c>
      <c r="L82" s="71">
        <f>_xlfn.XLOOKUP(C82,Dados!$C$3:$C$329,Dados!$J$3:$J$329,"")</f>
        <v>8</v>
      </c>
      <c r="M82" s="72" t="str">
        <f>_xlfn.XLOOKUP(C82,Dados!$C$3:$C$329,Dados!$K$3:$K$329,"")</f>
        <v>Sul</v>
      </c>
      <c r="N82" s="71">
        <f>_xlfn.XLOOKUP(C82,Dados!$C$3:$C$329,Dados!$L$3:$L$329,"")</f>
        <v>22</v>
      </c>
      <c r="O82" s="43">
        <f>_xlfn.XLOOKUP(C82,Dados!$C$3:$C$329,Dados!$M$3:$M$329,"")</f>
        <v>0.54730847108814995</v>
      </c>
      <c r="P82" s="43">
        <f>_xlfn.XLOOKUP(C82,Dados!$C$3:$C$329,Dados!$N$3:$N$329,"")</f>
        <v>0.51186379474726396</v>
      </c>
      <c r="Q82" s="43">
        <f>_xlfn.XLOOKUP(C82,Dados!$C$3:$C$329,Dados!$O$3:$O$329,"")</f>
        <v>0.48674544699442701</v>
      </c>
      <c r="R82" s="43">
        <f>_xlfn.XLOOKUP(C82,Dados!$C$3:$C$329,Dados!$P$3:$P$329,"")</f>
        <v>0.48905222439399298</v>
      </c>
      <c r="S82" s="43">
        <f>_xlfn.XLOOKUP(C82,Dados!$C$3:$C$329,Dados!$Q$3:$Q$329,"")</f>
        <v>7.3685008053760506E-2</v>
      </c>
      <c r="T82" s="43">
        <f>_xlfn.XLOOKUP(C82,Dados!$C$3:$C$329,Dados!$R$3:$R$329,"")</f>
        <v>0.68735909721826105</v>
      </c>
      <c r="U82" s="43">
        <f>_xlfn.XLOOKUP(C82,Dados!$C$3:$C$329,Dados!$S$3:$S$329,"")</f>
        <v>0.83758401851414199</v>
      </c>
      <c r="V82" s="77">
        <f>_xlfn.XLOOKUP(C82,Dados!$C$3:$C$329,Dados!$T$3:$T$329,"")</f>
        <v>2302.41714003062</v>
      </c>
      <c r="W82" s="77">
        <f>_xlfn.XLOOKUP(C82,Dados!$C$3:$C$329,Dados!$U$3:$U$329,"")</f>
        <v>3375.6596531004502</v>
      </c>
      <c r="X82" s="77">
        <f>_xlfn.XLOOKUP(C82,Dados!$C$3:$C$329,Dados!$V$3:$V$329,"")</f>
        <v>1816.65668125307</v>
      </c>
      <c r="Y82" s="77">
        <f>_xlfn.XLOOKUP(C82,Dados!$C$3:$C$329,Dados!$W$3:$W$329,"")</f>
        <v>1576.7709699899499</v>
      </c>
      <c r="Z82" s="77">
        <f>_xlfn.XLOOKUP(C82,Dados!$C$3:$C$329,Dados!$X$3:$X$329,"")</f>
        <v>1485.5228691591899</v>
      </c>
      <c r="AA82" s="20"/>
      <c r="AB82" s="20"/>
      <c r="AC82" s="20"/>
      <c r="AD82" s="20"/>
      <c r="AE82" s="80"/>
      <c r="AF82" s="43" t="e">
        <v>#DIV/0!</v>
      </c>
      <c r="AG82" s="43" t="e">
        <v>#DIV/0!</v>
      </c>
      <c r="AH82" s="43" t="e">
        <v>#DIV/0!</v>
      </c>
      <c r="AI82" s="43">
        <v>0</v>
      </c>
      <c r="AJ82" s="43">
        <v>0</v>
      </c>
      <c r="AK82" s="43" cm="1">
        <f t="array" ref="AK82">_xlfn.XLOOKUP(C82,Dados!$C$3:$C$329,Dados!$Z$3:'Dados'!$Z$329,"")</f>
        <v>5.6585404153417302</v>
      </c>
      <c r="AL82" s="43" cm="1">
        <f t="array" ref="AL82">_xlfn.XLOOKUP(C82,Dados!$C$3:$C$329,Dados!$AA$3:'Dados'!$AA$329,"")</f>
        <v>4.3813069313265203</v>
      </c>
      <c r="AM82" s="43" cm="1">
        <f t="array" ref="AM82">_xlfn.XLOOKUP(C82,Dados!$C$3:$C$329,Dados!$AB$3:'Dados'!$AB$329,"")</f>
        <v>3.6615301873416102</v>
      </c>
      <c r="AN82" s="43" cm="1">
        <f t="array" ref="AN82">_xlfn.XLOOKUP(C82,Dados!$C$3:$C$329,Dados!$AC$3:'Dados'!$AC$329,"")</f>
        <v>4.2220810179993897</v>
      </c>
      <c r="AO82" s="82" cm="1">
        <f t="array" ref="AO82">_xlfn.XLOOKUP(C82,Dados!$C$3:$C$329,Dados!$AD$3:'Dados'!$AD$329,"")</f>
        <v>3.6794132878932202</v>
      </c>
    </row>
    <row r="83" spans="1:41" ht="51" x14ac:dyDescent="0.25">
      <c r="A83" s="6">
        <v>248</v>
      </c>
      <c r="B83" s="3" t="s">
        <v>189</v>
      </c>
      <c r="C83" s="8" t="s">
        <v>190</v>
      </c>
      <c r="D83" s="8" t="s">
        <v>184</v>
      </c>
      <c r="E83" s="8" t="s">
        <v>141</v>
      </c>
      <c r="F83" s="72">
        <f>_xlfn.XLOOKUP(C83,Dados!$C$3:$C$329,Dados!$D$3:$D$329,"")</f>
        <v>19</v>
      </c>
      <c r="G83" s="86">
        <f>_xlfn.XLOOKUP(C83,Dados!$C$3:$C$329,Dados!$E$3:$E$329,"")</f>
        <v>346413</v>
      </c>
      <c r="H83" s="71">
        <f>_xlfn.XLOOKUP(C83,Dados!$C$3:$C$329,Dados!$F$3:$F$329,"")</f>
        <v>347684.66666666669</v>
      </c>
      <c r="I83" s="71">
        <f>_xlfn.XLOOKUP(C83,Dados!$C$3:$C$329,Dados!$G$3:$G$329,"")</f>
        <v>348956.33333333331</v>
      </c>
      <c r="J83" s="71">
        <f>_xlfn.XLOOKUP(C83,Dados!$C$3:$C$329,Dados!$H$3:$H$329,"")</f>
        <v>350228</v>
      </c>
      <c r="K83" s="71">
        <f>_xlfn.XLOOKUP(C83,Dados!$C$3:$C$329,Dados!$I$3:$I$329,"")</f>
        <v>347751</v>
      </c>
      <c r="L83" s="71">
        <f>_xlfn.XLOOKUP(C83,Dados!$C$3:$C$329,Dados!$J$3:$J$329,"")</f>
        <v>30</v>
      </c>
      <c r="M83" s="72" t="str">
        <f>_xlfn.XLOOKUP(C83,Dados!$C$3:$C$329,Dados!$K$3:$K$329,"")</f>
        <v>Sul</v>
      </c>
      <c r="N83" s="71">
        <f>_xlfn.XLOOKUP(C83,Dados!$C$3:$C$329,Dados!$L$3:$L$329,"")</f>
        <v>27</v>
      </c>
      <c r="O83" s="43">
        <f>_xlfn.XLOOKUP(C83,Dados!$C$3:$C$329,Dados!$M$3:$M$329,"")</f>
        <v>0.72216892672862598</v>
      </c>
      <c r="P83" s="43">
        <f>_xlfn.XLOOKUP(C83,Dados!$C$3:$C$329,Dados!$N$3:$N$329,"")</f>
        <v>0.70473735271557403</v>
      </c>
      <c r="Q83" s="43">
        <f>_xlfn.XLOOKUP(C83,Dados!$C$3:$C$329,Dados!$O$3:$O$329,"")</f>
        <v>0.68083002672544801</v>
      </c>
      <c r="R83" s="43">
        <f>_xlfn.XLOOKUP(C83,Dados!$C$3:$C$329,Dados!$P$3:$P$329,"")</f>
        <v>0.65792109756693695</v>
      </c>
      <c r="S83" s="43">
        <f>_xlfn.XLOOKUP(C83,Dados!$C$3:$C$329,Dados!$Q$3:$Q$329,"")</f>
        <v>0.37615005592867901</v>
      </c>
      <c r="T83" s="43">
        <f>_xlfn.XLOOKUP(C83,Dados!$C$3:$C$329,Dados!$R$3:$R$329,"")</f>
        <v>0.72078251452665099</v>
      </c>
      <c r="U83" s="43">
        <f>_xlfn.XLOOKUP(C83,Dados!$C$3:$C$329,Dados!$S$3:$S$329,"")</f>
        <v>0.92639637347175197</v>
      </c>
      <c r="V83" s="77">
        <f>_xlfn.XLOOKUP(C83,Dados!$C$3:$C$329,Dados!$T$3:$T$329,"")</f>
        <v>1603.1721304339001</v>
      </c>
      <c r="W83" s="77">
        <f>_xlfn.XLOOKUP(C83,Dados!$C$3:$C$329,Dados!$U$3:$U$329,"")</f>
        <v>1349.1132379723399</v>
      </c>
      <c r="X83" s="77">
        <f>_xlfn.XLOOKUP(C83,Dados!$C$3:$C$329,Dados!$V$3:$V$329,"")</f>
        <v>1184.6189963787299</v>
      </c>
      <c r="Y83" s="77">
        <f>_xlfn.XLOOKUP(C83,Dados!$C$3:$C$329,Dados!$W$3:$W$329,"")</f>
        <v>988.33829431113497</v>
      </c>
      <c r="Z83" s="77">
        <f>_xlfn.XLOOKUP(C83,Dados!$C$3:$C$329,Dados!$X$3:$X$329,"")</f>
        <v>911.14550810781304</v>
      </c>
      <c r="AA83" s="20"/>
      <c r="AB83" s="20"/>
      <c r="AC83" s="20"/>
      <c r="AD83" s="20"/>
      <c r="AE83" s="80"/>
      <c r="AF83" s="43" t="e">
        <v>#DIV/0!</v>
      </c>
      <c r="AG83" s="43" t="e">
        <v>#DIV/0!</v>
      </c>
      <c r="AH83" s="43" t="e">
        <v>#DIV/0!</v>
      </c>
      <c r="AI83" s="43">
        <v>1.0777639738085874E-2</v>
      </c>
      <c r="AJ83" s="43">
        <v>1.2684672438553212E-2</v>
      </c>
      <c r="AK83" s="43" cm="1">
        <f t="array" ref="AK83">_xlfn.XLOOKUP(C83,Dados!$C$3:$C$329,Dados!$Z$3:'Dados'!$Z$329,"")</f>
        <v>5.7985958956505703</v>
      </c>
      <c r="AL83" s="43" cm="1">
        <f t="array" ref="AL83">_xlfn.XLOOKUP(C83,Dados!$C$3:$C$329,Dados!$AA$3:'Dados'!$AA$329,"")</f>
        <v>5.82577603844096</v>
      </c>
      <c r="AM83" s="43" cm="1">
        <f t="array" ref="AM83">_xlfn.XLOOKUP(C83,Dados!$C$3:$C$329,Dados!$AB$3:'Dados'!$AB$329,"")</f>
        <v>6.1078960213742102</v>
      </c>
      <c r="AN83" s="43" cm="1">
        <f t="array" ref="AN83">_xlfn.XLOOKUP(C83,Dados!$C$3:$C$329,Dados!$AC$3:'Dados'!$AC$329,"")</f>
        <v>4.3362323971812602</v>
      </c>
      <c r="AO83" s="82" cm="1">
        <f t="array" ref="AO83">_xlfn.XLOOKUP(C83,Dados!$C$3:$C$329,Dados!$AD$3:'Dados'!$AD$329,"")</f>
        <v>3.9038622462624102</v>
      </c>
    </row>
    <row r="84" spans="1:41" ht="51" x14ac:dyDescent="0.25">
      <c r="A84" s="6">
        <v>250</v>
      </c>
      <c r="B84" s="3" t="s">
        <v>191</v>
      </c>
      <c r="C84" s="8" t="s">
        <v>192</v>
      </c>
      <c r="D84" s="8" t="s">
        <v>184</v>
      </c>
      <c r="E84" s="8" t="s">
        <v>141</v>
      </c>
      <c r="F84" s="72">
        <f>_xlfn.XLOOKUP(C84,Dados!$C$3:$C$329,Dados!$D$3:$D$329,"")</f>
        <v>18</v>
      </c>
      <c r="G84" s="86">
        <f>_xlfn.XLOOKUP(C84,Dados!$C$3:$C$329,Dados!$E$3:$E$329,"")</f>
        <v>290403</v>
      </c>
      <c r="H84" s="71">
        <f>_xlfn.XLOOKUP(C84,Dados!$C$3:$C$329,Dados!$F$3:$F$329,"")</f>
        <v>296290.66666666669</v>
      </c>
      <c r="I84" s="71">
        <f>_xlfn.XLOOKUP(C84,Dados!$C$3:$C$329,Dados!$G$3:$G$329,"")</f>
        <v>302178.33333333331</v>
      </c>
      <c r="J84" s="71">
        <f>_xlfn.XLOOKUP(C84,Dados!$C$3:$C$329,Dados!$H$3:$H$329,"")</f>
        <v>308066</v>
      </c>
      <c r="K84" s="71">
        <f>_xlfn.XLOOKUP(C84,Dados!$C$3:$C$329,Dados!$I$3:$I$329,"")</f>
        <v>307273</v>
      </c>
      <c r="L84" s="71">
        <f>_xlfn.XLOOKUP(C84,Dados!$C$3:$C$329,Dados!$J$3:$J$329,"")</f>
        <v>14</v>
      </c>
      <c r="M84" s="72" t="str">
        <f>_xlfn.XLOOKUP(C84,Dados!$C$3:$C$329,Dados!$K$3:$K$329,"")</f>
        <v>Sul</v>
      </c>
      <c r="N84" s="71">
        <f>_xlfn.XLOOKUP(C84,Dados!$C$3:$C$329,Dados!$L$3:$L$329,"")</f>
        <v>25</v>
      </c>
      <c r="O84" s="43">
        <f>_xlfn.XLOOKUP(C84,Dados!$C$3:$C$329,Dados!$M$3:$M$329,"")</f>
        <v>0.62934696919241495</v>
      </c>
      <c r="P84" s="43">
        <f>_xlfn.XLOOKUP(C84,Dados!$C$3:$C$329,Dados!$N$3:$N$329,"")</f>
        <v>0.60489625883170495</v>
      </c>
      <c r="Q84" s="43">
        <f>_xlfn.XLOOKUP(C84,Dados!$C$3:$C$329,Dados!$O$3:$O$329,"")</f>
        <v>0.57582817675433196</v>
      </c>
      <c r="R84" s="43">
        <f>_xlfn.XLOOKUP(C84,Dados!$C$3:$C$329,Dados!$P$3:$P$329,"")</f>
        <v>0.56266127645448805</v>
      </c>
      <c r="S84" s="43">
        <f>_xlfn.XLOOKUP(C84,Dados!$C$3:$C$329,Dados!$Q$3:$Q$329,"")</f>
        <v>0.63624598642082197</v>
      </c>
      <c r="T84" s="43">
        <f>_xlfn.XLOOKUP(C84,Dados!$C$3:$C$329,Dados!$R$3:$R$329,"")</f>
        <v>0.73444942776616495</v>
      </c>
      <c r="U84" s="43">
        <f>_xlfn.XLOOKUP(C84,Dados!$C$3:$C$329,Dados!$S$3:$S$329,"")</f>
        <v>0.8886932335762</v>
      </c>
      <c r="V84" s="77">
        <f>_xlfn.XLOOKUP(C84,Dados!$C$3:$C$329,Dados!$T$3:$T$329,"")</f>
        <v>1245.6136458645401</v>
      </c>
      <c r="W84" s="77">
        <f>_xlfn.XLOOKUP(C84,Dados!$C$3:$C$329,Dados!$U$3:$U$329,"")</f>
        <v>1005.85014540901</v>
      </c>
      <c r="X84" s="77">
        <f>_xlfn.XLOOKUP(C84,Dados!$C$3:$C$329,Dados!$V$3:$V$329,"")</f>
        <v>883.78894564467998</v>
      </c>
      <c r="Y84" s="77">
        <f>_xlfn.XLOOKUP(C84,Dados!$C$3:$C$329,Dados!$W$3:$W$329,"")</f>
        <v>720.07478838950101</v>
      </c>
      <c r="Z84" s="77">
        <f>_xlfn.XLOOKUP(C84,Dados!$C$3:$C$329,Dados!$X$3:$X$329,"")</f>
        <v>669.37317984333197</v>
      </c>
      <c r="AA84" s="20"/>
      <c r="AB84" s="20"/>
      <c r="AC84" s="20"/>
      <c r="AD84" s="20"/>
      <c r="AE84" s="80"/>
      <c r="AF84" s="43" t="e">
        <v>#DIV/0!</v>
      </c>
      <c r="AG84" s="43">
        <v>0.37826059527897105</v>
      </c>
      <c r="AH84" s="43">
        <v>0.45469163112468114</v>
      </c>
      <c r="AI84" s="43">
        <v>0.1241660926018152</v>
      </c>
      <c r="AJ84" s="43">
        <v>3.9926931126474559E-2</v>
      </c>
      <c r="AK84" s="43" cm="1">
        <f t="array" ref="AK84">_xlfn.XLOOKUP(C84,Dados!$C$3:$C$329,Dados!$Z$3:'Dados'!$Z$329,"")</f>
        <v>3.0865452491881999</v>
      </c>
      <c r="AL84" s="43" cm="1">
        <f t="array" ref="AL84">_xlfn.XLOOKUP(C84,Dados!$C$3:$C$329,Dados!$AA$3:'Dados'!$AA$329,"")</f>
        <v>2.1119531271094099</v>
      </c>
      <c r="AM84" s="43" cm="1">
        <f t="array" ref="AM84">_xlfn.XLOOKUP(C84,Dados!$C$3:$C$329,Dados!$AB$3:'Dados'!$AB$329,"")</f>
        <v>2.3485767234580002</v>
      </c>
      <c r="AN84" s="43" cm="1">
        <f t="array" ref="AN84">_xlfn.XLOOKUP(C84,Dados!$C$3:$C$329,Dados!$AC$3:'Dados'!$AC$329,"")</f>
        <v>2.1466601312705702</v>
      </c>
      <c r="AO84" s="82" cm="1">
        <f t="array" ref="AO84">_xlfn.XLOOKUP(C84,Dados!$C$3:$C$329,Dados!$AD$3:'Dados'!$AD$329,"")</f>
        <v>2.4523241547418699</v>
      </c>
    </row>
    <row r="85" spans="1:41" ht="51" x14ac:dyDescent="0.25">
      <c r="A85" s="6">
        <v>254</v>
      </c>
      <c r="B85" s="3" t="s">
        <v>193</v>
      </c>
      <c r="C85" s="8" t="s">
        <v>194</v>
      </c>
      <c r="D85" s="8" t="s">
        <v>159</v>
      </c>
      <c r="E85" s="8" t="s">
        <v>141</v>
      </c>
      <c r="F85" s="72">
        <f>_xlfn.XLOOKUP(C85,Dados!$C$3:$C$329,Dados!$D$3:$D$329,"")</f>
        <v>27</v>
      </c>
      <c r="G85" s="86">
        <f>_xlfn.XLOOKUP(C85,Dados!$C$3:$C$329,Dados!$E$3:$E$329,"")</f>
        <v>294066</v>
      </c>
      <c r="H85" s="71">
        <f>_xlfn.XLOOKUP(C85,Dados!$C$3:$C$329,Dados!$F$3:$F$329,"")</f>
        <v>291997.66666666674</v>
      </c>
      <c r="I85" s="71">
        <f>_xlfn.XLOOKUP(C85,Dados!$C$3:$C$329,Dados!$G$3:$G$329,"")</f>
        <v>289929.33333333326</v>
      </c>
      <c r="J85" s="71">
        <f>_xlfn.XLOOKUP(C85,Dados!$C$3:$C$329,Dados!$H$3:$H$329,"")</f>
        <v>287861</v>
      </c>
      <c r="K85" s="71">
        <f>_xlfn.XLOOKUP(C85,Dados!$C$3:$C$329,Dados!$I$3:$I$329,"")</f>
        <v>286287</v>
      </c>
      <c r="L85" s="71">
        <f>_xlfn.XLOOKUP(C85,Dados!$C$3:$C$329,Dados!$J$3:$J$329,"")</f>
        <v>19</v>
      </c>
      <c r="M85" s="72" t="str">
        <f>_xlfn.XLOOKUP(C85,Dados!$C$3:$C$329,Dados!$K$3:$K$329,"")</f>
        <v>Sul</v>
      </c>
      <c r="N85" s="71">
        <f>_xlfn.XLOOKUP(C85,Dados!$C$3:$C$329,Dados!$L$3:$L$329,"")</f>
        <v>1</v>
      </c>
      <c r="O85" s="43">
        <f>_xlfn.XLOOKUP(C85,Dados!$C$3:$C$329,Dados!$M$3:$M$329,"")</f>
        <v>0.67970464079050796</v>
      </c>
      <c r="P85" s="43">
        <f>_xlfn.XLOOKUP(C85,Dados!$C$3:$C$329,Dados!$N$3:$N$329,"")</f>
        <v>0.65079203254126305</v>
      </c>
      <c r="Q85" s="43">
        <f>_xlfn.XLOOKUP(C85,Dados!$C$3:$C$329,Dados!$O$3:$O$329,"")</f>
        <v>0.624918425212168</v>
      </c>
      <c r="R85" s="43">
        <f>_xlfn.XLOOKUP(C85,Dados!$C$3:$C$329,Dados!$P$3:$P$329,"")</f>
        <v>0.61466668867255603</v>
      </c>
      <c r="S85" s="43">
        <f>_xlfn.XLOOKUP(C85,Dados!$C$3:$C$329,Dados!$Q$3:$Q$329,"")</f>
        <v>0.28174667551173399</v>
      </c>
      <c r="T85" s="43">
        <f>_xlfn.XLOOKUP(C85,Dados!$C$3:$C$329,Dados!$R$3:$R$329,"")</f>
        <v>0.68078891454009505</v>
      </c>
      <c r="U85" s="43">
        <f>_xlfn.XLOOKUP(C85,Dados!$C$3:$C$329,Dados!$S$3:$S$329,"")</f>
        <v>0.84812409437702097</v>
      </c>
      <c r="V85" s="77">
        <f>_xlfn.XLOOKUP(C85,Dados!$C$3:$C$329,Dados!$T$3:$T$329,"")</f>
        <v>1592.21736991016</v>
      </c>
      <c r="W85" s="77">
        <f>_xlfn.XLOOKUP(C85,Dados!$C$3:$C$329,Dados!$U$3:$U$329,"")</f>
        <v>1400.20868826577</v>
      </c>
      <c r="X85" s="77">
        <f>_xlfn.XLOOKUP(C85,Dados!$C$3:$C$329,Dados!$V$3:$V$329,"")</f>
        <v>1231.25832117712</v>
      </c>
      <c r="Y85" s="77">
        <f>_xlfn.XLOOKUP(C85,Dados!$C$3:$C$329,Dados!$W$3:$W$329,"")</f>
        <v>1056.94749795908</v>
      </c>
      <c r="Z85" s="77">
        <f>_xlfn.XLOOKUP(C85,Dados!$C$3:$C$329,Dados!$X$3:$X$329,"")</f>
        <v>1024.9917752465201</v>
      </c>
      <c r="AA85" s="20"/>
      <c r="AB85" s="20"/>
      <c r="AC85" s="20"/>
      <c r="AD85" s="20"/>
      <c r="AE85" s="80"/>
      <c r="AF85" s="43" t="e">
        <v>#DIV/0!</v>
      </c>
      <c r="AG85" s="43" t="e">
        <v>#DIV/0!</v>
      </c>
      <c r="AH85" s="43" t="e">
        <v>#DIV/0!</v>
      </c>
      <c r="AI85" s="43">
        <v>3.7371529338011564E-2</v>
      </c>
      <c r="AJ85" s="43">
        <v>4.0613342397296928E-2</v>
      </c>
      <c r="AK85" s="43" cm="1">
        <f t="array" ref="AK85">_xlfn.XLOOKUP(C85,Dados!$C$3:$C$329,Dados!$Z$3:'Dados'!$Z$329,"")</f>
        <v>12.916851999211101</v>
      </c>
      <c r="AL85" s="43" cm="1">
        <f t="array" ref="AL85">_xlfn.XLOOKUP(C85,Dados!$C$3:$C$329,Dados!$AA$3:'Dados'!$AA$329,"")</f>
        <v>10.974673313599499</v>
      </c>
      <c r="AM85" s="43" cm="1">
        <f t="array" ref="AM85">_xlfn.XLOOKUP(C85,Dados!$C$3:$C$329,Dados!$AB$3:'Dados'!$AB$329,"")</f>
        <v>12.357290512170801</v>
      </c>
      <c r="AN85" s="43" cm="1">
        <f t="array" ref="AN85">_xlfn.XLOOKUP(C85,Dados!$C$3:$C$329,Dados!$AC$3:'Dados'!$AC$329,"")</f>
        <v>9.4345534824099104</v>
      </c>
      <c r="AO85" s="82" cm="1">
        <f t="array" ref="AO85">_xlfn.XLOOKUP(C85,Dados!$C$3:$C$329,Dados!$AD$3:'Dados'!$AD$329,"")</f>
        <v>7.3920646064962803</v>
      </c>
    </row>
    <row r="86" spans="1:41" ht="51" x14ac:dyDescent="0.25">
      <c r="A86" s="6">
        <v>302</v>
      </c>
      <c r="B86" s="3" t="s">
        <v>195</v>
      </c>
      <c r="C86" s="8" t="s">
        <v>196</v>
      </c>
      <c r="D86" s="8" t="s">
        <v>140</v>
      </c>
      <c r="E86" s="8" t="s">
        <v>141</v>
      </c>
      <c r="F86" s="72">
        <f>_xlfn.XLOOKUP(C86,Dados!$C$3:$C$329,Dados!$D$3:$D$329,"")</f>
        <v>29</v>
      </c>
      <c r="G86" s="86">
        <f>_xlfn.XLOOKUP(C86,Dados!$C$3:$C$329,Dados!$E$3:$E$329,"")</f>
        <v>410246</v>
      </c>
      <c r="H86" s="71">
        <f>_xlfn.XLOOKUP(C86,Dados!$C$3:$C$329,Dados!$F$3:$F$329,"")</f>
        <v>406798.33333333326</v>
      </c>
      <c r="I86" s="71">
        <f>_xlfn.XLOOKUP(C86,Dados!$C$3:$C$329,Dados!$G$3:$G$329,"")</f>
        <v>403350.66666666674</v>
      </c>
      <c r="J86" s="71">
        <f>_xlfn.XLOOKUP(C86,Dados!$C$3:$C$329,Dados!$H$3:$H$329,"")</f>
        <v>399903</v>
      </c>
      <c r="K86" s="71">
        <f>_xlfn.XLOOKUP(C86,Dados!$C$3:$C$329,Dados!$I$3:$I$329,"")</f>
        <v>399401</v>
      </c>
      <c r="L86" s="71">
        <f>_xlfn.XLOOKUP(C86,Dados!$C$3:$C$329,Dados!$J$3:$J$329,"")</f>
        <v>25</v>
      </c>
      <c r="M86" s="72" t="str">
        <f>_xlfn.XLOOKUP(C86,Dados!$C$3:$C$329,Dados!$K$3:$K$329,"")</f>
        <v>Sul</v>
      </c>
      <c r="N86" s="71">
        <f>_xlfn.XLOOKUP(C86,Dados!$C$3:$C$329,Dados!$L$3:$L$329,"")</f>
        <v>1</v>
      </c>
      <c r="O86" s="43">
        <f>_xlfn.XLOOKUP(C86,Dados!$C$3:$C$329,Dados!$M$3:$M$329,"")</f>
        <v>0.68787968854346404</v>
      </c>
      <c r="P86" s="43">
        <f>_xlfn.XLOOKUP(C86,Dados!$C$3:$C$329,Dados!$N$3:$N$329,"")</f>
        <v>0.65890469252561001</v>
      </c>
      <c r="Q86" s="43">
        <f>_xlfn.XLOOKUP(C86,Dados!$C$3:$C$329,Dados!$O$3:$O$329,"")</f>
        <v>0.64474417896339897</v>
      </c>
      <c r="R86" s="43">
        <f>_xlfn.XLOOKUP(C86,Dados!$C$3:$C$329,Dados!$P$3:$P$329,"")</f>
        <v>0.61924350439783604</v>
      </c>
      <c r="S86" s="43">
        <f>_xlfn.XLOOKUP(C86,Dados!$C$3:$C$329,Dados!$Q$3:$Q$329,"")</f>
        <v>0.29676495596883401</v>
      </c>
      <c r="T86" s="43">
        <f>_xlfn.XLOOKUP(C86,Dados!$C$3:$C$329,Dados!$R$3:$R$329,"")</f>
        <v>0.74976573948888103</v>
      </c>
      <c r="U86" s="43">
        <f>_xlfn.XLOOKUP(C86,Dados!$C$3:$C$329,Dados!$S$3:$S$329,"")</f>
        <v>0.855260030312747</v>
      </c>
      <c r="V86" s="77">
        <f>_xlfn.XLOOKUP(C86,Dados!$C$3:$C$329,Dados!$T$3:$T$329,"")</f>
        <v>1720.30508931227</v>
      </c>
      <c r="W86" s="77">
        <f>_xlfn.XLOOKUP(C86,Dados!$C$3:$C$329,Dados!$U$3:$U$329,"")</f>
        <v>1380.3985742157299</v>
      </c>
      <c r="X86" s="77">
        <f>_xlfn.XLOOKUP(C86,Dados!$C$3:$C$329,Dados!$V$3:$V$329,"")</f>
        <v>1404.57146171404</v>
      </c>
      <c r="Y86" s="77">
        <f>_xlfn.XLOOKUP(C86,Dados!$C$3:$C$329,Dados!$W$3:$W$329,"")</f>
        <v>1162.38558755498</v>
      </c>
      <c r="Z86" s="77">
        <f>_xlfn.XLOOKUP(C86,Dados!$C$3:$C$329,Dados!$X$3:$X$329,"")</f>
        <v>972.82894659753003</v>
      </c>
      <c r="AA86" s="20"/>
      <c r="AB86" s="20"/>
      <c r="AC86" s="20"/>
      <c r="AD86" s="20"/>
      <c r="AE86" s="80"/>
      <c r="AF86" s="43">
        <v>0.12519686742624053</v>
      </c>
      <c r="AG86" s="43">
        <v>0.14788714732437652</v>
      </c>
      <c r="AH86" s="43">
        <v>0.17404527298898803</v>
      </c>
      <c r="AI86" s="43" t="e">
        <v>#DIV/0!</v>
      </c>
      <c r="AJ86" s="43">
        <v>0.23447674680999819</v>
      </c>
      <c r="AK86" s="43" cm="1">
        <f t="array" ref="AK86">_xlfn.XLOOKUP(C86,Dados!$C$3:$C$329,Dados!$Z$3:'Dados'!$Z$329,"")</f>
        <v>8.0279344588368904</v>
      </c>
      <c r="AL86" s="43" cm="1">
        <f t="array" ref="AL86">_xlfn.XLOOKUP(C86,Dados!$C$3:$C$329,Dados!$AA$3:'Dados'!$AA$329,"")</f>
        <v>7.7758012774552503</v>
      </c>
      <c r="AM86" s="43" cm="1">
        <f t="array" ref="AM86">_xlfn.XLOOKUP(C86,Dados!$C$3:$C$329,Dados!$AB$3:'Dados'!$AB$329,"")</f>
        <v>7.3426530430097197</v>
      </c>
      <c r="AN86" s="43" cm="1">
        <f t="array" ref="AN86">_xlfn.XLOOKUP(C86,Dados!$C$3:$C$329,Dados!$AC$3:'Dados'!$AC$329,"")</f>
        <v>5.5000187545479804</v>
      </c>
      <c r="AO86" s="82" cm="1">
        <f t="array" ref="AO86">_xlfn.XLOOKUP(C86,Dados!$C$3:$C$329,Dados!$AD$3:'Dados'!$AD$329,"")</f>
        <v>4.8945821367497802</v>
      </c>
    </row>
    <row r="87" spans="1:41" ht="63.75" x14ac:dyDescent="0.25">
      <c r="A87" s="6">
        <v>303</v>
      </c>
      <c r="B87" s="3" t="s">
        <v>197</v>
      </c>
      <c r="C87" s="8" t="s">
        <v>198</v>
      </c>
      <c r="D87" s="8" t="s">
        <v>140</v>
      </c>
      <c r="E87" s="8" t="s">
        <v>141</v>
      </c>
      <c r="F87" s="72">
        <f>_xlfn.XLOOKUP(C87,Dados!$C$3:$C$329,Dados!$D$3:$D$329,"")</f>
        <v>30</v>
      </c>
      <c r="G87" s="86">
        <f>_xlfn.XLOOKUP(C87,Dados!$C$3:$C$329,Dados!$E$3:$E$329,"")</f>
        <v>1012418</v>
      </c>
      <c r="H87" s="71">
        <f>_xlfn.XLOOKUP(C87,Dados!$C$3:$C$329,Dados!$F$3:$F$329,"")</f>
        <v>1015963.6666666667</v>
      </c>
      <c r="I87" s="71">
        <f>_xlfn.XLOOKUP(C87,Dados!$C$3:$C$329,Dados!$G$3:$G$329,"")</f>
        <v>1019509.3333333333</v>
      </c>
      <c r="J87" s="71">
        <f>_xlfn.XLOOKUP(C87,Dados!$C$3:$C$329,Dados!$H$3:$H$329,"")</f>
        <v>1023055</v>
      </c>
      <c r="K87" s="71">
        <f>_xlfn.XLOOKUP(C87,Dados!$C$3:$C$329,Dados!$I$3:$I$329,"")</f>
        <v>1014858</v>
      </c>
      <c r="L87" s="71">
        <f>_xlfn.XLOOKUP(C87,Dados!$C$3:$C$329,Dados!$J$3:$J$329,"")</f>
        <v>21</v>
      </c>
      <c r="M87" s="72" t="str">
        <f>_xlfn.XLOOKUP(C87,Dados!$C$3:$C$329,Dados!$K$3:$K$329,"")</f>
        <v>Sul</v>
      </c>
      <c r="N87" s="71">
        <f>_xlfn.XLOOKUP(C87,Dados!$C$3:$C$329,Dados!$L$3:$L$329,"")</f>
        <v>1</v>
      </c>
      <c r="O87" s="43">
        <f>_xlfn.XLOOKUP(C87,Dados!$C$3:$C$329,Dados!$M$3:$M$329,"")</f>
        <v>0.79950066459069502</v>
      </c>
      <c r="P87" s="43">
        <f>_xlfn.XLOOKUP(C87,Dados!$C$3:$C$329,Dados!$N$3:$N$329,"")</f>
        <v>0.77642674355114605</v>
      </c>
      <c r="Q87" s="43">
        <f>_xlfn.XLOOKUP(C87,Dados!$C$3:$C$329,Dados!$O$3:$O$329,"")</f>
        <v>0.76658031317964304</v>
      </c>
      <c r="R87" s="43">
        <f>_xlfn.XLOOKUP(C87,Dados!$C$3:$C$329,Dados!$P$3:$P$329,"")</f>
        <v>0.73412519682556598</v>
      </c>
      <c r="S87" s="43">
        <f>_xlfn.XLOOKUP(C87,Dados!$C$3:$C$329,Dados!$Q$3:$Q$329,"")</f>
        <v>0.84903339554190804</v>
      </c>
      <c r="T87" s="43">
        <f>_xlfn.XLOOKUP(C87,Dados!$C$3:$C$329,Dados!$R$3:$R$329,"")</f>
        <v>0.94466821529834</v>
      </c>
      <c r="U87" s="43">
        <f>_xlfn.XLOOKUP(C87,Dados!$C$3:$C$329,Dados!$S$3:$S$329,"")</f>
        <v>0.97826781860424294</v>
      </c>
      <c r="V87" s="77">
        <f>_xlfn.XLOOKUP(C87,Dados!$C$3:$C$329,Dados!$T$3:$T$329,"")</f>
        <v>1765.6108791526799</v>
      </c>
      <c r="W87" s="77">
        <f>_xlfn.XLOOKUP(C87,Dados!$C$3:$C$329,Dados!$U$3:$U$329,"")</f>
        <v>1516.7671211470499</v>
      </c>
      <c r="X87" s="77">
        <f>_xlfn.XLOOKUP(C87,Dados!$C$3:$C$329,Dados!$V$3:$V$329,"")</f>
        <v>1338.6201304843401</v>
      </c>
      <c r="Y87" s="77">
        <f>_xlfn.XLOOKUP(C87,Dados!$C$3:$C$329,Dados!$W$3:$W$329,"")</f>
        <v>1275.1237834133999</v>
      </c>
      <c r="Z87" s="77">
        <f>_xlfn.XLOOKUP(C87,Dados!$C$3:$C$329,Dados!$X$3:$X$329,"")</f>
        <v>1188.81107024825</v>
      </c>
      <c r="AA87" s="20"/>
      <c r="AB87" s="20"/>
      <c r="AC87" s="20"/>
      <c r="AD87" s="20"/>
      <c r="AE87" s="80"/>
      <c r="AF87" s="43">
        <v>0.15390403622463336</v>
      </c>
      <c r="AG87" s="43">
        <v>0.15883742721058255</v>
      </c>
      <c r="AH87" s="43">
        <v>0.19053437153586772</v>
      </c>
      <c r="AI87" s="43">
        <v>0.22650314375141853</v>
      </c>
      <c r="AJ87" s="43">
        <v>0.27171653592754108</v>
      </c>
      <c r="AK87" s="43" cm="1">
        <f t="array" ref="AK87">_xlfn.XLOOKUP(C87,Dados!$C$3:$C$329,Dados!$Z$3:'Dados'!$Z$329,"")</f>
        <v>14.6385633206837</v>
      </c>
      <c r="AL87" s="43" cm="1">
        <f t="array" ref="AL87">_xlfn.XLOOKUP(C87,Dados!$C$3:$C$329,Dados!$AA$3:'Dados'!$AA$329,"")</f>
        <v>14.422503954373701</v>
      </c>
      <c r="AM87" s="43" cm="1">
        <f t="array" ref="AM87">_xlfn.XLOOKUP(C87,Dados!$C$3:$C$329,Dados!$AB$3:'Dados'!$AB$329,"")</f>
        <v>13.4715794656776</v>
      </c>
      <c r="AN87" s="43" cm="1">
        <f t="array" ref="AN87">_xlfn.XLOOKUP(C87,Dados!$C$3:$C$329,Dados!$AC$3:'Dados'!$AC$329,"")</f>
        <v>10.843422885377599</v>
      </c>
      <c r="AO87" s="82" cm="1">
        <f t="array" ref="AO87">_xlfn.XLOOKUP(C87,Dados!$C$3:$C$329,Dados!$AD$3:'Dados'!$AD$329,"")</f>
        <v>10.9728287110118</v>
      </c>
    </row>
    <row r="88" spans="1:41" ht="63.75" x14ac:dyDescent="0.25">
      <c r="A88" s="6">
        <v>304</v>
      </c>
      <c r="B88" s="3" t="s">
        <v>199</v>
      </c>
      <c r="C88" s="8" t="s">
        <v>200</v>
      </c>
      <c r="D88" s="8" t="s">
        <v>140</v>
      </c>
      <c r="E88" s="8" t="s">
        <v>141</v>
      </c>
      <c r="F88" s="72">
        <f>_xlfn.XLOOKUP(C88,Dados!$C$3:$C$329,Dados!$D$3:$D$329,"")</f>
        <v>27</v>
      </c>
      <c r="G88" s="86">
        <f>_xlfn.XLOOKUP(C88,Dados!$C$3:$C$329,Dados!$E$3:$E$329,"")</f>
        <v>71065</v>
      </c>
      <c r="H88" s="71">
        <f>_xlfn.XLOOKUP(C88,Dados!$C$3:$C$329,Dados!$F$3:$F$329,"")</f>
        <v>70155.333333333343</v>
      </c>
      <c r="I88" s="71">
        <f>_xlfn.XLOOKUP(C88,Dados!$C$3:$C$329,Dados!$G$3:$G$329,"")</f>
        <v>69245.666666666672</v>
      </c>
      <c r="J88" s="71">
        <f>_xlfn.XLOOKUP(C88,Dados!$C$3:$C$329,Dados!$H$3:$H$329,"")</f>
        <v>68336</v>
      </c>
      <c r="K88" s="71">
        <f>_xlfn.XLOOKUP(C88,Dados!$C$3:$C$329,Dados!$I$3:$I$329,"")</f>
        <v>68447</v>
      </c>
      <c r="L88" s="71">
        <f>_xlfn.XLOOKUP(C88,Dados!$C$3:$C$329,Dados!$J$3:$J$329,"")</f>
        <v>6</v>
      </c>
      <c r="M88" s="72" t="str">
        <f>_xlfn.XLOOKUP(C88,Dados!$C$3:$C$329,Dados!$K$3:$K$329,"")</f>
        <v>Sul</v>
      </c>
      <c r="N88" s="71">
        <f>_xlfn.XLOOKUP(C88,Dados!$C$3:$C$329,Dados!$L$3:$L$329,"")</f>
        <v>1</v>
      </c>
      <c r="O88" s="43">
        <f>_xlfn.XLOOKUP(C88,Dados!$C$3:$C$329,Dados!$M$3:$M$329,"")</f>
        <v>0.65409558028375103</v>
      </c>
      <c r="P88" s="43">
        <f>_xlfn.XLOOKUP(C88,Dados!$C$3:$C$329,Dados!$N$3:$N$329,"")</f>
        <v>0.64180290222733505</v>
      </c>
      <c r="Q88" s="43">
        <f>_xlfn.XLOOKUP(C88,Dados!$C$3:$C$329,Dados!$O$3:$O$329,"")</f>
        <v>0.61132645604073999</v>
      </c>
      <c r="R88" s="43">
        <f>_xlfn.XLOOKUP(C88,Dados!$C$3:$C$329,Dados!$P$3:$P$329,"")</f>
        <v>0.57813166975908403</v>
      </c>
      <c r="S88" s="43">
        <f>_xlfn.XLOOKUP(C88,Dados!$C$3:$C$329,Dados!$Q$3:$Q$329,"")</f>
        <v>0.25096735246970903</v>
      </c>
      <c r="T88" s="43">
        <f>_xlfn.XLOOKUP(C88,Dados!$C$3:$C$329,Dados!$R$3:$R$329,"")</f>
        <v>0.63194869185556701</v>
      </c>
      <c r="U88" s="43">
        <f>_xlfn.XLOOKUP(C88,Dados!$C$3:$C$329,Dados!$S$3:$S$329,"")</f>
        <v>0.66375209279040304</v>
      </c>
      <c r="V88" s="77">
        <f>_xlfn.XLOOKUP(C88,Dados!$C$3:$C$329,Dados!$T$3:$T$329,"")</f>
        <v>1614.16465756702</v>
      </c>
      <c r="W88" s="77">
        <f>_xlfn.XLOOKUP(C88,Dados!$C$3:$C$329,Dados!$U$3:$U$329,"")</f>
        <v>1255.40164587154</v>
      </c>
      <c r="X88" s="77">
        <f>_xlfn.XLOOKUP(C88,Dados!$C$3:$C$329,Dados!$V$3:$V$329,"")</f>
        <v>1112.5802339015199</v>
      </c>
      <c r="Y88" s="77">
        <f>_xlfn.XLOOKUP(C88,Dados!$C$3:$C$329,Dados!$W$3:$W$329,"")</f>
        <v>888.76443148560099</v>
      </c>
      <c r="Z88" s="77">
        <f>_xlfn.XLOOKUP(C88,Dados!$C$3:$C$329,Dados!$X$3:$X$329,"")</f>
        <v>773.294771575087</v>
      </c>
      <c r="AA88" s="20"/>
      <c r="AB88" s="20"/>
      <c r="AC88" s="20"/>
      <c r="AD88" s="20"/>
      <c r="AE88" s="80"/>
      <c r="AF88" s="43">
        <v>7.3123459594711671E-2</v>
      </c>
      <c r="AG88" s="43">
        <v>8.3219786645489083E-2</v>
      </c>
      <c r="AH88" s="43">
        <v>9.8182474379253981E-2</v>
      </c>
      <c r="AI88" s="43">
        <v>0.12845174479111779</v>
      </c>
      <c r="AJ88" s="43">
        <v>0.14645780279005069</v>
      </c>
      <c r="AK88" s="43" cm="1">
        <f t="array" ref="AK88">_xlfn.XLOOKUP(C88,Dados!$C$3:$C$329,Dados!$Z$3:'Dados'!$Z$329,"")</f>
        <v>1.87756279462464</v>
      </c>
      <c r="AL88" s="43" cm="1">
        <f t="array" ref="AL88">_xlfn.XLOOKUP(C88,Dados!$C$3:$C$329,Dados!$AA$3:'Dados'!$AA$329,"")</f>
        <v>1.8071184894472301</v>
      </c>
      <c r="AM88" s="43" cm="1">
        <f t="array" ref="AM88">_xlfn.XLOOKUP(C88,Dados!$C$3:$C$329,Dados!$AB$3:'Dados'!$AB$329,"")</f>
        <v>1.75187857723949</v>
      </c>
      <c r="AN88" s="43" cm="1">
        <f t="array" ref="AN88">_xlfn.XLOOKUP(C88,Dados!$C$3:$C$329,Dados!$AC$3:'Dados'!$AC$329,"")</f>
        <v>2.8153535471786499</v>
      </c>
      <c r="AO88" s="82" cm="1">
        <f t="array" ref="AO88">_xlfn.XLOOKUP(C88,Dados!$C$3:$C$329,Dados!$AD$3:'Dados'!$AD$329,"")</f>
        <v>2.7509605972504301</v>
      </c>
    </row>
    <row r="89" spans="1:41" ht="63.75" x14ac:dyDescent="0.25">
      <c r="A89" s="6">
        <v>307</v>
      </c>
      <c r="B89" s="3" t="s">
        <v>201</v>
      </c>
      <c r="C89" s="8" t="s">
        <v>202</v>
      </c>
      <c r="D89" s="8" t="s">
        <v>184</v>
      </c>
      <c r="E89" s="8" t="s">
        <v>141</v>
      </c>
      <c r="F89" s="72">
        <f>_xlfn.XLOOKUP(C89,Dados!$C$3:$C$329,Dados!$D$3:$D$329,"")</f>
        <v>9</v>
      </c>
      <c r="G89" s="86">
        <f>_xlfn.XLOOKUP(C89,Dados!$C$3:$C$329,Dados!$E$3:$E$329,"")</f>
        <v>592908</v>
      </c>
      <c r="H89" s="71">
        <f>_xlfn.XLOOKUP(C89,Dados!$C$3:$C$329,Dados!$F$3:$F$329,"")</f>
        <v>593926</v>
      </c>
      <c r="I89" s="71">
        <f>_xlfn.XLOOKUP(C89,Dados!$C$3:$C$329,Dados!$G$3:$G$329,"")</f>
        <v>594944</v>
      </c>
      <c r="J89" s="71">
        <f>_xlfn.XLOOKUP(C89,Dados!$C$3:$C$329,Dados!$H$3:$H$329,"")</f>
        <v>595962</v>
      </c>
      <c r="K89" s="71">
        <f>_xlfn.XLOOKUP(C89,Dados!$C$3:$C$329,Dados!$I$3:$I$329,"")</f>
        <v>597167</v>
      </c>
      <c r="L89" s="71">
        <f>_xlfn.XLOOKUP(C89,Dados!$C$3:$C$329,Dados!$J$3:$J$329,"")</f>
        <v>16</v>
      </c>
      <c r="M89" s="72" t="str">
        <f>_xlfn.XLOOKUP(C89,Dados!$C$3:$C$329,Dados!$K$3:$K$329,"")</f>
        <v>Sul</v>
      </c>
      <c r="N89" s="71">
        <f>_xlfn.XLOOKUP(C89,Dados!$C$3:$C$329,Dados!$L$3:$L$329,"")</f>
        <v>10</v>
      </c>
      <c r="O89" s="43">
        <f>_xlfn.XLOOKUP(C89,Dados!$C$3:$C$329,Dados!$M$3:$M$329,"")</f>
        <v>0.63502396033624797</v>
      </c>
      <c r="P89" s="43">
        <f>_xlfn.XLOOKUP(C89,Dados!$C$3:$C$329,Dados!$N$3:$N$329,"")</f>
        <v>0.60926107135013297</v>
      </c>
      <c r="Q89" s="43">
        <f>_xlfn.XLOOKUP(C89,Dados!$C$3:$C$329,Dados!$O$3:$O$329,"")</f>
        <v>0.58462263382564605</v>
      </c>
      <c r="R89" s="43">
        <f>_xlfn.XLOOKUP(C89,Dados!$C$3:$C$329,Dados!$P$3:$P$329,"")</f>
        <v>0.58641271587344901</v>
      </c>
      <c r="S89" s="43">
        <f>_xlfn.XLOOKUP(C89,Dados!$C$3:$C$329,Dados!$Q$3:$Q$329,"")</f>
        <v>0.72054656219745095</v>
      </c>
      <c r="T89" s="43">
        <f>_xlfn.XLOOKUP(C89,Dados!$C$3:$C$329,Dados!$R$3:$R$329,"")</f>
        <v>0.88936102439893505</v>
      </c>
      <c r="U89" s="43">
        <f>_xlfn.XLOOKUP(C89,Dados!$C$3:$C$329,Dados!$S$3:$S$329,"")</f>
        <v>0.93251051482716596</v>
      </c>
      <c r="V89" s="77">
        <f>_xlfn.XLOOKUP(C89,Dados!$C$3:$C$329,Dados!$T$3:$T$329,"")</f>
        <v>1167.4639519453301</v>
      </c>
      <c r="W89" s="77">
        <f>_xlfn.XLOOKUP(C89,Dados!$C$3:$C$329,Dados!$U$3:$U$329,"")</f>
        <v>1022.48251209747</v>
      </c>
      <c r="X89" s="77">
        <f>_xlfn.XLOOKUP(C89,Dados!$C$3:$C$329,Dados!$V$3:$V$329,"")</f>
        <v>914.62917911041495</v>
      </c>
      <c r="Y89" s="77">
        <f>_xlfn.XLOOKUP(C89,Dados!$C$3:$C$329,Dados!$W$3:$W$329,"")</f>
        <v>762.81134218289105</v>
      </c>
      <c r="Z89" s="77">
        <f>_xlfn.XLOOKUP(C89,Dados!$C$3:$C$329,Dados!$X$3:$X$329,"")</f>
        <v>715.34513268482704</v>
      </c>
      <c r="AA89" s="20"/>
      <c r="AB89" s="20"/>
      <c r="AC89" s="20"/>
      <c r="AD89" s="20"/>
      <c r="AE89" s="80"/>
      <c r="AF89" s="43">
        <v>0.42212369907664954</v>
      </c>
      <c r="AG89" s="43" t="e">
        <v>#DIV/0!</v>
      </c>
      <c r="AH89" s="43" t="e">
        <v>#DIV/0!</v>
      </c>
      <c r="AI89" s="43" t="e">
        <v>#DIV/0!</v>
      </c>
      <c r="AJ89" s="43" t="e">
        <v>#DIV/0!</v>
      </c>
      <c r="AK89" s="43" cm="1">
        <f t="array" ref="AK89">_xlfn.XLOOKUP(C89,Dados!$C$3:$C$329,Dados!$Z$3:'Dados'!$Z$329,"")</f>
        <v>5.0119833093835799</v>
      </c>
      <c r="AL89" s="43" cm="1">
        <f t="array" ref="AL89">_xlfn.XLOOKUP(C89,Dados!$C$3:$C$329,Dados!$AA$3:'Dados'!$AA$329,"")</f>
        <v>5.09829507379707</v>
      </c>
      <c r="AM89" s="43" cm="1">
        <f t="array" ref="AM89">_xlfn.XLOOKUP(C89,Dados!$C$3:$C$329,Dados!$AB$3:'Dados'!$AB$329,"")</f>
        <v>5.3592304485800302</v>
      </c>
      <c r="AN89" s="43" cm="1">
        <f t="array" ref="AN89">_xlfn.XLOOKUP(C89,Dados!$C$3:$C$329,Dados!$AC$3:'Dados'!$AC$329,"")</f>
        <v>4.4647376846174804</v>
      </c>
      <c r="AO89" s="82" cm="1">
        <f t="array" ref="AO89">_xlfn.XLOOKUP(C89,Dados!$C$3:$C$329,Dados!$AD$3:'Dados'!$AD$329,"")</f>
        <v>3.3752484648348</v>
      </c>
    </row>
    <row r="90" spans="1:41" ht="76.5" x14ac:dyDescent="0.25">
      <c r="A90" s="6">
        <v>320</v>
      </c>
      <c r="B90" s="3" t="s">
        <v>203</v>
      </c>
      <c r="C90" s="8" t="s">
        <v>204</v>
      </c>
      <c r="D90" s="8" t="s">
        <v>140</v>
      </c>
      <c r="E90" s="8" t="s">
        <v>141</v>
      </c>
      <c r="F90" s="72">
        <f>_xlfn.XLOOKUP(C90,Dados!$C$3:$C$329,Dados!$D$3:$D$329,"")</f>
        <v>12</v>
      </c>
      <c r="G90" s="86">
        <f>_xlfn.XLOOKUP(C90,Dados!$C$3:$C$329,Dados!$E$3:$E$329,"")</f>
        <v>1332168</v>
      </c>
      <c r="H90" s="71">
        <f>_xlfn.XLOOKUP(C90,Dados!$C$3:$C$329,Dados!$F$3:$F$329,"")</f>
        <v>1313980.6666666667</v>
      </c>
      <c r="I90" s="71">
        <f>_xlfn.XLOOKUP(C90,Dados!$C$3:$C$329,Dados!$G$3:$G$329,"")</f>
        <v>1295793.333333333</v>
      </c>
      <c r="J90" s="71">
        <f>_xlfn.XLOOKUP(C90,Dados!$C$3:$C$329,Dados!$H$3:$H$329,"")</f>
        <v>1277606</v>
      </c>
      <c r="K90" s="71">
        <f>_xlfn.XLOOKUP(C90,Dados!$C$3:$C$329,Dados!$I$3:$I$329,"")</f>
        <v>1276128</v>
      </c>
      <c r="L90" s="71">
        <f>_xlfn.XLOOKUP(C90,Dados!$C$3:$C$329,Dados!$J$3:$J$329,"")</f>
        <v>100</v>
      </c>
      <c r="M90" s="72" t="str">
        <f>_xlfn.XLOOKUP(C90,Dados!$C$3:$C$329,Dados!$K$3:$K$329,"")</f>
        <v>Sul</v>
      </c>
      <c r="N90" s="71">
        <f>_xlfn.XLOOKUP(C90,Dados!$C$3:$C$329,Dados!$L$3:$L$329,"")</f>
        <v>1</v>
      </c>
      <c r="O90" s="43">
        <f>_xlfn.XLOOKUP(C90,Dados!$C$3:$C$329,Dados!$M$3:$M$329,"")</f>
        <v>0.69604600450742204</v>
      </c>
      <c r="P90" s="43">
        <f>_xlfn.XLOOKUP(C90,Dados!$C$3:$C$329,Dados!$N$3:$N$329,"")</f>
        <v>0.66945236285107201</v>
      </c>
      <c r="Q90" s="43">
        <f>_xlfn.XLOOKUP(C90,Dados!$C$3:$C$329,Dados!$O$3:$O$329,"")</f>
        <v>0.65723854028550299</v>
      </c>
      <c r="R90" s="43">
        <f>_xlfn.XLOOKUP(C90,Dados!$C$3:$C$329,Dados!$P$3:$P$329,"")</f>
        <v>0.63234044100591802</v>
      </c>
      <c r="S90" s="43">
        <f>_xlfn.XLOOKUP(C90,Dados!$C$3:$C$329,Dados!$Q$3:$Q$329,"")</f>
        <v>0.43103299754590502</v>
      </c>
      <c r="T90" s="43">
        <f>_xlfn.XLOOKUP(C90,Dados!$C$3:$C$329,Dados!$R$3:$R$329,"")</f>
        <v>0.80798458311253296</v>
      </c>
      <c r="U90" s="43">
        <f>_xlfn.XLOOKUP(C90,Dados!$C$3:$C$329,Dados!$S$3:$S$329,"")</f>
        <v>0.86955086793675995</v>
      </c>
      <c r="V90" s="77">
        <f>_xlfn.XLOOKUP(C90,Dados!$C$3:$C$329,Dados!$T$3:$T$329,"")</f>
        <v>2082.2786648756</v>
      </c>
      <c r="W90" s="77">
        <f>_xlfn.XLOOKUP(C90,Dados!$C$3:$C$329,Dados!$U$3:$U$329,"")</f>
        <v>1962.4350022045001</v>
      </c>
      <c r="X90" s="77">
        <f>_xlfn.XLOOKUP(C90,Dados!$C$3:$C$329,Dados!$V$3:$V$329,"")</f>
        <v>1646.9068050717999</v>
      </c>
      <c r="Y90" s="77">
        <f>_xlfn.XLOOKUP(C90,Dados!$C$3:$C$329,Dados!$W$3:$W$329,"")</f>
        <v>1335.24911243372</v>
      </c>
      <c r="Z90" s="77">
        <f>_xlfn.XLOOKUP(C90,Dados!$C$3:$C$329,Dados!$X$3:$X$329,"")</f>
        <v>1253.37653602146</v>
      </c>
      <c r="AA90" s="20"/>
      <c r="AB90" s="20"/>
      <c r="AC90" s="20"/>
      <c r="AD90" s="20"/>
      <c r="AE90" s="80"/>
      <c r="AF90" s="43">
        <v>0.77796899447205337</v>
      </c>
      <c r="AG90" s="43">
        <v>0.7989090808741155</v>
      </c>
      <c r="AH90" s="43">
        <v>0.78158815798618986</v>
      </c>
      <c r="AI90" s="43">
        <v>0.79187110459740273</v>
      </c>
      <c r="AJ90" s="43">
        <v>0.77293490004494236</v>
      </c>
      <c r="AK90" s="43" cm="1">
        <f t="array" ref="AK90">_xlfn.XLOOKUP(C90,Dados!$C$3:$C$329,Dados!$Z$3:'Dados'!$Z$329,"")</f>
        <v>14.8503717248876</v>
      </c>
      <c r="AL90" s="43" cm="1">
        <f t="array" ref="AL90">_xlfn.XLOOKUP(C90,Dados!$C$3:$C$329,Dados!$AA$3:'Dados'!$AA$329,"")</f>
        <v>13.306685131338799</v>
      </c>
      <c r="AM90" s="43" cm="1">
        <f t="array" ref="AM90">_xlfn.XLOOKUP(C90,Dados!$C$3:$C$329,Dados!$AB$3:'Dados'!$AB$329,"")</f>
        <v>11.774107496565801</v>
      </c>
      <c r="AN90" s="43" cm="1">
        <f t="array" ref="AN90">_xlfn.XLOOKUP(C90,Dados!$C$3:$C$329,Dados!$AC$3:'Dados'!$AC$329,"")</f>
        <v>9.5933628990471203</v>
      </c>
      <c r="AO90" s="82" cm="1">
        <f t="array" ref="AO90">_xlfn.XLOOKUP(C90,Dados!$C$3:$C$329,Dados!$AD$3:'Dados'!$AD$329,"")</f>
        <v>11.1307940896211</v>
      </c>
    </row>
    <row r="91" spans="1:41" ht="51" x14ac:dyDescent="0.25">
      <c r="A91" s="6">
        <v>322</v>
      </c>
      <c r="B91" s="3" t="s">
        <v>205</v>
      </c>
      <c r="C91" s="8" t="s">
        <v>206</v>
      </c>
      <c r="D91" s="8" t="s">
        <v>140</v>
      </c>
      <c r="E91" s="8" t="s">
        <v>141</v>
      </c>
      <c r="F91" s="72">
        <f>_xlfn.XLOOKUP(C91,Dados!$C$3:$C$329,Dados!$D$3:$D$329,"")</f>
        <v>11</v>
      </c>
      <c r="G91" s="86">
        <f>_xlfn.XLOOKUP(C91,Dados!$C$3:$C$329,Dados!$E$3:$E$329,"")</f>
        <v>1072513</v>
      </c>
      <c r="H91" s="71">
        <f>_xlfn.XLOOKUP(C91,Dados!$C$3:$C$329,Dados!$F$3:$F$329,"")</f>
        <v>1063614.6666666665</v>
      </c>
      <c r="I91" s="71">
        <f>_xlfn.XLOOKUP(C91,Dados!$C$3:$C$329,Dados!$G$3:$G$329,"")</f>
        <v>1054716.3333333335</v>
      </c>
      <c r="J91" s="71">
        <f>_xlfn.XLOOKUP(C91,Dados!$C$3:$C$329,Dados!$H$3:$H$329,"")</f>
        <v>1045818</v>
      </c>
      <c r="K91" s="71">
        <f>_xlfn.XLOOKUP(C91,Dados!$C$3:$C$329,Dados!$I$3:$I$329,"")</f>
        <v>1035633</v>
      </c>
      <c r="L91" s="71">
        <f>_xlfn.XLOOKUP(C91,Dados!$C$3:$C$329,Dados!$J$3:$J$329,"")</f>
        <v>30</v>
      </c>
      <c r="M91" s="72" t="str">
        <f>_xlfn.XLOOKUP(C91,Dados!$C$3:$C$329,Dados!$K$3:$K$329,"")</f>
        <v>Sul</v>
      </c>
      <c r="N91" s="71">
        <f>_xlfn.XLOOKUP(C91,Dados!$C$3:$C$329,Dados!$L$3:$L$329,"")</f>
        <v>2</v>
      </c>
      <c r="O91" s="43">
        <f>_xlfn.XLOOKUP(C91,Dados!$C$3:$C$329,Dados!$M$3:$M$329,"")</f>
        <v>0.75854403740828502</v>
      </c>
      <c r="P91" s="43">
        <f>_xlfn.XLOOKUP(C91,Dados!$C$3:$C$329,Dados!$N$3:$N$329,"")</f>
        <v>0.74039749654646503</v>
      </c>
      <c r="Q91" s="43">
        <f>_xlfn.XLOOKUP(C91,Dados!$C$3:$C$329,Dados!$O$3:$O$329,"")</f>
        <v>0.72266228741520999</v>
      </c>
      <c r="R91" s="43">
        <f>_xlfn.XLOOKUP(C91,Dados!$C$3:$C$329,Dados!$P$3:$P$329,"")</f>
        <v>0.70292343928785594</v>
      </c>
      <c r="S91" s="43">
        <f>_xlfn.XLOOKUP(C91,Dados!$C$3:$C$329,Dados!$Q$3:$Q$329,"")</f>
        <v>0.67349999999999999</v>
      </c>
      <c r="T91" s="43">
        <f>_xlfn.XLOOKUP(C91,Dados!$C$3:$C$329,Dados!$R$3:$R$329,"")</f>
        <v>0.87680000000000002</v>
      </c>
      <c r="U91" s="43">
        <f>_xlfn.XLOOKUP(C91,Dados!$C$3:$C$329,Dados!$S$3:$S$329,"")</f>
        <v>0.96250000000000002</v>
      </c>
      <c r="V91" s="77">
        <f>_xlfn.XLOOKUP(C91,Dados!$C$3:$C$329,Dados!$T$3:$T$329,"")</f>
        <v>1624.7809541422801</v>
      </c>
      <c r="W91" s="77">
        <f>_xlfn.XLOOKUP(C91,Dados!$C$3:$C$329,Dados!$U$3:$U$329,"")</f>
        <v>1399.0462010396</v>
      </c>
      <c r="X91" s="77">
        <f>_xlfn.XLOOKUP(C91,Dados!$C$3:$C$329,Dados!$V$3:$V$329,"")</f>
        <v>1231.67884827168</v>
      </c>
      <c r="Y91" s="77">
        <f>_xlfn.XLOOKUP(C91,Dados!$C$3:$C$329,Dados!$W$3:$W$329,"")</f>
        <v>1101.79566405436</v>
      </c>
      <c r="Z91" s="77">
        <f>_xlfn.XLOOKUP(C91,Dados!$C$3:$C$329,Dados!$X$3:$X$329,"")</f>
        <v>1007.3056519056501</v>
      </c>
      <c r="AA91" s="20"/>
      <c r="AB91" s="20"/>
      <c r="AC91" s="20"/>
      <c r="AD91" s="20"/>
      <c r="AE91" s="80"/>
      <c r="AF91" s="43" t="e">
        <v>#DIV/0!</v>
      </c>
      <c r="AG91" s="43">
        <v>0.50013656008629082</v>
      </c>
      <c r="AH91" s="43" t="e">
        <v>#DIV/0!</v>
      </c>
      <c r="AI91" s="43" t="e">
        <v>#DIV/0!</v>
      </c>
      <c r="AJ91" s="43" t="e">
        <v>#DIV/0!</v>
      </c>
      <c r="AK91" s="43" cm="1">
        <f t="array" ref="AK91">_xlfn.XLOOKUP(C91,Dados!$C$3:$C$329,Dados!$Z$3:'Dados'!$Z$329,"")</f>
        <v>14.5580165461864</v>
      </c>
      <c r="AL91" s="43" cm="1">
        <f t="array" ref="AL91">_xlfn.XLOOKUP(C91,Dados!$C$3:$C$329,Dados!$AA$3:'Dados'!$AA$329,"")</f>
        <v>14.853765649464499</v>
      </c>
      <c r="AM91" s="43" cm="1">
        <f t="array" ref="AM91">_xlfn.XLOOKUP(C91,Dados!$C$3:$C$329,Dados!$AB$3:'Dados'!$AB$329,"")</f>
        <v>13.410926286973201</v>
      </c>
      <c r="AN91" s="43" cm="1">
        <f t="array" ref="AN91">_xlfn.XLOOKUP(C91,Dados!$C$3:$C$329,Dados!$AC$3:'Dados'!$AC$329,"")</f>
        <v>11.6357186432056</v>
      </c>
      <c r="AO91" s="82" cm="1">
        <f t="array" ref="AO91">_xlfn.XLOOKUP(C91,Dados!$C$3:$C$329,Dados!$AD$3:'Dados'!$AD$329,"")</f>
        <v>11.611963890683301</v>
      </c>
    </row>
    <row r="92" spans="1:41" ht="51" x14ac:dyDescent="0.25">
      <c r="A92" s="6">
        <v>1</v>
      </c>
      <c r="B92" s="3" t="s">
        <v>207</v>
      </c>
      <c r="C92" s="8" t="s">
        <v>208</v>
      </c>
      <c r="D92" s="8" t="s">
        <v>209</v>
      </c>
      <c r="E92" s="8" t="s">
        <v>210</v>
      </c>
      <c r="F92" s="72">
        <f>_xlfn.XLOOKUP(C92,Dados!$C$3:$C$329,Dados!$D$3:$D$329,"")</f>
        <v>11</v>
      </c>
      <c r="G92" s="86">
        <f>_xlfn.XLOOKUP(C92,Dados!$C$3:$C$329,Dados!$E$3:$E$329,"")</f>
        <v>166527</v>
      </c>
      <c r="H92" s="71">
        <f>_xlfn.XLOOKUP(C92,Dados!$C$3:$C$329,Dados!$F$3:$F$329,"")</f>
        <v>169923.33333333334</v>
      </c>
      <c r="I92" s="71">
        <f>_xlfn.XLOOKUP(C92,Dados!$C$3:$C$329,Dados!$G$3:$G$329,"")</f>
        <v>173319.66666666666</v>
      </c>
      <c r="J92" s="71">
        <f>_xlfn.XLOOKUP(C92,Dados!$C$3:$C$329,Dados!$H$3:$H$329,"")</f>
        <v>176716</v>
      </c>
      <c r="K92" s="71">
        <f>_xlfn.XLOOKUP(C92,Dados!$C$3:$C$329,Dados!$I$3:$I$329,"")</f>
        <v>176213</v>
      </c>
      <c r="L92" s="71">
        <f>_xlfn.XLOOKUP(C92,Dados!$C$3:$C$329,Dados!$J$3:$J$329,"")</f>
        <v>8</v>
      </c>
      <c r="M92" s="72" t="str">
        <f>_xlfn.XLOOKUP(C92,Dados!$C$3:$C$329,Dados!$K$3:$K$329,"")</f>
        <v>Nordeste</v>
      </c>
      <c r="N92" s="71">
        <f>_xlfn.XLOOKUP(C92,Dados!$C$3:$C$329,Dados!$L$3:$L$329,"")</f>
        <v>41</v>
      </c>
      <c r="O92" s="43">
        <f>_xlfn.XLOOKUP(C92,Dados!$C$3:$C$329,Dados!$M$3:$M$329,"")</f>
        <v>0.53384118504423606</v>
      </c>
      <c r="P92" s="43">
        <f>_xlfn.XLOOKUP(C92,Dados!$C$3:$C$329,Dados!$N$3:$N$329,"")</f>
        <v>0.49839267557634298</v>
      </c>
      <c r="Q92" s="43">
        <f>_xlfn.XLOOKUP(C92,Dados!$C$3:$C$329,Dados!$O$3:$O$329,"")</f>
        <v>0.44478837286946299</v>
      </c>
      <c r="R92" s="43">
        <f>_xlfn.XLOOKUP(C92,Dados!$C$3:$C$329,Dados!$P$3:$P$329,"")</f>
        <v>0.43443259804895201</v>
      </c>
      <c r="S92" s="43">
        <f>_xlfn.XLOOKUP(C92,Dados!$C$3:$C$329,Dados!$Q$3:$Q$329,"")</f>
        <v>0.333869594718045</v>
      </c>
      <c r="T92" s="43">
        <f>_xlfn.XLOOKUP(C92,Dados!$C$3:$C$329,Dados!$R$3:$R$329,"")</f>
        <v>0.70867942241599802</v>
      </c>
      <c r="U92" s="43">
        <f>_xlfn.XLOOKUP(C92,Dados!$C$3:$C$329,Dados!$S$3:$S$329,"")</f>
        <v>0.74398539654088103</v>
      </c>
      <c r="V92" s="77">
        <f>_xlfn.XLOOKUP(C92,Dados!$C$3:$C$329,Dados!$T$3:$T$329,"")</f>
        <v>1504.0052040810201</v>
      </c>
      <c r="W92" s="77">
        <f>_xlfn.XLOOKUP(C92,Dados!$C$3:$C$329,Dados!$U$3:$U$329,"")</f>
        <v>1130.5262618239601</v>
      </c>
      <c r="X92" s="77">
        <f>_xlfn.XLOOKUP(C92,Dados!$C$3:$C$329,Dados!$V$3:$V$329,"")</f>
        <v>1010.86110462556</v>
      </c>
      <c r="Y92" s="77">
        <f>_xlfn.XLOOKUP(C92,Dados!$C$3:$C$329,Dados!$W$3:$W$329,"")</f>
        <v>807.38898407614499</v>
      </c>
      <c r="Z92" s="77">
        <f>_xlfn.XLOOKUP(C92,Dados!$C$3:$C$329,Dados!$X$3:$X$329,"")</f>
        <v>871.750128253875</v>
      </c>
      <c r="AA92" s="20"/>
      <c r="AB92" s="20"/>
      <c r="AC92" s="20"/>
      <c r="AD92" s="20"/>
      <c r="AE92" s="80"/>
      <c r="AF92" s="43">
        <v>0.13959435735928397</v>
      </c>
      <c r="AG92" s="43">
        <v>0.11068887457541436</v>
      </c>
      <c r="AH92" s="43" t="e">
        <v>#DIV/0!</v>
      </c>
      <c r="AI92" s="43">
        <v>9.1057338544298941E-2</v>
      </c>
      <c r="AJ92" s="43">
        <v>6.120170799328447E-2</v>
      </c>
      <c r="AK92" s="43" cm="1">
        <f t="array" ref="AK92">_xlfn.XLOOKUP(C92,Dados!$C$3:$C$329,Dados!$Z$3:'Dados'!$Z$329,"")</f>
        <v>9.4331669939409206</v>
      </c>
      <c r="AL92" s="43" cm="1">
        <f t="array" ref="AL92">_xlfn.XLOOKUP(C92,Dados!$C$3:$C$329,Dados!$AA$3:'Dados'!$AA$329,"")</f>
        <v>7.9697883359162001</v>
      </c>
      <c r="AM92" s="43" cm="1">
        <f t="array" ref="AM92">_xlfn.XLOOKUP(C92,Dados!$C$3:$C$329,Dados!$AB$3:'Dados'!$AB$329,"")</f>
        <v>6.7363445964008699</v>
      </c>
      <c r="AN92" s="43" cm="1">
        <f t="array" ref="AN92">_xlfn.XLOOKUP(C92,Dados!$C$3:$C$329,Dados!$AC$3:'Dados'!$AC$329,"")</f>
        <v>5.3539634215351199</v>
      </c>
      <c r="AO92" s="82" cm="1">
        <f t="array" ref="AO92">_xlfn.XLOOKUP(C92,Dados!$C$3:$C$329,Dados!$AD$3:'Dados'!$AD$329,"")</f>
        <v>4.5471276239550997</v>
      </c>
    </row>
    <row r="93" spans="1:41" ht="51" x14ac:dyDescent="0.25">
      <c r="A93" s="6">
        <v>2</v>
      </c>
      <c r="B93" s="3" t="s">
        <v>211</v>
      </c>
      <c r="C93" s="8" t="s">
        <v>212</v>
      </c>
      <c r="D93" s="8" t="s">
        <v>209</v>
      </c>
      <c r="E93" s="8" t="s">
        <v>210</v>
      </c>
      <c r="F93" s="72">
        <f>_xlfn.XLOOKUP(C93,Dados!$C$3:$C$329,Dados!$D$3:$D$329,"")</f>
        <v>11</v>
      </c>
      <c r="G93" s="86">
        <f>_xlfn.XLOOKUP(C93,Dados!$C$3:$C$329,Dados!$E$3:$E$329,"")</f>
        <v>2024442</v>
      </c>
      <c r="H93" s="71">
        <f>_xlfn.XLOOKUP(C93,Dados!$C$3:$C$329,Dados!$F$3:$F$329,"")</f>
        <v>2061795.3333333337</v>
      </c>
      <c r="I93" s="71">
        <f>_xlfn.XLOOKUP(C93,Dados!$C$3:$C$329,Dados!$G$3:$G$329,"")</f>
        <v>2099148.666666666</v>
      </c>
      <c r="J93" s="71">
        <f>_xlfn.XLOOKUP(C93,Dados!$C$3:$C$329,Dados!$H$3:$H$329,"")</f>
        <v>2136502</v>
      </c>
      <c r="K93" s="71">
        <f>_xlfn.XLOOKUP(C93,Dados!$C$3:$C$329,Dados!$I$3:$I$329,"")</f>
        <v>2127689</v>
      </c>
      <c r="L93" s="71">
        <f>_xlfn.XLOOKUP(C93,Dados!$C$3:$C$329,Dados!$J$3:$J$329,"")</f>
        <v>20</v>
      </c>
      <c r="M93" s="72" t="str">
        <f>_xlfn.XLOOKUP(C93,Dados!$C$3:$C$329,Dados!$K$3:$K$329,"")</f>
        <v>Nordeste</v>
      </c>
      <c r="N93" s="71">
        <f>_xlfn.XLOOKUP(C93,Dados!$C$3:$C$329,Dados!$L$3:$L$329,"")</f>
        <v>14</v>
      </c>
      <c r="O93" s="43">
        <f>_xlfn.XLOOKUP(C93,Dados!$C$3:$C$329,Dados!$M$3:$M$329,"")</f>
        <v>0.62425251993974196</v>
      </c>
      <c r="P93" s="43">
        <f>_xlfn.XLOOKUP(C93,Dados!$C$3:$C$329,Dados!$N$3:$N$329,"")</f>
        <v>0.58769855049173902</v>
      </c>
      <c r="Q93" s="43">
        <f>_xlfn.XLOOKUP(C93,Dados!$C$3:$C$329,Dados!$O$3:$O$329,"")</f>
        <v>0.55162011680775402</v>
      </c>
      <c r="R93" s="43">
        <f>_xlfn.XLOOKUP(C93,Dados!$C$3:$C$329,Dados!$P$3:$P$329,"")</f>
        <v>0.55323656544730004</v>
      </c>
      <c r="S93" s="43">
        <f>_xlfn.XLOOKUP(C93,Dados!$C$3:$C$329,Dados!$Q$3:$Q$329,"")</f>
        <v>0.46138109698757201</v>
      </c>
      <c r="T93" s="43">
        <f>_xlfn.XLOOKUP(C93,Dados!$C$3:$C$329,Dados!$R$3:$R$329,"")</f>
        <v>0.65234600061675796</v>
      </c>
      <c r="U93" s="43">
        <f>_xlfn.XLOOKUP(C93,Dados!$C$3:$C$329,Dados!$S$3:$S$329,"")</f>
        <v>0.91535370804291205</v>
      </c>
      <c r="V93" s="77">
        <f>_xlfn.XLOOKUP(C93,Dados!$C$3:$C$329,Dados!$T$3:$T$329,"")</f>
        <v>1417.06420532176</v>
      </c>
      <c r="W93" s="77">
        <f>_xlfn.XLOOKUP(C93,Dados!$C$3:$C$329,Dados!$U$3:$U$329,"")</f>
        <v>1129.39505750328</v>
      </c>
      <c r="X93" s="77">
        <f>_xlfn.XLOOKUP(C93,Dados!$C$3:$C$329,Dados!$V$3:$V$329,"")</f>
        <v>1026.27574673606</v>
      </c>
      <c r="Y93" s="77">
        <f>_xlfn.XLOOKUP(C93,Dados!$C$3:$C$329,Dados!$W$3:$W$329,"")</f>
        <v>952.51451360682097</v>
      </c>
      <c r="Z93" s="77">
        <f>_xlfn.XLOOKUP(C93,Dados!$C$3:$C$329,Dados!$X$3:$X$329,"")</f>
        <v>770.717705989926</v>
      </c>
      <c r="AA93" s="20"/>
      <c r="AB93" s="20"/>
      <c r="AC93" s="20"/>
      <c r="AD93" s="20"/>
      <c r="AE93" s="80"/>
      <c r="AF93" s="43">
        <v>9.3478303461165535E-2</v>
      </c>
      <c r="AG93" s="43">
        <v>6.3846409322542638E-2</v>
      </c>
      <c r="AH93" s="43">
        <v>3.1564671269091751E-2</v>
      </c>
      <c r="AI93" s="43" t="e">
        <v>#DIV/0!</v>
      </c>
      <c r="AJ93" s="43" t="e">
        <v>#DIV/0!</v>
      </c>
      <c r="AK93" s="43" cm="1">
        <f t="array" ref="AK93">_xlfn.XLOOKUP(C93,Dados!$C$3:$C$329,Dados!$Z$3:'Dados'!$Z$329,"")</f>
        <v>14.390443885278</v>
      </c>
      <c r="AL93" s="43" cm="1">
        <f t="array" ref="AL93">_xlfn.XLOOKUP(C93,Dados!$C$3:$C$329,Dados!$AA$3:'Dados'!$AA$329,"")</f>
        <v>13.382432559584799</v>
      </c>
      <c r="AM93" s="43" cm="1">
        <f t="array" ref="AM93">_xlfn.XLOOKUP(C93,Dados!$C$3:$C$329,Dados!$AB$3:'Dados'!$AB$329,"")</f>
        <v>12.900742777310001</v>
      </c>
      <c r="AN93" s="43" cm="1">
        <f t="array" ref="AN93">_xlfn.XLOOKUP(C93,Dados!$C$3:$C$329,Dados!$AC$3:'Dados'!$AC$329,"")</f>
        <v>11.8394263146021</v>
      </c>
      <c r="AO93" s="82" cm="1">
        <f t="array" ref="AO93">_xlfn.XLOOKUP(C93,Dados!$C$3:$C$329,Dados!$AD$3:'Dados'!$AD$329,"")</f>
        <v>10.6550783502664</v>
      </c>
    </row>
    <row r="94" spans="1:41" ht="51" x14ac:dyDescent="0.25">
      <c r="A94" s="6">
        <v>5</v>
      </c>
      <c r="B94" s="3" t="s">
        <v>213</v>
      </c>
      <c r="C94" s="8" t="s">
        <v>214</v>
      </c>
      <c r="D94" s="8" t="s">
        <v>215</v>
      </c>
      <c r="E94" s="8" t="s">
        <v>210</v>
      </c>
      <c r="F94" s="72">
        <f>_xlfn.XLOOKUP(C94,Dados!$C$3:$C$329,Dados!$D$3:$D$329,"")</f>
        <v>15</v>
      </c>
      <c r="G94" s="86">
        <f>_xlfn.XLOOKUP(C94,Dados!$C$3:$C$329,Dados!$E$3:$E$329,"")</f>
        <v>200271</v>
      </c>
      <c r="H94" s="71">
        <f>_xlfn.XLOOKUP(C94,Dados!$C$3:$C$329,Dados!$F$3:$F$329,"")</f>
        <v>201077.66666666666</v>
      </c>
      <c r="I94" s="71">
        <f>_xlfn.XLOOKUP(C94,Dados!$C$3:$C$329,Dados!$G$3:$G$329,"")</f>
        <v>201884.33333333334</v>
      </c>
      <c r="J94" s="71">
        <f>_xlfn.XLOOKUP(C94,Dados!$C$3:$C$329,Dados!$H$3:$H$329,"")</f>
        <v>202691</v>
      </c>
      <c r="K94" s="71">
        <f>_xlfn.XLOOKUP(C94,Dados!$C$3:$C$329,Dados!$I$3:$I$329,"")</f>
        <v>202023</v>
      </c>
      <c r="L94" s="71">
        <f>_xlfn.XLOOKUP(C94,Dados!$C$3:$C$329,Dados!$J$3:$J$329,"")</f>
        <v>5</v>
      </c>
      <c r="M94" s="72" t="str">
        <f>_xlfn.XLOOKUP(C94,Dados!$C$3:$C$329,Dados!$K$3:$K$329,"")</f>
        <v>Nordeste</v>
      </c>
      <c r="N94" s="71">
        <f>_xlfn.XLOOKUP(C94,Dados!$C$3:$C$329,Dados!$L$3:$L$329,"")</f>
        <v>4</v>
      </c>
      <c r="O94" s="43">
        <f>_xlfn.XLOOKUP(C94,Dados!$C$3:$C$329,Dados!$M$3:$M$329,"")</f>
        <v>0.63561289551466804</v>
      </c>
      <c r="P94" s="43">
        <f>_xlfn.XLOOKUP(C94,Dados!$C$3:$C$329,Dados!$N$3:$N$329,"")</f>
        <v>0.60585706006574702</v>
      </c>
      <c r="Q94" s="43">
        <f>_xlfn.XLOOKUP(C94,Dados!$C$3:$C$329,Dados!$O$3:$O$329,"")</f>
        <v>0.586014440700376</v>
      </c>
      <c r="R94" s="43">
        <f>_xlfn.XLOOKUP(C94,Dados!$C$3:$C$329,Dados!$P$3:$P$329,"")</f>
        <v>0.56678974522702896</v>
      </c>
      <c r="S94" s="43">
        <f>_xlfn.XLOOKUP(C94,Dados!$C$3:$C$329,Dados!$Q$3:$Q$329,"")</f>
        <v>0.19106629423118501</v>
      </c>
      <c r="T94" s="43">
        <f>_xlfn.XLOOKUP(C94,Dados!$C$3:$C$329,Dados!$R$3:$R$329,"")</f>
        <v>0.825136284308011</v>
      </c>
      <c r="U94" s="43">
        <f>_xlfn.XLOOKUP(C94,Dados!$C$3:$C$329,Dados!$S$3:$S$329,"")</f>
        <v>0.81422452741091</v>
      </c>
      <c r="V94" s="77">
        <f>_xlfn.XLOOKUP(C94,Dados!$C$3:$C$329,Dados!$T$3:$T$329,"")</f>
        <v>1392.5917395429201</v>
      </c>
      <c r="W94" s="77">
        <f>_xlfn.XLOOKUP(C94,Dados!$C$3:$C$329,Dados!$U$3:$U$329,"")</f>
        <v>1103.7094756255001</v>
      </c>
      <c r="X94" s="77">
        <f>_xlfn.XLOOKUP(C94,Dados!$C$3:$C$329,Dados!$V$3:$V$329,"")</f>
        <v>949.21505470954503</v>
      </c>
      <c r="Y94" s="77">
        <f>_xlfn.XLOOKUP(C94,Dados!$C$3:$C$329,Dados!$W$3:$W$329,"")</f>
        <v>853.62228520259896</v>
      </c>
      <c r="Z94" s="77">
        <f>_xlfn.XLOOKUP(C94,Dados!$C$3:$C$329,Dados!$X$3:$X$329,"")</f>
        <v>829.60869534656899</v>
      </c>
      <c r="AA94" s="20"/>
      <c r="AB94" s="20"/>
      <c r="AC94" s="20"/>
      <c r="AD94" s="20"/>
      <c r="AE94" s="80"/>
      <c r="AF94" s="43">
        <v>0.61949191469670373</v>
      </c>
      <c r="AG94" s="43">
        <v>0.6819829659634784</v>
      </c>
      <c r="AH94" s="43">
        <v>0.60749944715388082</v>
      </c>
      <c r="AI94" s="43">
        <v>0.67160991957438443</v>
      </c>
      <c r="AJ94" s="43">
        <v>0.67279458388941515</v>
      </c>
      <c r="AK94" s="43" cm="1">
        <f t="array" ref="AK94">_xlfn.XLOOKUP(C94,Dados!$C$3:$C$329,Dados!$Z$3:'Dados'!$Z$329,"")</f>
        <v>11.7880521892835</v>
      </c>
      <c r="AL94" s="43" cm="1">
        <f t="array" ref="AL94">_xlfn.XLOOKUP(C94,Dados!$C$3:$C$329,Dados!$AA$3:'Dados'!$AA$329,"")</f>
        <v>11.419542697432</v>
      </c>
      <c r="AM94" s="43" cm="1">
        <f t="array" ref="AM94">_xlfn.XLOOKUP(C94,Dados!$C$3:$C$329,Dados!$AB$3:'Dados'!$AB$329,"")</f>
        <v>10.6955550455459</v>
      </c>
      <c r="AN94" s="43" cm="1">
        <f t="array" ref="AN94">_xlfn.XLOOKUP(C94,Dados!$C$3:$C$329,Dados!$AC$3:'Dados'!$AC$329,"")</f>
        <v>7.5169691796873099</v>
      </c>
      <c r="AO94" s="82" cm="1">
        <f t="array" ref="AO94">_xlfn.XLOOKUP(C94,Dados!$C$3:$C$329,Dados!$AD$3:'Dados'!$AD$329,"")</f>
        <v>6.1301633972369496</v>
      </c>
    </row>
    <row r="95" spans="1:41" ht="51" x14ac:dyDescent="0.25">
      <c r="A95" s="6">
        <v>6</v>
      </c>
      <c r="B95" s="3" t="s">
        <v>216</v>
      </c>
      <c r="C95" s="8" t="s">
        <v>217</v>
      </c>
      <c r="D95" s="8" t="s">
        <v>215</v>
      </c>
      <c r="E95" s="8" t="s">
        <v>210</v>
      </c>
      <c r="F95" s="72">
        <f>_xlfn.XLOOKUP(C95,Dados!$C$3:$C$329,Dados!$D$3:$D$329,"")</f>
        <v>15</v>
      </c>
      <c r="G95" s="86">
        <f>_xlfn.XLOOKUP(C95,Dados!$C$3:$C$329,Dados!$E$3:$E$329,"")</f>
        <v>286441</v>
      </c>
      <c r="H95" s="71">
        <f>_xlfn.XLOOKUP(C95,Dados!$C$3:$C$329,Dados!$F$3:$F$329,"")</f>
        <v>292516.33333333337</v>
      </c>
      <c r="I95" s="71">
        <f>_xlfn.XLOOKUP(C95,Dados!$C$3:$C$329,Dados!$G$3:$G$329,"")</f>
        <v>298591.66666666663</v>
      </c>
      <c r="J95" s="71">
        <f>_xlfn.XLOOKUP(C95,Dados!$C$3:$C$329,Dados!$H$3:$H$329,"")</f>
        <v>304667</v>
      </c>
      <c r="K95" s="71">
        <f>_xlfn.XLOOKUP(C95,Dados!$C$3:$C$329,Dados!$I$3:$I$329,"")</f>
        <v>303687</v>
      </c>
      <c r="L95" s="71">
        <f>_xlfn.XLOOKUP(C95,Dados!$C$3:$C$329,Dados!$J$3:$J$329,"")</f>
        <v>9</v>
      </c>
      <c r="M95" s="72" t="str">
        <f>_xlfn.XLOOKUP(C95,Dados!$C$3:$C$329,Dados!$K$3:$K$329,"")</f>
        <v>Nordeste</v>
      </c>
      <c r="N95" s="71">
        <f>_xlfn.XLOOKUP(C95,Dados!$C$3:$C$329,Dados!$L$3:$L$329,"")</f>
        <v>1</v>
      </c>
      <c r="O95" s="43">
        <f>_xlfn.XLOOKUP(C95,Dados!$C$3:$C$329,Dados!$M$3:$M$329,"")</f>
        <v>0.58298123124748602</v>
      </c>
      <c r="P95" s="43">
        <f>_xlfn.XLOOKUP(C95,Dados!$C$3:$C$329,Dados!$N$3:$N$329,"")</f>
        <v>0.557275551561497</v>
      </c>
      <c r="Q95" s="43">
        <f>_xlfn.XLOOKUP(C95,Dados!$C$3:$C$329,Dados!$O$3:$O$329,"")</f>
        <v>0.52976196700003597</v>
      </c>
      <c r="R95" s="43">
        <f>_xlfn.XLOOKUP(C95,Dados!$C$3:$C$329,Dados!$P$3:$P$329,"")</f>
        <v>0.504789519801638</v>
      </c>
      <c r="S95" s="43">
        <f>_xlfn.XLOOKUP(C95,Dados!$C$3:$C$329,Dados!$Q$3:$Q$329,"")</f>
        <v>0.27203759638302</v>
      </c>
      <c r="T95" s="43">
        <f>_xlfn.XLOOKUP(C95,Dados!$C$3:$C$329,Dados!$R$3:$R$329,"")</f>
        <v>0.73242029538667697</v>
      </c>
      <c r="U95" s="43">
        <f>_xlfn.XLOOKUP(C95,Dados!$C$3:$C$329,Dados!$S$3:$S$329,"")</f>
        <v>0.71602344450336297</v>
      </c>
      <c r="V95" s="77">
        <f>_xlfn.XLOOKUP(C95,Dados!$C$3:$C$329,Dados!$T$3:$T$329,"")</f>
        <v>1432.9838575134099</v>
      </c>
      <c r="W95" s="77">
        <f>_xlfn.XLOOKUP(C95,Dados!$C$3:$C$329,Dados!$U$3:$U$329,"")</f>
        <v>873.99242644000503</v>
      </c>
      <c r="X95" s="77">
        <f>_xlfn.XLOOKUP(C95,Dados!$C$3:$C$329,Dados!$V$3:$V$329,"")</f>
        <v>1054.9876965420999</v>
      </c>
      <c r="Y95" s="77">
        <f>_xlfn.XLOOKUP(C95,Dados!$C$3:$C$329,Dados!$W$3:$W$329,"")</f>
        <v>970.27517213876104</v>
      </c>
      <c r="Z95" s="77">
        <f>_xlfn.XLOOKUP(C95,Dados!$C$3:$C$329,Dados!$X$3:$X$329,"")</f>
        <v>759.11926285945697</v>
      </c>
      <c r="AA95" s="20"/>
      <c r="AB95" s="20"/>
      <c r="AC95" s="20"/>
      <c r="AD95" s="20"/>
      <c r="AE95" s="80"/>
      <c r="AF95" s="43">
        <v>0.64017304187643775</v>
      </c>
      <c r="AG95" s="43">
        <v>0.53630005426716154</v>
      </c>
      <c r="AH95" s="43">
        <v>0.57403549456798419</v>
      </c>
      <c r="AI95" s="43">
        <v>0.55489198756286329</v>
      </c>
      <c r="AJ95" s="43" t="e">
        <v>#DIV/0!</v>
      </c>
      <c r="AK95" s="43" cm="1">
        <f t="array" ref="AK95">_xlfn.XLOOKUP(C95,Dados!$C$3:$C$329,Dados!$Z$3:'Dados'!$Z$329,"")</f>
        <v>9.0183248906406597</v>
      </c>
      <c r="AL95" s="43" cm="1">
        <f t="array" ref="AL95">_xlfn.XLOOKUP(C95,Dados!$C$3:$C$329,Dados!$AA$3:'Dados'!$AA$329,"")</f>
        <v>6.9791692543664201</v>
      </c>
      <c r="AM95" s="43" cm="1">
        <f t="array" ref="AM95">_xlfn.XLOOKUP(C95,Dados!$C$3:$C$329,Dados!$AB$3:'Dados'!$AB$329,"")</f>
        <v>4.85970025955179</v>
      </c>
      <c r="AN95" s="43" cm="1">
        <f t="array" ref="AN95">_xlfn.XLOOKUP(C95,Dados!$C$3:$C$329,Dados!$AC$3:'Dados'!$AC$329,"")</f>
        <v>2.9469814584447902</v>
      </c>
      <c r="AO95" s="82" cm="1">
        <f t="array" ref="AO95">_xlfn.XLOOKUP(C95,Dados!$C$3:$C$329,Dados!$AD$3:'Dados'!$AD$329,"")</f>
        <v>4.3381507934155898</v>
      </c>
    </row>
    <row r="96" spans="1:41" ht="63.75" x14ac:dyDescent="0.25">
      <c r="A96" s="6">
        <v>51</v>
      </c>
      <c r="B96" s="3" t="s">
        <v>218</v>
      </c>
      <c r="C96" s="8" t="s">
        <v>219</v>
      </c>
      <c r="D96" s="8" t="s">
        <v>220</v>
      </c>
      <c r="E96" s="8" t="s">
        <v>210</v>
      </c>
      <c r="F96" s="72">
        <f>_xlfn.XLOOKUP(C96,Dados!$C$3:$C$329,Dados!$D$3:$D$329,"")</f>
        <v>13</v>
      </c>
      <c r="G96" s="86">
        <f>_xlfn.XLOOKUP(C96,Dados!$C$3:$C$329,Dados!$E$3:$E$329,"")</f>
        <v>593635</v>
      </c>
      <c r="H96" s="71">
        <f>_xlfn.XLOOKUP(C96,Dados!$C$3:$C$329,Dados!$F$3:$F$329,"")</f>
        <v>605793.33333333326</v>
      </c>
      <c r="I96" s="71">
        <f>_xlfn.XLOOKUP(C96,Dados!$C$3:$C$329,Dados!$G$3:$G$329,"")</f>
        <v>617951.66666666674</v>
      </c>
      <c r="J96" s="71">
        <f>_xlfn.XLOOKUP(C96,Dados!$C$3:$C$329,Dados!$H$3:$H$329,"")</f>
        <v>630110</v>
      </c>
      <c r="K96" s="71">
        <f>_xlfn.XLOOKUP(C96,Dados!$C$3:$C$329,Dados!$I$3:$I$329,"")</f>
        <v>625977</v>
      </c>
      <c r="L96" s="71">
        <f>_xlfn.XLOOKUP(C96,Dados!$C$3:$C$329,Dados!$J$3:$J$329,"")</f>
        <v>24</v>
      </c>
      <c r="M96" s="72" t="str">
        <f>_xlfn.XLOOKUP(C96,Dados!$C$3:$C$329,Dados!$K$3:$K$329,"")</f>
        <v>Nordeste</v>
      </c>
      <c r="N96" s="71">
        <f>_xlfn.XLOOKUP(C96,Dados!$C$3:$C$329,Dados!$L$3:$L$329,"")</f>
        <v>7</v>
      </c>
      <c r="O96" s="43">
        <f>_xlfn.XLOOKUP(C96,Dados!$C$3:$C$329,Dados!$M$3:$M$329,"")</f>
        <v>0.52190246261101203</v>
      </c>
      <c r="P96" s="43">
        <f>_xlfn.XLOOKUP(C96,Dados!$C$3:$C$329,Dados!$N$3:$N$329,"")</f>
        <v>0.49069266469060402</v>
      </c>
      <c r="Q96" s="43">
        <f>_xlfn.XLOOKUP(C96,Dados!$C$3:$C$329,Dados!$O$3:$O$329,"")</f>
        <v>0.46864229817016101</v>
      </c>
      <c r="R96" s="43">
        <f>_xlfn.XLOOKUP(C96,Dados!$C$3:$C$329,Dados!$P$3:$P$329,"")</f>
        <v>0.45783768588941798</v>
      </c>
      <c r="S96" s="43">
        <f>_xlfn.XLOOKUP(C96,Dados!$C$3:$C$329,Dados!$Q$3:$Q$329,"")</f>
        <v>0.48890863087997699</v>
      </c>
      <c r="T96" s="43">
        <f>_xlfn.XLOOKUP(C96,Dados!$C$3:$C$329,Dados!$R$3:$R$329,"")</f>
        <v>0.56978318579392695</v>
      </c>
      <c r="U96" s="43">
        <f>_xlfn.XLOOKUP(C96,Dados!$C$3:$C$329,Dados!$S$3:$S$329,"")</f>
        <v>0.76570919920921499</v>
      </c>
      <c r="V96" s="77">
        <f>_xlfn.XLOOKUP(C96,Dados!$C$3:$C$329,Dados!$T$3:$T$329,"")</f>
        <v>1163.58044048953</v>
      </c>
      <c r="W96" s="77">
        <f>_xlfn.XLOOKUP(C96,Dados!$C$3:$C$329,Dados!$U$3:$U$329,"")</f>
        <v>936.60821784106804</v>
      </c>
      <c r="X96" s="77">
        <f>_xlfn.XLOOKUP(C96,Dados!$C$3:$C$329,Dados!$V$3:$V$329,"")</f>
        <v>817.57863072893997</v>
      </c>
      <c r="Y96" s="77">
        <f>_xlfn.XLOOKUP(C96,Dados!$C$3:$C$329,Dados!$W$3:$W$329,"")</f>
        <v>684.67447223500699</v>
      </c>
      <c r="Z96" s="77">
        <f>_xlfn.XLOOKUP(C96,Dados!$C$3:$C$329,Dados!$X$3:$X$329,"")</f>
        <v>629.689244445084</v>
      </c>
      <c r="AA96" s="20"/>
      <c r="AB96" s="20"/>
      <c r="AC96" s="20"/>
      <c r="AD96" s="20"/>
      <c r="AE96" s="80"/>
      <c r="AF96" s="43">
        <v>2.9369929885930058E-2</v>
      </c>
      <c r="AG96" s="43">
        <v>3.4535496213230363E-2</v>
      </c>
      <c r="AH96" s="43">
        <v>5.046864016153009E-2</v>
      </c>
      <c r="AI96" s="43">
        <v>6.7441622237920704E-2</v>
      </c>
      <c r="AJ96" s="43" t="e">
        <v>#DIV/0!</v>
      </c>
      <c r="AK96" s="43" cm="1">
        <f t="array" ref="AK96">_xlfn.XLOOKUP(C96,Dados!$C$3:$C$329,Dados!$Z$3:'Dados'!$Z$329,"")</f>
        <v>10.5081708457217</v>
      </c>
      <c r="AL96" s="43" cm="1">
        <f t="array" ref="AL96">_xlfn.XLOOKUP(C96,Dados!$C$3:$C$329,Dados!$AA$3:'Dados'!$AA$329,"")</f>
        <v>9.0081678020006795</v>
      </c>
      <c r="AM96" s="43" cm="1">
        <f t="array" ref="AM96">_xlfn.XLOOKUP(C96,Dados!$C$3:$C$329,Dados!$AB$3:'Dados'!$AB$329,"")</f>
        <v>8.4050214283209801</v>
      </c>
      <c r="AN96" s="43" cm="1">
        <f t="array" ref="AN96">_xlfn.XLOOKUP(C96,Dados!$C$3:$C$329,Dados!$AC$3:'Dados'!$AC$329,"")</f>
        <v>6.7050657821650201</v>
      </c>
      <c r="AO96" s="82" cm="1">
        <f t="array" ref="AO96">_xlfn.XLOOKUP(C96,Dados!$C$3:$C$329,Dados!$AD$3:'Dados'!$AD$329,"")</f>
        <v>5.8196547157483396</v>
      </c>
    </row>
    <row r="97" spans="1:41" ht="76.5" x14ac:dyDescent="0.25">
      <c r="A97" s="6">
        <v>90</v>
      </c>
      <c r="B97" s="3" t="s">
        <v>221</v>
      </c>
      <c r="C97" s="8" t="s">
        <v>222</v>
      </c>
      <c r="D97" s="8" t="s">
        <v>223</v>
      </c>
      <c r="E97" s="8" t="s">
        <v>210</v>
      </c>
      <c r="F97" s="72">
        <f>_xlfn.XLOOKUP(C97,Dados!$C$3:$C$329,Dados!$D$3:$D$329,"")</f>
        <v>11</v>
      </c>
      <c r="G97" s="86">
        <f>_xlfn.XLOOKUP(C97,Dados!$C$3:$C$329,Dados!$E$3:$E$329,"")</f>
        <v>307114</v>
      </c>
      <c r="H97" s="71">
        <f>_xlfn.XLOOKUP(C97,Dados!$C$3:$C$329,Dados!$F$3:$F$329,"")</f>
        <v>300280.99999999994</v>
      </c>
      <c r="I97" s="71">
        <f>_xlfn.XLOOKUP(C97,Dados!$C$3:$C$329,Dados!$G$3:$G$329,"")</f>
        <v>293448.00000000006</v>
      </c>
      <c r="J97" s="71">
        <f>_xlfn.XLOOKUP(C97,Dados!$C$3:$C$329,Dados!$H$3:$H$329,"")</f>
        <v>286615</v>
      </c>
      <c r="K97" s="71">
        <f>_xlfn.XLOOKUP(C97,Dados!$C$3:$C$329,Dados!$I$3:$I$329,"")</f>
        <v>286262</v>
      </c>
      <c r="L97" s="71">
        <f>_xlfn.XLOOKUP(C97,Dados!$C$3:$C$329,Dados!$J$3:$J$329,"")</f>
        <v>16</v>
      </c>
      <c r="M97" s="72" t="str">
        <f>_xlfn.XLOOKUP(C97,Dados!$C$3:$C$329,Dados!$K$3:$K$329,"")</f>
        <v>Nordeste</v>
      </c>
      <c r="N97" s="71">
        <f>_xlfn.XLOOKUP(C97,Dados!$C$3:$C$329,Dados!$L$3:$L$329,"")</f>
        <v>17</v>
      </c>
      <c r="O97" s="43">
        <f>_xlfn.XLOOKUP(C97,Dados!$C$3:$C$329,Dados!$M$3:$M$329,"")</f>
        <v>0.51163741706379495</v>
      </c>
      <c r="P97" s="43">
        <f>_xlfn.XLOOKUP(C97,Dados!$C$3:$C$329,Dados!$N$3:$N$329,"")</f>
        <v>0.47307842241214798</v>
      </c>
      <c r="Q97" s="43">
        <f>_xlfn.XLOOKUP(C97,Dados!$C$3:$C$329,Dados!$O$3:$O$329,"")</f>
        <v>0.42585261064494201</v>
      </c>
      <c r="R97" s="43">
        <f>_xlfn.XLOOKUP(C97,Dados!$C$3:$C$329,Dados!$P$3:$P$329,"")</f>
        <v>0.42786160126038397</v>
      </c>
      <c r="S97" s="43">
        <f>_xlfn.XLOOKUP(C97,Dados!$C$3:$C$329,Dados!$Q$3:$Q$329,"")</f>
        <v>0.28982206137600802</v>
      </c>
      <c r="T97" s="43">
        <f>_xlfn.XLOOKUP(C97,Dados!$C$3:$C$329,Dados!$R$3:$R$329,"")</f>
        <v>0.77976914456167101</v>
      </c>
      <c r="U97" s="43">
        <f>_xlfn.XLOOKUP(C97,Dados!$C$3:$C$329,Dados!$S$3:$S$329,"")</f>
        <v>0.74809721165817</v>
      </c>
      <c r="V97" s="77">
        <f>_xlfn.XLOOKUP(C97,Dados!$C$3:$C$329,Dados!$T$3:$T$329,"")</f>
        <v>1092.9671993136101</v>
      </c>
      <c r="W97" s="77">
        <f>_xlfn.XLOOKUP(C97,Dados!$C$3:$C$329,Dados!$U$3:$U$329,"")</f>
        <v>979.70345322103901</v>
      </c>
      <c r="X97" s="77">
        <f>_xlfn.XLOOKUP(C97,Dados!$C$3:$C$329,Dados!$V$3:$V$329,"")</f>
        <v>891.77171047908496</v>
      </c>
      <c r="Y97" s="77">
        <f>_xlfn.XLOOKUP(C97,Dados!$C$3:$C$329,Dados!$W$3:$W$329,"")</f>
        <v>787.66514097308198</v>
      </c>
      <c r="Z97" s="77">
        <f>_xlfn.XLOOKUP(C97,Dados!$C$3:$C$329,Dados!$X$3:$X$329,"")</f>
        <v>748.000498948516</v>
      </c>
      <c r="AA97" s="20"/>
      <c r="AB97" s="20"/>
      <c r="AC97" s="20"/>
      <c r="AD97" s="20"/>
      <c r="AE97" s="80"/>
      <c r="AF97" s="43" t="e">
        <v>#DIV/0!</v>
      </c>
      <c r="AG97" s="43">
        <v>8.4242092922116277E-2</v>
      </c>
      <c r="AH97" s="43">
        <v>7.9185858013614524E-2</v>
      </c>
      <c r="AI97" s="43">
        <v>0.29991029364199484</v>
      </c>
      <c r="AJ97" s="43" t="e">
        <v>#DIV/0!</v>
      </c>
      <c r="AK97" s="43" cm="1">
        <f t="array" ref="AK97">_xlfn.XLOOKUP(C97,Dados!$C$3:$C$329,Dados!$Z$3:'Dados'!$Z$329,"")</f>
        <v>3.5875179900623202</v>
      </c>
      <c r="AL97" s="43" cm="1">
        <f t="array" ref="AL97">_xlfn.XLOOKUP(C97,Dados!$C$3:$C$329,Dados!$AA$3:'Dados'!$AA$329,"")</f>
        <v>3.27875889583424</v>
      </c>
      <c r="AM97" s="43" cm="1">
        <f t="array" ref="AM97">_xlfn.XLOOKUP(C97,Dados!$C$3:$C$329,Dados!$AB$3:'Dados'!$AB$329,"")</f>
        <v>3.10549058095472</v>
      </c>
      <c r="AN97" s="43" cm="1">
        <f t="array" ref="AN97">_xlfn.XLOOKUP(C97,Dados!$C$3:$C$329,Dados!$AC$3:'Dados'!$AC$329,"")</f>
        <v>1.9819548872180499</v>
      </c>
      <c r="AO97" s="82" cm="1">
        <f t="array" ref="AO97">_xlfn.XLOOKUP(C97,Dados!$C$3:$C$329,Dados!$AD$3:'Dados'!$AD$329,"")</f>
        <v>2.8295198105232302</v>
      </c>
    </row>
    <row r="98" spans="1:41" ht="89.25" x14ac:dyDescent="0.25">
      <c r="A98" s="6">
        <v>94</v>
      </c>
      <c r="B98" s="3" t="s">
        <v>224</v>
      </c>
      <c r="C98" s="8" t="s">
        <v>225</v>
      </c>
      <c r="D98" s="8" t="s">
        <v>223</v>
      </c>
      <c r="E98" s="8" t="s">
        <v>210</v>
      </c>
      <c r="F98" s="72">
        <f>_xlfn.XLOOKUP(C98,Dados!$C$3:$C$329,Dados!$D$3:$D$329,"")</f>
        <v>11</v>
      </c>
      <c r="G98" s="86">
        <f>_xlfn.XLOOKUP(C98,Dados!$C$3:$C$329,Dados!$E$3:$E$329,"")</f>
        <v>267790</v>
      </c>
      <c r="H98" s="71">
        <f>_xlfn.XLOOKUP(C98,Dados!$C$3:$C$329,Dados!$F$3:$F$329,"")</f>
        <v>273188.33333333331</v>
      </c>
      <c r="I98" s="71">
        <f>_xlfn.XLOOKUP(C98,Dados!$C$3:$C$329,Dados!$G$3:$G$329,"")</f>
        <v>278586.66666666669</v>
      </c>
      <c r="J98" s="71">
        <f>_xlfn.XLOOKUP(C98,Dados!$C$3:$C$329,Dados!$H$3:$H$329,"")</f>
        <v>283985</v>
      </c>
      <c r="K98" s="71">
        <f>_xlfn.XLOOKUP(C98,Dados!$C$3:$C$329,Dados!$I$3:$I$329,"")</f>
        <v>284034</v>
      </c>
      <c r="L98" s="71">
        <f>_xlfn.XLOOKUP(C98,Dados!$C$3:$C$329,Dados!$J$3:$J$329,"")</f>
        <v>14</v>
      </c>
      <c r="M98" s="72" t="str">
        <f>_xlfn.XLOOKUP(C98,Dados!$C$3:$C$329,Dados!$K$3:$K$329,"")</f>
        <v>Nordeste</v>
      </c>
      <c r="N98" s="71">
        <f>_xlfn.XLOOKUP(C98,Dados!$C$3:$C$329,Dados!$L$3:$L$329,"")</f>
        <v>23</v>
      </c>
      <c r="O98" s="43">
        <f>_xlfn.XLOOKUP(C98,Dados!$C$3:$C$329,Dados!$M$3:$M$329,"")</f>
        <v>0.51038606736500503</v>
      </c>
      <c r="P98" s="43">
        <f>_xlfn.XLOOKUP(C98,Dados!$C$3:$C$329,Dados!$N$3:$N$329,"")</f>
        <v>0.45785481154877</v>
      </c>
      <c r="Q98" s="43">
        <f>_xlfn.XLOOKUP(C98,Dados!$C$3:$C$329,Dados!$O$3:$O$329,"")</f>
        <v>0.40194500378541098</v>
      </c>
      <c r="R98" s="43">
        <f>_xlfn.XLOOKUP(C98,Dados!$C$3:$C$329,Dados!$P$3:$P$329,"")</f>
        <v>0.40264368385475002</v>
      </c>
      <c r="S98" s="43">
        <f>_xlfn.XLOOKUP(C98,Dados!$C$3:$C$329,Dados!$Q$3:$Q$329,"")</f>
        <v>0.68550569098784297</v>
      </c>
      <c r="T98" s="43">
        <f>_xlfn.XLOOKUP(C98,Dados!$C$3:$C$329,Dados!$R$3:$R$329,"")</f>
        <v>0.82152831949363403</v>
      </c>
      <c r="U98" s="43">
        <f>_xlfn.XLOOKUP(C98,Dados!$C$3:$C$329,Dados!$S$3:$S$329,"")</f>
        <v>0.85407626411888604</v>
      </c>
      <c r="V98" s="77">
        <f>_xlfn.XLOOKUP(C98,Dados!$C$3:$C$329,Dados!$T$3:$T$329,"")</f>
        <v>1155.7444385152501</v>
      </c>
      <c r="W98" s="77">
        <f>_xlfn.XLOOKUP(C98,Dados!$C$3:$C$329,Dados!$U$3:$U$329,"")</f>
        <v>970.64330339875403</v>
      </c>
      <c r="X98" s="77">
        <f>_xlfn.XLOOKUP(C98,Dados!$C$3:$C$329,Dados!$V$3:$V$329,"")</f>
        <v>796.42525214176305</v>
      </c>
      <c r="Y98" s="77">
        <f>_xlfn.XLOOKUP(C98,Dados!$C$3:$C$329,Dados!$W$3:$W$329,"")</f>
        <v>733.55065764036794</v>
      </c>
      <c r="Z98" s="77">
        <f>_xlfn.XLOOKUP(C98,Dados!$C$3:$C$329,Dados!$X$3:$X$329,"")</f>
        <v>736.61995754029499</v>
      </c>
      <c r="AA98" s="20"/>
      <c r="AB98" s="20"/>
      <c r="AC98" s="20"/>
      <c r="AD98" s="20"/>
      <c r="AE98" s="80"/>
      <c r="AF98" s="43" t="e">
        <v>#DIV/0!</v>
      </c>
      <c r="AG98" s="43">
        <v>0.45209136478689643</v>
      </c>
      <c r="AH98" s="43">
        <v>0.58020551713497037</v>
      </c>
      <c r="AI98" s="43" t="e">
        <v>#DIV/0!</v>
      </c>
      <c r="AJ98" s="43">
        <v>0.38811688766246083</v>
      </c>
      <c r="AK98" s="43" cm="1">
        <f t="array" ref="AK98">_xlfn.XLOOKUP(C98,Dados!$C$3:$C$329,Dados!$Z$3:'Dados'!$Z$329,"")</f>
        <v>7.0989133276074501</v>
      </c>
      <c r="AL98" s="43" cm="1">
        <f t="array" ref="AL98">_xlfn.XLOOKUP(C98,Dados!$C$3:$C$329,Dados!$AA$3:'Dados'!$AA$329,"")</f>
        <v>3.5086600818727001</v>
      </c>
      <c r="AM98" s="43" cm="1">
        <f t="array" ref="AM98">_xlfn.XLOOKUP(C98,Dados!$C$3:$C$329,Dados!$AB$3:'Dados'!$AB$329,"")</f>
        <v>5.6134596056284103</v>
      </c>
      <c r="AN98" s="43" cm="1">
        <f t="array" ref="AN98">_xlfn.XLOOKUP(C98,Dados!$C$3:$C$329,Dados!$AC$3:'Dados'!$AC$329,"")</f>
        <v>3.9035336373399998</v>
      </c>
      <c r="AO98" s="82" cm="1">
        <f t="array" ref="AO98">_xlfn.XLOOKUP(C98,Dados!$C$3:$C$329,Dados!$AD$3:'Dados'!$AD$329,"")</f>
        <v>3.8658435257750798</v>
      </c>
    </row>
    <row r="99" spans="1:41" ht="38.25" x14ac:dyDescent="0.25">
      <c r="A99" s="6">
        <v>106</v>
      </c>
      <c r="B99" s="3" t="s">
        <v>226</v>
      </c>
      <c r="C99" s="8" t="s">
        <v>227</v>
      </c>
      <c r="D99" s="8" t="s">
        <v>228</v>
      </c>
      <c r="E99" s="8" t="s">
        <v>210</v>
      </c>
      <c r="F99" s="72">
        <f>_xlfn.XLOOKUP(C99,Dados!$C$3:$C$329,Dados!$D$3:$D$329,"")</f>
        <v>14</v>
      </c>
      <c r="G99" s="86">
        <f>_xlfn.XLOOKUP(C99,Dados!$C$3:$C$329,Dados!$E$3:$E$329,"")</f>
        <v>658665</v>
      </c>
      <c r="H99" s="71">
        <f>_xlfn.XLOOKUP(C99,Dados!$C$3:$C$329,Dados!$F$3:$F$329,"")</f>
        <v>658614</v>
      </c>
      <c r="I99" s="71">
        <f>_xlfn.XLOOKUP(C99,Dados!$C$3:$C$329,Dados!$G$3:$G$329,"")</f>
        <v>658563</v>
      </c>
      <c r="J99" s="71">
        <f>_xlfn.XLOOKUP(C99,Dados!$C$3:$C$329,Dados!$H$3:$H$329,"")</f>
        <v>658512</v>
      </c>
      <c r="K99" s="71">
        <f>_xlfn.XLOOKUP(C99,Dados!$C$3:$C$329,Dados!$I$3:$I$329,"")</f>
        <v>655053</v>
      </c>
      <c r="L99" s="71">
        <f>_xlfn.XLOOKUP(C99,Dados!$C$3:$C$329,Dados!$J$3:$J$329,"")</f>
        <v>24</v>
      </c>
      <c r="M99" s="72" t="str">
        <f>_xlfn.XLOOKUP(C99,Dados!$C$3:$C$329,Dados!$K$3:$K$329,"")</f>
        <v>Nordeste</v>
      </c>
      <c r="N99" s="71">
        <f>_xlfn.XLOOKUP(C99,Dados!$C$3:$C$329,Dados!$L$3:$L$329,"")</f>
        <v>1</v>
      </c>
      <c r="O99" s="43">
        <f>_xlfn.XLOOKUP(C99,Dados!$C$3:$C$329,Dados!$M$3:$M$329,"")</f>
        <v>0.66790136473463002</v>
      </c>
      <c r="P99" s="43">
        <f>_xlfn.XLOOKUP(C99,Dados!$C$3:$C$329,Dados!$N$3:$N$329,"")</f>
        <v>0.63433019392222201</v>
      </c>
      <c r="Q99" s="43">
        <f>_xlfn.XLOOKUP(C99,Dados!$C$3:$C$329,Dados!$O$3:$O$329,"")</f>
        <v>0.60966277410282599</v>
      </c>
      <c r="R99" s="43">
        <f>_xlfn.XLOOKUP(C99,Dados!$C$3:$C$329,Dados!$P$3:$P$329,"")</f>
        <v>0.58897178854230103</v>
      </c>
      <c r="S99" s="43">
        <f>_xlfn.XLOOKUP(C99,Dados!$C$3:$C$329,Dados!$Q$3:$Q$329,"")</f>
        <v>0.401714767101502</v>
      </c>
      <c r="T99" s="43">
        <f>_xlfn.XLOOKUP(C99,Dados!$C$3:$C$329,Dados!$R$3:$R$329,"")</f>
        <v>0.80628290874727804</v>
      </c>
      <c r="U99" s="43">
        <f>_xlfn.XLOOKUP(C99,Dados!$C$3:$C$329,Dados!$S$3:$S$329,"")</f>
        <v>0.81339605874203902</v>
      </c>
      <c r="V99" s="77">
        <f>_xlfn.XLOOKUP(C99,Dados!$C$3:$C$329,Dados!$T$3:$T$329,"")</f>
        <v>1595.2607845262801</v>
      </c>
      <c r="W99" s="77">
        <f>_xlfn.XLOOKUP(C99,Dados!$C$3:$C$329,Dados!$U$3:$U$329,"")</f>
        <v>1409.4707225729601</v>
      </c>
      <c r="X99" s="77">
        <f>_xlfn.XLOOKUP(C99,Dados!$C$3:$C$329,Dados!$V$3:$V$329,"")</f>
        <v>1265.9607084920799</v>
      </c>
      <c r="Y99" s="77">
        <f>_xlfn.XLOOKUP(C99,Dados!$C$3:$C$329,Dados!$W$3:$W$329,"")</f>
        <v>1033.22893402094</v>
      </c>
      <c r="Z99" s="77">
        <f>_xlfn.XLOOKUP(C99,Dados!$C$3:$C$329,Dados!$X$3:$X$329,"")</f>
        <v>988.32901789626203</v>
      </c>
      <c r="AA99" s="20"/>
      <c r="AB99" s="20"/>
      <c r="AC99" s="20"/>
      <c r="AD99" s="20"/>
      <c r="AE99" s="80"/>
      <c r="AF99" s="43">
        <v>0.40032874619255132</v>
      </c>
      <c r="AG99" s="43">
        <v>0.40212314752566192</v>
      </c>
      <c r="AH99" s="43">
        <v>0.64446531336022927</v>
      </c>
      <c r="AI99" s="43">
        <v>0.57932899699870888</v>
      </c>
      <c r="AJ99" s="43">
        <v>0.59097721322217689</v>
      </c>
      <c r="AK99" s="43" cm="1">
        <f t="array" ref="AK99">_xlfn.XLOOKUP(C99,Dados!$C$3:$C$329,Dados!$Z$3:'Dados'!$Z$329,"")</f>
        <v>8.1103277083190992</v>
      </c>
      <c r="AL99" s="43" cm="1">
        <f t="array" ref="AL99">_xlfn.XLOOKUP(C99,Dados!$C$3:$C$329,Dados!$AA$3:'Dados'!$AA$329,"")</f>
        <v>7.5845108060259898</v>
      </c>
      <c r="AM99" s="43" cm="1">
        <f t="array" ref="AM99">_xlfn.XLOOKUP(C99,Dados!$C$3:$C$329,Dados!$AB$3:'Dados'!$AB$329,"")</f>
        <v>6.7243103545142997</v>
      </c>
      <c r="AN99" s="43" cm="1">
        <f t="array" ref="AN99">_xlfn.XLOOKUP(C99,Dados!$C$3:$C$329,Dados!$AC$3:'Dados'!$AC$329,"")</f>
        <v>5.3316659377505697</v>
      </c>
      <c r="AO99" s="82" cm="1">
        <f t="array" ref="AO99">_xlfn.XLOOKUP(C99,Dados!$C$3:$C$329,Dados!$AD$3:'Dados'!$AD$329,"")</f>
        <v>4.5479892466716398</v>
      </c>
    </row>
    <row r="100" spans="1:41" ht="51" x14ac:dyDescent="0.25">
      <c r="A100" s="6">
        <v>107</v>
      </c>
      <c r="B100" s="3" t="s">
        <v>229</v>
      </c>
      <c r="C100" s="8" t="s">
        <v>230</v>
      </c>
      <c r="D100" s="8" t="s">
        <v>228</v>
      </c>
      <c r="E100" s="8" t="s">
        <v>210</v>
      </c>
      <c r="F100" s="72">
        <f>_xlfn.XLOOKUP(C100,Dados!$C$3:$C$329,Dados!$D$3:$D$329,"")</f>
        <v>14</v>
      </c>
      <c r="G100" s="86">
        <f>_xlfn.XLOOKUP(C100,Dados!$C$3:$C$329,Dados!$E$3:$E$329,"")</f>
        <v>258845</v>
      </c>
      <c r="H100" s="71">
        <f>_xlfn.XLOOKUP(C100,Dados!$C$3:$C$329,Dados!$F$3:$F$329,"")</f>
        <v>250938.66666666666</v>
      </c>
      <c r="I100" s="71">
        <f>_xlfn.XLOOKUP(C100,Dados!$C$3:$C$329,Dados!$G$3:$G$329,"")</f>
        <v>243032.33333333334</v>
      </c>
      <c r="J100" s="71">
        <f>_xlfn.XLOOKUP(C100,Dados!$C$3:$C$329,Dados!$H$3:$H$329,"")</f>
        <v>235126</v>
      </c>
      <c r="K100" s="71">
        <f>_xlfn.XLOOKUP(C100,Dados!$C$3:$C$329,Dados!$I$3:$I$329,"")</f>
        <v>233385</v>
      </c>
      <c r="L100" s="71">
        <f>_xlfn.XLOOKUP(C100,Dados!$C$3:$C$329,Dados!$J$3:$J$329,"")</f>
        <v>7</v>
      </c>
      <c r="M100" s="72" t="str">
        <f>_xlfn.XLOOKUP(C100,Dados!$C$3:$C$329,Dados!$K$3:$K$329,"")</f>
        <v>Nordeste</v>
      </c>
      <c r="N100" s="71">
        <f>_xlfn.XLOOKUP(C100,Dados!$C$3:$C$329,Dados!$L$3:$L$329,"")</f>
        <v>1</v>
      </c>
      <c r="O100" s="43">
        <f>_xlfn.XLOOKUP(C100,Dados!$C$3:$C$329,Dados!$M$3:$M$329,"")</f>
        <v>0.61171132614078305</v>
      </c>
      <c r="P100" s="43">
        <f>_xlfn.XLOOKUP(C100,Dados!$C$3:$C$329,Dados!$N$3:$N$329,"")</f>
        <v>0.59779475570465901</v>
      </c>
      <c r="Q100" s="43">
        <f>_xlfn.XLOOKUP(C100,Dados!$C$3:$C$329,Dados!$O$3:$O$329,"")</f>
        <v>0.55370364613015999</v>
      </c>
      <c r="R100" s="43">
        <f>_xlfn.XLOOKUP(C100,Dados!$C$3:$C$329,Dados!$P$3:$P$329,"")</f>
        <v>0.52294501231870105</v>
      </c>
      <c r="S100" s="43">
        <f>_xlfn.XLOOKUP(C100,Dados!$C$3:$C$329,Dados!$Q$3:$Q$329,"")</f>
        <v>0.12535500214649101</v>
      </c>
      <c r="T100" s="43">
        <f>_xlfn.XLOOKUP(C100,Dados!$C$3:$C$329,Dados!$R$3:$R$329,"")</f>
        <v>0.69412389654600104</v>
      </c>
      <c r="U100" s="43">
        <f>_xlfn.XLOOKUP(C100,Dados!$C$3:$C$329,Dados!$S$3:$S$329,"")</f>
        <v>0.697345434420934</v>
      </c>
      <c r="V100" s="77">
        <f>_xlfn.XLOOKUP(C100,Dados!$C$3:$C$329,Dados!$T$3:$T$329,"")</f>
        <v>1477.1413793582999</v>
      </c>
      <c r="W100" s="77">
        <f>_xlfn.XLOOKUP(C100,Dados!$C$3:$C$329,Dados!$U$3:$U$329,"")</f>
        <v>1221.0401839891799</v>
      </c>
      <c r="X100" s="77">
        <f>_xlfn.XLOOKUP(C100,Dados!$C$3:$C$329,Dados!$V$3:$V$329,"")</f>
        <v>1165.0167750655901</v>
      </c>
      <c r="Y100" s="77">
        <f>_xlfn.XLOOKUP(C100,Dados!$C$3:$C$329,Dados!$W$3:$W$329,"")</f>
        <v>893.36602829972003</v>
      </c>
      <c r="Z100" s="77">
        <f>_xlfn.XLOOKUP(C100,Dados!$C$3:$C$329,Dados!$X$3:$X$329,"")</f>
        <v>792.75470664352895</v>
      </c>
      <c r="AA100" s="20"/>
      <c r="AB100" s="20"/>
      <c r="AC100" s="20"/>
      <c r="AD100" s="20"/>
      <c r="AE100" s="80"/>
      <c r="AF100" s="43">
        <v>0.55297832851011652</v>
      </c>
      <c r="AG100" s="43">
        <v>0.56161239482538194</v>
      </c>
      <c r="AH100" s="43">
        <v>0.52677610687318133</v>
      </c>
      <c r="AI100" s="43" t="e">
        <v>#DIV/0!</v>
      </c>
      <c r="AJ100" s="43" t="e">
        <v>#DIV/0!</v>
      </c>
      <c r="AK100" s="43" cm="1">
        <f t="array" ref="AK100">_xlfn.XLOOKUP(C100,Dados!$C$3:$C$329,Dados!$Z$3:'Dados'!$Z$329,"")</f>
        <v>7.84963588247793</v>
      </c>
      <c r="AL100" s="43" cm="1">
        <f t="array" ref="AL100">_xlfn.XLOOKUP(C100,Dados!$C$3:$C$329,Dados!$AA$3:'Dados'!$AA$329,"")</f>
        <v>7.7482359567278101</v>
      </c>
      <c r="AM100" s="43" cm="1">
        <f t="array" ref="AM100">_xlfn.XLOOKUP(C100,Dados!$C$3:$C$329,Dados!$AB$3:'Dados'!$AB$329,"")</f>
        <v>7.1415847274093798</v>
      </c>
      <c r="AN100" s="43" cm="1">
        <f t="array" ref="AN100">_xlfn.XLOOKUP(C100,Dados!$C$3:$C$329,Dados!$AC$3:'Dados'!$AC$329,"")</f>
        <v>5.22856255794765</v>
      </c>
      <c r="AO100" s="82" cm="1">
        <f t="array" ref="AO100">_xlfn.XLOOKUP(C100,Dados!$C$3:$C$329,Dados!$AD$3:'Dados'!$AD$329,"")</f>
        <v>3.9686183773593</v>
      </c>
    </row>
    <row r="101" spans="1:41" ht="51" x14ac:dyDescent="0.25">
      <c r="A101" s="6">
        <v>109</v>
      </c>
      <c r="B101" s="3" t="s">
        <v>231</v>
      </c>
      <c r="C101" s="8" t="s">
        <v>232</v>
      </c>
      <c r="D101" s="8" t="s">
        <v>228</v>
      </c>
      <c r="E101" s="8" t="s">
        <v>210</v>
      </c>
      <c r="F101" s="72">
        <f>_xlfn.XLOOKUP(C101,Dados!$C$3:$C$329,Dados!$D$3:$D$329,"")</f>
        <v>15</v>
      </c>
      <c r="G101" s="86">
        <f>_xlfn.XLOOKUP(C101,Dados!$C$3:$C$329,Dados!$E$3:$E$329,"")</f>
        <v>194674</v>
      </c>
      <c r="H101" s="71">
        <f>_xlfn.XLOOKUP(C101,Dados!$C$3:$C$329,Dados!$F$3:$F$329,"")</f>
        <v>199616</v>
      </c>
      <c r="I101" s="71">
        <f>_xlfn.XLOOKUP(C101,Dados!$C$3:$C$329,Dados!$G$3:$G$329,"")</f>
        <v>204558</v>
      </c>
      <c r="J101" s="71">
        <f>_xlfn.XLOOKUP(C101,Dados!$C$3:$C$329,Dados!$H$3:$H$329,"")</f>
        <v>209500</v>
      </c>
      <c r="K101" s="71">
        <f>_xlfn.XLOOKUP(C101,Dados!$C$3:$C$329,Dados!$I$3:$I$329,"")</f>
        <v>208555</v>
      </c>
      <c r="L101" s="71">
        <f>_xlfn.XLOOKUP(C101,Dados!$C$3:$C$329,Dados!$J$3:$J$329,"")</f>
        <v>6</v>
      </c>
      <c r="M101" s="72" t="str">
        <f>_xlfn.XLOOKUP(C101,Dados!$C$3:$C$329,Dados!$K$3:$K$329,"")</f>
        <v>Nordeste</v>
      </c>
      <c r="N101" s="71">
        <f>_xlfn.XLOOKUP(C101,Dados!$C$3:$C$329,Dados!$L$3:$L$329,"")</f>
        <v>2</v>
      </c>
      <c r="O101" s="43">
        <f>_xlfn.XLOOKUP(C101,Dados!$C$3:$C$329,Dados!$M$3:$M$329,"")</f>
        <v>0.58349652065298696</v>
      </c>
      <c r="P101" s="43">
        <f>_xlfn.XLOOKUP(C101,Dados!$C$3:$C$329,Dados!$N$3:$N$329,"")</f>
        <v>0.55591645727210204</v>
      </c>
      <c r="Q101" s="43">
        <f>_xlfn.XLOOKUP(C101,Dados!$C$3:$C$329,Dados!$O$3:$O$329,"")</f>
        <v>0.52646703675417705</v>
      </c>
      <c r="R101" s="43">
        <f>_xlfn.XLOOKUP(C101,Dados!$C$3:$C$329,Dados!$P$3:$P$329,"")</f>
        <v>0.48081877202656398</v>
      </c>
      <c r="S101" s="43">
        <f>_xlfn.XLOOKUP(C101,Dados!$C$3:$C$329,Dados!$Q$3:$Q$329,"")</f>
        <v>0.25394736961318198</v>
      </c>
      <c r="T101" s="43">
        <f>_xlfn.XLOOKUP(C101,Dados!$C$3:$C$329,Dados!$R$3:$R$329,"")</f>
        <v>0.66045061873242195</v>
      </c>
      <c r="U101" s="43">
        <f>_xlfn.XLOOKUP(C101,Dados!$C$3:$C$329,Dados!$S$3:$S$329,"")</f>
        <v>0.65404710709595004</v>
      </c>
      <c r="V101" s="77">
        <f>_xlfn.XLOOKUP(C101,Dados!$C$3:$C$329,Dados!$T$3:$T$329,"")</f>
        <v>1341.9056276133399</v>
      </c>
      <c r="W101" s="77">
        <f>_xlfn.XLOOKUP(C101,Dados!$C$3:$C$329,Dados!$U$3:$U$329,"")</f>
        <v>1024.4845613244099</v>
      </c>
      <c r="X101" s="77">
        <f>_xlfn.XLOOKUP(C101,Dados!$C$3:$C$329,Dados!$V$3:$V$329,"")</f>
        <v>949.85164390213697</v>
      </c>
      <c r="Y101" s="77">
        <f>_xlfn.XLOOKUP(C101,Dados!$C$3:$C$329,Dados!$W$3:$W$329,"")</f>
        <v>790.83371799522695</v>
      </c>
      <c r="Z101" s="77">
        <f>_xlfn.XLOOKUP(C101,Dados!$C$3:$C$329,Dados!$X$3:$X$329,"")</f>
        <v>718.68005058617598</v>
      </c>
      <c r="AA101" s="20"/>
      <c r="AB101" s="20"/>
      <c r="AC101" s="20"/>
      <c r="AD101" s="20"/>
      <c r="AE101" s="80"/>
      <c r="AF101" s="43">
        <v>0.48030547168688692</v>
      </c>
      <c r="AG101" s="43">
        <v>0.40565638095845247</v>
      </c>
      <c r="AH101" s="43">
        <v>0.35197978699587928</v>
      </c>
      <c r="AI101" s="43">
        <v>0.76165531238599204</v>
      </c>
      <c r="AJ101" s="43">
        <v>0.79941105565295756</v>
      </c>
      <c r="AK101" s="43" cm="1">
        <f t="array" ref="AK101">_xlfn.XLOOKUP(C101,Dados!$C$3:$C$329,Dados!$Z$3:'Dados'!$Z$329,"")</f>
        <v>5.8097640157391304</v>
      </c>
      <c r="AL101" s="43" cm="1">
        <f t="array" ref="AL101">_xlfn.XLOOKUP(C101,Dados!$C$3:$C$329,Dados!$AA$3:'Dados'!$AA$329,"")</f>
        <v>6.1523925937800596</v>
      </c>
      <c r="AM101" s="43" cm="1">
        <f t="array" ref="AM101">_xlfn.XLOOKUP(C101,Dados!$C$3:$C$329,Dados!$AB$3:'Dados'!$AB$329,"")</f>
        <v>4.79735820647445</v>
      </c>
      <c r="AN101" s="43" cm="1">
        <f t="array" ref="AN101">_xlfn.XLOOKUP(C101,Dados!$C$3:$C$329,Dados!$AC$3:'Dados'!$AC$329,"")</f>
        <v>3.6819331742243402</v>
      </c>
      <c r="AO101" s="82" cm="1">
        <f t="array" ref="AO101">_xlfn.XLOOKUP(C101,Dados!$C$3:$C$329,Dados!$AD$3:'Dados'!$AD$329,"")</f>
        <v>2.73233919110067</v>
      </c>
    </row>
    <row r="102" spans="1:41" ht="38.25" x14ac:dyDescent="0.25">
      <c r="A102" s="6">
        <v>110</v>
      </c>
      <c r="B102" s="3" t="s">
        <v>233</v>
      </c>
      <c r="C102" s="8" t="s">
        <v>234</v>
      </c>
      <c r="D102" s="8" t="s">
        <v>228</v>
      </c>
      <c r="E102" s="8" t="s">
        <v>210</v>
      </c>
      <c r="F102" s="72">
        <f>_xlfn.XLOOKUP(C102,Dados!$C$3:$C$329,Dados!$D$3:$D$329,"")</f>
        <v>15</v>
      </c>
      <c r="G102" s="86">
        <f>_xlfn.XLOOKUP(C102,Dados!$C$3:$C$329,Dados!$E$3:$E$329,"")</f>
        <v>139375</v>
      </c>
      <c r="H102" s="71">
        <f>_xlfn.XLOOKUP(C102,Dados!$C$3:$C$329,Dados!$F$3:$F$329,"")</f>
        <v>140053.66666666666</v>
      </c>
      <c r="I102" s="71">
        <f>_xlfn.XLOOKUP(C102,Dados!$C$3:$C$329,Dados!$G$3:$G$329,"")</f>
        <v>140732.33333333334</v>
      </c>
      <c r="J102" s="71">
        <f>_xlfn.XLOOKUP(C102,Dados!$C$3:$C$329,Dados!$H$3:$H$329,"")</f>
        <v>141411</v>
      </c>
      <c r="K102" s="71">
        <f>_xlfn.XLOOKUP(C102,Dados!$C$3:$C$329,Dados!$I$3:$I$329,"")</f>
        <v>140945</v>
      </c>
      <c r="L102" s="71">
        <f>_xlfn.XLOOKUP(C102,Dados!$C$3:$C$329,Dados!$J$3:$J$329,"")</f>
        <v>8</v>
      </c>
      <c r="M102" s="72" t="str">
        <f>_xlfn.XLOOKUP(C102,Dados!$C$3:$C$329,Dados!$K$3:$K$329,"")</f>
        <v>Nordeste</v>
      </c>
      <c r="N102" s="71">
        <f>_xlfn.XLOOKUP(C102,Dados!$C$3:$C$329,Dados!$L$3:$L$329,"")</f>
        <v>1</v>
      </c>
      <c r="O102" s="43">
        <f>_xlfn.XLOOKUP(C102,Dados!$C$3:$C$329,Dados!$M$3:$M$329,"")</f>
        <v>0.59437315552847603</v>
      </c>
      <c r="P102" s="43">
        <f>_xlfn.XLOOKUP(C102,Dados!$C$3:$C$329,Dados!$N$3:$N$329,"")</f>
        <v>0.55002741540086797</v>
      </c>
      <c r="Q102" s="43">
        <f>_xlfn.XLOOKUP(C102,Dados!$C$3:$C$329,Dados!$O$3:$O$329,"")</f>
        <v>0.51236864883212796</v>
      </c>
      <c r="R102" s="43">
        <f>_xlfn.XLOOKUP(C102,Dados!$C$3:$C$329,Dados!$P$3:$P$329,"")</f>
        <v>0.48215735073964999</v>
      </c>
      <c r="S102" s="43">
        <f>_xlfn.XLOOKUP(C102,Dados!$C$3:$C$329,Dados!$Q$3:$Q$329,"")</f>
        <v>0.21391965930596399</v>
      </c>
      <c r="T102" s="43">
        <f>_xlfn.XLOOKUP(C102,Dados!$C$3:$C$329,Dados!$R$3:$R$329,"")</f>
        <v>0.595705172940594</v>
      </c>
      <c r="U102" s="43">
        <f>_xlfn.XLOOKUP(C102,Dados!$C$3:$C$329,Dados!$S$3:$S$329,"")</f>
        <v>0.78710620729185599</v>
      </c>
      <c r="V102" s="77">
        <f>_xlfn.XLOOKUP(C102,Dados!$C$3:$C$329,Dados!$T$3:$T$329,"")</f>
        <v>1866.2573267085199</v>
      </c>
      <c r="W102" s="77">
        <f>_xlfn.XLOOKUP(C102,Dados!$C$3:$C$329,Dados!$U$3:$U$329,"")</f>
        <v>1395.9031824943299</v>
      </c>
      <c r="X102" s="77">
        <f>_xlfn.XLOOKUP(C102,Dados!$C$3:$C$329,Dados!$V$3:$V$329,"")</f>
        <v>1310.09507535582</v>
      </c>
      <c r="Y102" s="77">
        <f>_xlfn.XLOOKUP(C102,Dados!$C$3:$C$329,Dados!$W$3:$W$329,"")</f>
        <v>1096.2583373995001</v>
      </c>
      <c r="Z102" s="77">
        <f>_xlfn.XLOOKUP(C102,Dados!$C$3:$C$329,Dados!$X$3:$X$329,"")</f>
        <v>962.00106779240105</v>
      </c>
      <c r="AA102" s="20"/>
      <c r="AB102" s="20"/>
      <c r="AC102" s="20"/>
      <c r="AD102" s="20"/>
      <c r="AE102" s="80"/>
      <c r="AF102" s="43" t="e">
        <v>#DIV/0!</v>
      </c>
      <c r="AG102" s="43" t="e">
        <v>#DIV/0!</v>
      </c>
      <c r="AH102" s="43">
        <v>0.71620314083774583</v>
      </c>
      <c r="AI102" s="43" t="e">
        <v>#DIV/0!</v>
      </c>
      <c r="AJ102" s="43" t="e">
        <v>#DIV/0!</v>
      </c>
      <c r="AK102" s="43" cm="1">
        <f t="array" ref="AK102">_xlfn.XLOOKUP(C102,Dados!$C$3:$C$329,Dados!$Z$3:'Dados'!$Z$329,"")</f>
        <v>13.434468161434999</v>
      </c>
      <c r="AL102" s="43" cm="1">
        <f t="array" ref="AL102">_xlfn.XLOOKUP(C102,Dados!$C$3:$C$329,Dados!$AA$3:'Dados'!$AA$329,"")</f>
        <v>10.9005500272515</v>
      </c>
      <c r="AM102" s="43" cm="1">
        <f t="array" ref="AM102">_xlfn.XLOOKUP(C102,Dados!$C$3:$C$329,Dados!$AB$3:'Dados'!$AB$329,"")</f>
        <v>8.7443799932259108</v>
      </c>
      <c r="AN102" s="43" cm="1">
        <f t="array" ref="AN102">_xlfn.XLOOKUP(C102,Dados!$C$3:$C$329,Dados!$AC$3:'Dados'!$AC$329,"")</f>
        <v>6.0102255128667501</v>
      </c>
      <c r="AO102" s="82" cm="1">
        <f t="array" ref="AO102">_xlfn.XLOOKUP(C102,Dados!$C$3:$C$329,Dados!$AD$3:'Dados'!$AD$329,"")</f>
        <v>5.9033736563907899</v>
      </c>
    </row>
    <row r="103" spans="1:41" ht="63.75" x14ac:dyDescent="0.25">
      <c r="A103" s="6">
        <v>112</v>
      </c>
      <c r="B103" s="3" t="s">
        <v>235</v>
      </c>
      <c r="C103" s="8" t="s">
        <v>236</v>
      </c>
      <c r="D103" s="8" t="s">
        <v>228</v>
      </c>
      <c r="E103" s="8" t="s">
        <v>210</v>
      </c>
      <c r="F103" s="72">
        <f>_xlfn.XLOOKUP(C103,Dados!$C$3:$C$329,Dados!$D$3:$D$329,"")</f>
        <v>15</v>
      </c>
      <c r="G103" s="86">
        <f>_xlfn.XLOOKUP(C103,Dados!$C$3:$C$329,Dados!$E$3:$E$329,"")</f>
        <v>483137</v>
      </c>
      <c r="H103" s="71">
        <f>_xlfn.XLOOKUP(C103,Dados!$C$3:$C$329,Dados!$F$3:$F$329,"")</f>
        <v>466915</v>
      </c>
      <c r="I103" s="71">
        <f>_xlfn.XLOOKUP(C103,Dados!$C$3:$C$329,Dados!$G$3:$G$329,"")</f>
        <v>450693</v>
      </c>
      <c r="J103" s="71">
        <f>_xlfn.XLOOKUP(C103,Dados!$C$3:$C$329,Dados!$H$3:$H$329,"")</f>
        <v>434471</v>
      </c>
      <c r="K103" s="71">
        <f>_xlfn.XLOOKUP(C103,Dados!$C$3:$C$329,Dados!$I$3:$I$329,"")</f>
        <v>431954</v>
      </c>
      <c r="L103" s="71">
        <f>_xlfn.XLOOKUP(C103,Dados!$C$3:$C$329,Dados!$J$3:$J$329,"")</f>
        <v>6</v>
      </c>
      <c r="M103" s="72" t="str">
        <f>_xlfn.XLOOKUP(C103,Dados!$C$3:$C$329,Dados!$K$3:$K$329,"")</f>
        <v>Nordeste</v>
      </c>
      <c r="N103" s="71">
        <f>_xlfn.XLOOKUP(C103,Dados!$C$3:$C$329,Dados!$L$3:$L$329,"")</f>
        <v>2</v>
      </c>
      <c r="O103" s="43">
        <f>_xlfn.XLOOKUP(C103,Dados!$C$3:$C$329,Dados!$M$3:$M$329,"")</f>
        <v>0.62665508454429597</v>
      </c>
      <c r="P103" s="43">
        <f>_xlfn.XLOOKUP(C103,Dados!$C$3:$C$329,Dados!$N$3:$N$329,"")</f>
        <v>0.60418532674496095</v>
      </c>
      <c r="Q103" s="43">
        <f>_xlfn.XLOOKUP(C103,Dados!$C$3:$C$329,Dados!$O$3:$O$329,"")</f>
        <v>0.57298279263748297</v>
      </c>
      <c r="R103" s="43">
        <f>_xlfn.XLOOKUP(C103,Dados!$C$3:$C$329,Dados!$P$3:$P$329,"")</f>
        <v>0.55872975270514902</v>
      </c>
      <c r="S103" s="43">
        <f>_xlfn.XLOOKUP(C103,Dados!$C$3:$C$329,Dados!$Q$3:$Q$329,"")</f>
        <v>0.32461821964545001</v>
      </c>
      <c r="T103" s="43">
        <f>_xlfn.XLOOKUP(C103,Dados!$C$3:$C$329,Dados!$R$3:$R$329,"")</f>
        <v>0.84543714612829601</v>
      </c>
      <c r="U103" s="43">
        <f>_xlfn.XLOOKUP(C103,Dados!$C$3:$C$329,Dados!$S$3:$S$329,"")</f>
        <v>0.88385995160046105</v>
      </c>
      <c r="V103" s="77">
        <f>_xlfn.XLOOKUP(C103,Dados!$C$3:$C$329,Dados!$T$3:$T$329,"")</f>
        <v>1463.1351950895901</v>
      </c>
      <c r="W103" s="77">
        <f>_xlfn.XLOOKUP(C103,Dados!$C$3:$C$329,Dados!$U$3:$U$329,"")</f>
        <v>1376.3678743811299</v>
      </c>
      <c r="X103" s="77">
        <f>_xlfn.XLOOKUP(C103,Dados!$C$3:$C$329,Dados!$V$3:$V$329,"")</f>
        <v>1149.36466767105</v>
      </c>
      <c r="Y103" s="77">
        <f>_xlfn.XLOOKUP(C103,Dados!$C$3:$C$329,Dados!$W$3:$W$329,"")</f>
        <v>1020.95562951267</v>
      </c>
      <c r="Z103" s="77">
        <f>_xlfn.XLOOKUP(C103,Dados!$C$3:$C$329,Dados!$X$3:$X$329,"")</f>
        <v>960.346991624108</v>
      </c>
      <c r="AA103" s="20"/>
      <c r="AB103" s="20"/>
      <c r="AC103" s="20"/>
      <c r="AD103" s="20"/>
      <c r="AE103" s="80"/>
      <c r="AF103" s="43">
        <v>0.58162115822342852</v>
      </c>
      <c r="AG103" s="43">
        <v>0.54772174533090823</v>
      </c>
      <c r="AH103" s="43">
        <v>0.56329106898045689</v>
      </c>
      <c r="AI103" s="43">
        <v>0.62747723868316629</v>
      </c>
      <c r="AJ103" s="43">
        <v>0.64811336512417694</v>
      </c>
      <c r="AK103" s="43" cm="1">
        <f t="array" ref="AK103">_xlfn.XLOOKUP(C103,Dados!$C$3:$C$329,Dados!$Z$3:'Dados'!$Z$329,"")</f>
        <v>8.91655989915904</v>
      </c>
      <c r="AL103" s="43" cm="1">
        <f t="array" ref="AL103">_xlfn.XLOOKUP(C103,Dados!$C$3:$C$329,Dados!$AA$3:'Dados'!$AA$329,"")</f>
        <v>8.2898985896790602</v>
      </c>
      <c r="AM103" s="43" cm="1">
        <f t="array" ref="AM103">_xlfn.XLOOKUP(C103,Dados!$C$3:$C$329,Dados!$AB$3:'Dados'!$AB$329,"")</f>
        <v>8.0949781780502494</v>
      </c>
      <c r="AN103" s="43" cm="1">
        <f t="array" ref="AN103">_xlfn.XLOOKUP(C103,Dados!$C$3:$C$329,Dados!$AC$3:'Dados'!$AC$329,"")</f>
        <v>5.1542634606222304</v>
      </c>
      <c r="AO103" s="82" cm="1">
        <f t="array" ref="AO103">_xlfn.XLOOKUP(C103,Dados!$C$3:$C$329,Dados!$AD$3:'Dados'!$AD$329,"")</f>
        <v>5.0952161572760097</v>
      </c>
    </row>
    <row r="104" spans="1:41" ht="51" x14ac:dyDescent="0.25">
      <c r="A104" s="6">
        <v>113</v>
      </c>
      <c r="B104" s="3" t="s">
        <v>237</v>
      </c>
      <c r="C104" s="8" t="s">
        <v>238</v>
      </c>
      <c r="D104" s="8" t="s">
        <v>228</v>
      </c>
      <c r="E104" s="8" t="s">
        <v>210</v>
      </c>
      <c r="F104" s="72">
        <f>_xlfn.XLOOKUP(C104,Dados!$C$3:$C$329,Dados!$D$3:$D$329,"")</f>
        <v>15</v>
      </c>
      <c r="G104" s="86">
        <f>_xlfn.XLOOKUP(C104,Dados!$C$3:$C$329,Dados!$E$3:$E$329,"")</f>
        <v>335724</v>
      </c>
      <c r="H104" s="71">
        <f>_xlfn.XLOOKUP(C104,Dados!$C$3:$C$329,Dados!$F$3:$F$329,"")</f>
        <v>335422.66666666669</v>
      </c>
      <c r="I104" s="71">
        <f>_xlfn.XLOOKUP(C104,Dados!$C$3:$C$329,Dados!$G$3:$G$329,"")</f>
        <v>335121.33333333331</v>
      </c>
      <c r="J104" s="71">
        <f>_xlfn.XLOOKUP(C104,Dados!$C$3:$C$329,Dados!$H$3:$H$329,"")</f>
        <v>334820</v>
      </c>
      <c r="K104" s="71">
        <f>_xlfn.XLOOKUP(C104,Dados!$C$3:$C$329,Dados!$I$3:$I$329,"")</f>
        <v>333284</v>
      </c>
      <c r="L104" s="71">
        <f>_xlfn.XLOOKUP(C104,Dados!$C$3:$C$329,Dados!$J$3:$J$329,"")</f>
        <v>10</v>
      </c>
      <c r="M104" s="72" t="str">
        <f>_xlfn.XLOOKUP(C104,Dados!$C$3:$C$329,Dados!$K$3:$K$329,"")</f>
        <v>Nordeste</v>
      </c>
      <c r="N104" s="71">
        <f>_xlfn.XLOOKUP(C104,Dados!$C$3:$C$329,Dados!$L$3:$L$329,"")</f>
        <v>1</v>
      </c>
      <c r="O104" s="43">
        <f>_xlfn.XLOOKUP(C104,Dados!$C$3:$C$329,Dados!$M$3:$M$329,"")</f>
        <v>0.60587411007803105</v>
      </c>
      <c r="P104" s="43">
        <f>_xlfn.XLOOKUP(C104,Dados!$C$3:$C$329,Dados!$N$3:$N$329,"")</f>
        <v>0.58326530778901997</v>
      </c>
      <c r="Q104" s="43">
        <f>_xlfn.XLOOKUP(C104,Dados!$C$3:$C$329,Dados!$O$3:$O$329,"")</f>
        <v>0.52939155157995399</v>
      </c>
      <c r="R104" s="43">
        <f>_xlfn.XLOOKUP(C104,Dados!$C$3:$C$329,Dados!$P$3:$P$329,"")</f>
        <v>0.53617649332101203</v>
      </c>
      <c r="S104" s="43">
        <f>_xlfn.XLOOKUP(C104,Dados!$C$3:$C$329,Dados!$Q$3:$Q$329,"")</f>
        <v>0.386454916527745</v>
      </c>
      <c r="T104" s="43">
        <f>_xlfn.XLOOKUP(C104,Dados!$C$3:$C$329,Dados!$R$3:$R$329,"")</f>
        <v>0.73022053584572399</v>
      </c>
      <c r="U104" s="43">
        <f>_xlfn.XLOOKUP(C104,Dados!$C$3:$C$329,Dados!$S$3:$S$329,"")</f>
        <v>0.69281134454784499</v>
      </c>
      <c r="V104" s="77">
        <f>_xlfn.XLOOKUP(C104,Dados!$C$3:$C$329,Dados!$T$3:$T$329,"")</f>
        <v>1506.9421137005399</v>
      </c>
      <c r="W104" s="77">
        <f>_xlfn.XLOOKUP(C104,Dados!$C$3:$C$329,Dados!$U$3:$U$329,"")</f>
        <v>1181.54355332774</v>
      </c>
      <c r="X104" s="77">
        <f>_xlfn.XLOOKUP(C104,Dados!$C$3:$C$329,Dados!$V$3:$V$329,"")</f>
        <v>1102.0045616115201</v>
      </c>
      <c r="Y104" s="77">
        <f>_xlfn.XLOOKUP(C104,Dados!$C$3:$C$329,Dados!$W$3:$W$329,"")</f>
        <v>921.67393727973194</v>
      </c>
      <c r="Z104" s="77">
        <f>_xlfn.XLOOKUP(C104,Dados!$C$3:$C$329,Dados!$X$3:$X$329,"")</f>
        <v>834.46096212239399</v>
      </c>
      <c r="AA104" s="20"/>
      <c r="AB104" s="20"/>
      <c r="AC104" s="20"/>
      <c r="AD104" s="20"/>
      <c r="AE104" s="80"/>
      <c r="AF104" s="43">
        <v>0.50483336281985614</v>
      </c>
      <c r="AG104" s="43" t="e">
        <v>#DIV/0!</v>
      </c>
      <c r="AH104" s="43" t="e">
        <v>#DIV/0!</v>
      </c>
      <c r="AI104" s="43" t="e">
        <v>#DIV/0!</v>
      </c>
      <c r="AJ104" s="43" t="e">
        <v>#DIV/0!</v>
      </c>
      <c r="AK104" s="43" cm="1">
        <f t="array" ref="AK104">_xlfn.XLOOKUP(C104,Dados!$C$3:$C$329,Dados!$Z$3:'Dados'!$Z$329,"")</f>
        <v>10.7871763710667</v>
      </c>
      <c r="AL104" s="43" cm="1">
        <f t="array" ref="AL104">_xlfn.XLOOKUP(C104,Dados!$C$3:$C$329,Dados!$AA$3:'Dados'!$AA$329,"")</f>
        <v>8.9252346293432794</v>
      </c>
      <c r="AM104" s="43" cm="1">
        <f t="array" ref="AM104">_xlfn.XLOOKUP(C104,Dados!$C$3:$C$329,Dados!$AB$3:'Dados'!$AB$329,"")</f>
        <v>8.5786809553554697</v>
      </c>
      <c r="AN104" s="43" cm="1">
        <f t="array" ref="AN104">_xlfn.XLOOKUP(C104,Dados!$C$3:$C$329,Dados!$AC$3:'Dados'!$AC$329,"")</f>
        <v>7.3162714294247699</v>
      </c>
      <c r="AO104" s="82" cm="1">
        <f t="array" ref="AO104">_xlfn.XLOOKUP(C104,Dados!$C$3:$C$329,Dados!$AD$3:'Dados'!$AD$329,"")</f>
        <v>7.9510207510711597</v>
      </c>
    </row>
    <row r="105" spans="1:41" ht="51" x14ac:dyDescent="0.25">
      <c r="A105" s="6">
        <v>117</v>
      </c>
      <c r="B105" s="3" t="s">
        <v>239</v>
      </c>
      <c r="C105" s="8" t="s">
        <v>240</v>
      </c>
      <c r="D105" s="8" t="s">
        <v>228</v>
      </c>
      <c r="E105" s="8" t="s">
        <v>210</v>
      </c>
      <c r="F105" s="72">
        <f>_xlfn.XLOOKUP(C105,Dados!$C$3:$C$329,Dados!$D$3:$D$329,"")</f>
        <v>15</v>
      </c>
      <c r="G105" s="86">
        <f>_xlfn.XLOOKUP(C105,Dados!$C$3:$C$329,Dados!$E$3:$E$329,"")</f>
        <v>609522</v>
      </c>
      <c r="H105" s="71">
        <f>_xlfn.XLOOKUP(C105,Dados!$C$3:$C$329,Dados!$F$3:$F$329,"")</f>
        <v>610532</v>
      </c>
      <c r="I105" s="71">
        <f>_xlfn.XLOOKUP(C105,Dados!$C$3:$C$329,Dados!$G$3:$G$329,"")</f>
        <v>611542</v>
      </c>
      <c r="J105" s="71">
        <f>_xlfn.XLOOKUP(C105,Dados!$C$3:$C$329,Dados!$H$3:$H$329,"")</f>
        <v>612552</v>
      </c>
      <c r="K105" s="71">
        <f>_xlfn.XLOOKUP(C105,Dados!$C$3:$C$329,Dados!$I$3:$I$329,"")</f>
        <v>607259</v>
      </c>
      <c r="L105" s="71">
        <f>_xlfn.XLOOKUP(C105,Dados!$C$3:$C$329,Dados!$J$3:$J$329,"")</f>
        <v>8</v>
      </c>
      <c r="M105" s="72" t="str">
        <f>_xlfn.XLOOKUP(C105,Dados!$C$3:$C$329,Dados!$K$3:$K$329,"")</f>
        <v>Nordeste</v>
      </c>
      <c r="N105" s="71">
        <f>_xlfn.XLOOKUP(C105,Dados!$C$3:$C$329,Dados!$L$3:$L$329,"")</f>
        <v>1</v>
      </c>
      <c r="O105" s="43">
        <f>_xlfn.XLOOKUP(C105,Dados!$C$3:$C$329,Dados!$M$3:$M$329,"")</f>
        <v>0.661239088751013</v>
      </c>
      <c r="P105" s="43">
        <f>_xlfn.XLOOKUP(C105,Dados!$C$3:$C$329,Dados!$N$3:$N$329,"")</f>
        <v>0.62229660960871602</v>
      </c>
      <c r="Q105" s="43">
        <f>_xlfn.XLOOKUP(C105,Dados!$C$3:$C$329,Dados!$O$3:$O$329,"")</f>
        <v>0.58536969547075202</v>
      </c>
      <c r="R105" s="43">
        <f>_xlfn.XLOOKUP(C105,Dados!$C$3:$C$329,Dados!$P$3:$P$329,"")</f>
        <v>0.582454463087414</v>
      </c>
      <c r="S105" s="43">
        <f>_xlfn.XLOOKUP(C105,Dados!$C$3:$C$329,Dados!$Q$3:$Q$329,"")</f>
        <v>0.39867677630209097</v>
      </c>
      <c r="T105" s="43">
        <f>_xlfn.XLOOKUP(C105,Dados!$C$3:$C$329,Dados!$R$3:$R$329,"")</f>
        <v>0.83701823183580704</v>
      </c>
      <c r="U105" s="43">
        <f>_xlfn.XLOOKUP(C105,Dados!$C$3:$C$329,Dados!$S$3:$S$329,"")</f>
        <v>0.95056807163966905</v>
      </c>
      <c r="V105" s="77">
        <f>_xlfn.XLOOKUP(C105,Dados!$C$3:$C$329,Dados!$T$3:$T$329,"")</f>
        <v>1420.52555847041</v>
      </c>
      <c r="W105" s="77">
        <f>_xlfn.XLOOKUP(C105,Dados!$C$3:$C$329,Dados!$U$3:$U$329,"")</f>
        <v>1215.4071285698401</v>
      </c>
      <c r="X105" s="77">
        <f>_xlfn.XLOOKUP(C105,Dados!$C$3:$C$329,Dados!$V$3:$V$329,"")</f>
        <v>1052.32712060115</v>
      </c>
      <c r="Y105" s="77">
        <f>_xlfn.XLOOKUP(C105,Dados!$C$3:$C$329,Dados!$W$3:$W$329,"")</f>
        <v>933.73140440321799</v>
      </c>
      <c r="Z105" s="77">
        <f>_xlfn.XLOOKUP(C105,Dados!$C$3:$C$329,Dados!$X$3:$X$329,"")</f>
        <v>902.67073853166403</v>
      </c>
      <c r="AA105" s="20"/>
      <c r="AB105" s="20"/>
      <c r="AC105" s="20"/>
      <c r="AD105" s="20"/>
      <c r="AE105" s="80"/>
      <c r="AF105" s="43">
        <v>7.8305044582220179E-3</v>
      </c>
      <c r="AG105" s="43">
        <v>0.59295629983208309</v>
      </c>
      <c r="AH105" s="43">
        <v>0.54795555344569558</v>
      </c>
      <c r="AI105" s="43">
        <v>0.63947070056189714</v>
      </c>
      <c r="AJ105" s="43" t="e">
        <v>#DIV/0!</v>
      </c>
      <c r="AK105" s="43" cm="1">
        <f t="array" ref="AK105">_xlfn.XLOOKUP(C105,Dados!$C$3:$C$329,Dados!$Z$3:'Dados'!$Z$329,"")</f>
        <v>12.471266008445999</v>
      </c>
      <c r="AL105" s="43" cm="1">
        <f t="array" ref="AL105">_xlfn.XLOOKUP(C105,Dados!$C$3:$C$329,Dados!$AA$3:'Dados'!$AA$329,"")</f>
        <v>10.6507079072022</v>
      </c>
      <c r="AM105" s="43" cm="1">
        <f t="array" ref="AM105">_xlfn.XLOOKUP(C105,Dados!$C$3:$C$329,Dados!$AB$3:'Dados'!$AB$329,"")</f>
        <v>9.8215363785316505</v>
      </c>
      <c r="AN105" s="43" cm="1">
        <f t="array" ref="AN105">_xlfn.XLOOKUP(C105,Dados!$C$3:$C$329,Dados!$AC$3:'Dados'!$AC$329,"")</f>
        <v>8.0910845120087806</v>
      </c>
      <c r="AO105" s="82" cm="1">
        <f t="array" ref="AO105">_xlfn.XLOOKUP(C105,Dados!$C$3:$C$329,Dados!$AD$3:'Dados'!$AD$329,"")</f>
        <v>6.4620351448064204</v>
      </c>
    </row>
    <row r="106" spans="1:41" ht="38.25" x14ac:dyDescent="0.25">
      <c r="A106" s="6">
        <v>130</v>
      </c>
      <c r="B106" s="3" t="s">
        <v>241</v>
      </c>
      <c r="C106" s="8" t="s">
        <v>242</v>
      </c>
      <c r="D106" s="8" t="s">
        <v>243</v>
      </c>
      <c r="E106" s="8" t="s">
        <v>210</v>
      </c>
      <c r="F106" s="72">
        <f>_xlfn.XLOOKUP(C106,Dados!$C$3:$C$329,Dados!$D$3:$D$329,"")</f>
        <v>11</v>
      </c>
      <c r="G106" s="86">
        <f>_xlfn.XLOOKUP(C106,Dados!$C$3:$C$329,Dados!$E$3:$E$329,"")</f>
        <v>1887598</v>
      </c>
      <c r="H106" s="71">
        <f>_xlfn.XLOOKUP(C106,Dados!$C$3:$C$329,Dados!$F$3:$F$329,"")</f>
        <v>1924563.6666666667</v>
      </c>
      <c r="I106" s="71">
        <f>_xlfn.XLOOKUP(C106,Dados!$C$3:$C$329,Dados!$G$3:$G$329,"")</f>
        <v>1961529.3333333333</v>
      </c>
      <c r="J106" s="71">
        <f>_xlfn.XLOOKUP(C106,Dados!$C$3:$C$329,Dados!$H$3:$H$329,"")</f>
        <v>1998495</v>
      </c>
      <c r="K106" s="71">
        <f>_xlfn.XLOOKUP(C106,Dados!$C$3:$C$329,Dados!$I$3:$I$329,"")</f>
        <v>1985900</v>
      </c>
      <c r="L106" s="71">
        <f>_xlfn.XLOOKUP(C106,Dados!$C$3:$C$329,Dados!$J$3:$J$329,"")</f>
        <v>25</v>
      </c>
      <c r="M106" s="72" t="str">
        <f>_xlfn.XLOOKUP(C106,Dados!$C$3:$C$329,Dados!$K$3:$K$329,"")</f>
        <v>Nordeste</v>
      </c>
      <c r="N106" s="71">
        <f>_xlfn.XLOOKUP(C106,Dados!$C$3:$C$329,Dados!$L$3:$L$329,"")</f>
        <v>43</v>
      </c>
      <c r="O106" s="43">
        <f>_xlfn.XLOOKUP(C106,Dados!$C$3:$C$329,Dados!$M$3:$M$329,"")</f>
        <v>0.59168812643419899</v>
      </c>
      <c r="P106" s="43">
        <f>_xlfn.XLOOKUP(C106,Dados!$C$3:$C$329,Dados!$N$3:$N$329,"")</f>
        <v>0.56395014561767098</v>
      </c>
      <c r="Q106" s="43">
        <f>_xlfn.XLOOKUP(C106,Dados!$C$3:$C$329,Dados!$O$3:$O$329,"")</f>
        <v>0.52801868826291798</v>
      </c>
      <c r="R106" s="43">
        <f>_xlfn.XLOOKUP(C106,Dados!$C$3:$C$329,Dados!$P$3:$P$329,"")</f>
        <v>0.50892001279017096</v>
      </c>
      <c r="S106" s="43">
        <f>_xlfn.XLOOKUP(C106,Dados!$C$3:$C$329,Dados!$Q$3:$Q$329,"")</f>
        <v>0.339603767247597</v>
      </c>
      <c r="T106" s="43">
        <f>_xlfn.XLOOKUP(C106,Dados!$C$3:$C$329,Dados!$R$3:$R$329,"")</f>
        <v>0.70431295944592898</v>
      </c>
      <c r="U106" s="43">
        <f>_xlfn.XLOOKUP(C106,Dados!$C$3:$C$329,Dados!$S$3:$S$329,"")</f>
        <v>0.85372670293995101</v>
      </c>
      <c r="V106" s="77">
        <f>_xlfn.XLOOKUP(C106,Dados!$C$3:$C$329,Dados!$T$3:$T$329,"")</f>
        <v>1339.9763622445</v>
      </c>
      <c r="W106" s="77">
        <f>_xlfn.XLOOKUP(C106,Dados!$C$3:$C$329,Dados!$U$3:$U$329,"")</f>
        <v>1069.2682946991799</v>
      </c>
      <c r="X106" s="77">
        <f>_xlfn.XLOOKUP(C106,Dados!$C$3:$C$329,Dados!$V$3:$V$329,"")</f>
        <v>936.41421623569897</v>
      </c>
      <c r="Y106" s="77">
        <f>_xlfn.XLOOKUP(C106,Dados!$C$3:$C$329,Dados!$W$3:$W$329,"")</f>
        <v>830.15689853114498</v>
      </c>
      <c r="Z106" s="77">
        <f>_xlfn.XLOOKUP(C106,Dados!$C$3:$C$329,Dados!$X$3:$X$329,"")</f>
        <v>769.58511344478597</v>
      </c>
      <c r="AA106" s="20"/>
      <c r="AB106" s="20"/>
      <c r="AC106" s="20"/>
      <c r="AD106" s="20"/>
      <c r="AE106" s="80"/>
      <c r="AF106" s="43" t="e">
        <v>#DIV/0!</v>
      </c>
      <c r="AG106" s="43" t="e">
        <v>#DIV/0!</v>
      </c>
      <c r="AH106" s="43">
        <v>0.59924345819325264</v>
      </c>
      <c r="AI106" s="43">
        <v>0.67780812677857916</v>
      </c>
      <c r="AJ106" s="43" t="e">
        <v>#DIV/0!</v>
      </c>
      <c r="AK106" s="43" cm="1">
        <f t="array" ref="AK106">_xlfn.XLOOKUP(C106,Dados!$C$3:$C$329,Dados!$Z$3:'Dados'!$Z$329,"")</f>
        <v>13.6400229286109</v>
      </c>
      <c r="AL106" s="43" cm="1">
        <f t="array" ref="AL106">_xlfn.XLOOKUP(C106,Dados!$C$3:$C$329,Dados!$AA$3:'Dados'!$AA$329,"")</f>
        <v>12.214214269520101</v>
      </c>
      <c r="AM106" s="43" cm="1">
        <f t="array" ref="AM106">_xlfn.XLOOKUP(C106,Dados!$C$3:$C$329,Dados!$AB$3:'Dados'!$AB$329,"")</f>
        <v>11.048649964959299</v>
      </c>
      <c r="AN106" s="43" cm="1">
        <f t="array" ref="AN106">_xlfn.XLOOKUP(C106,Dados!$C$3:$C$329,Dados!$AC$3:'Dados'!$AC$329,"")</f>
        <v>10.2526336067891</v>
      </c>
      <c r="AO106" s="82" cm="1">
        <f t="array" ref="AO106">_xlfn.XLOOKUP(C106,Dados!$C$3:$C$329,Dados!$AD$3:'Dados'!$AD$329,"")</f>
        <v>8.6462520771438705</v>
      </c>
    </row>
    <row r="107" spans="1:41" ht="51" x14ac:dyDescent="0.25">
      <c r="A107" s="6">
        <v>200</v>
      </c>
      <c r="B107" s="3" t="s">
        <v>244</v>
      </c>
      <c r="C107" s="8" t="s">
        <v>245</v>
      </c>
      <c r="D107" s="8" t="s">
        <v>246</v>
      </c>
      <c r="E107" s="8" t="s">
        <v>210</v>
      </c>
      <c r="F107" s="72">
        <f>_xlfn.XLOOKUP(C107,Dados!$C$3:$C$329,Dados!$D$3:$D$329,"")</f>
        <v>18</v>
      </c>
      <c r="G107" s="86">
        <f>_xlfn.XLOOKUP(C107,Dados!$C$3:$C$329,Dados!$E$3:$E$329,"")</f>
        <v>123645</v>
      </c>
      <c r="H107" s="71">
        <f>_xlfn.XLOOKUP(C107,Dados!$C$3:$C$329,Dados!$F$3:$F$329,"")</f>
        <v>120844.66666666667</v>
      </c>
      <c r="I107" s="71">
        <f>_xlfn.XLOOKUP(C107,Dados!$C$3:$C$329,Dados!$G$3:$G$329,"")</f>
        <v>118044.33333333333</v>
      </c>
      <c r="J107" s="71">
        <f>_xlfn.XLOOKUP(C107,Dados!$C$3:$C$329,Dados!$H$3:$H$329,"")</f>
        <v>115244</v>
      </c>
      <c r="K107" s="71">
        <f>_xlfn.XLOOKUP(C107,Dados!$C$3:$C$329,Dados!$I$3:$I$329,"")</f>
        <v>114966</v>
      </c>
      <c r="L107" s="71">
        <f>_xlfn.XLOOKUP(C107,Dados!$C$3:$C$329,Dados!$J$3:$J$329,"")</f>
        <v>8</v>
      </c>
      <c r="M107" s="72" t="str">
        <f>_xlfn.XLOOKUP(C107,Dados!$C$3:$C$329,Dados!$K$3:$K$329,"")</f>
        <v>Nordeste</v>
      </c>
      <c r="N107" s="71">
        <f>_xlfn.XLOOKUP(C107,Dados!$C$3:$C$329,Dados!$L$3:$L$329,"")</f>
        <v>1</v>
      </c>
      <c r="O107" s="43">
        <f>_xlfn.XLOOKUP(C107,Dados!$C$3:$C$329,Dados!$M$3:$M$329,"")</f>
        <v>0.52078385999657995</v>
      </c>
      <c r="P107" s="43">
        <f>_xlfn.XLOOKUP(C107,Dados!$C$3:$C$329,Dados!$N$3:$N$329,"")</f>
        <v>0.492060957323943</v>
      </c>
      <c r="Q107" s="43">
        <f>_xlfn.XLOOKUP(C107,Dados!$C$3:$C$329,Dados!$O$3:$O$329,"")</f>
        <v>0.47005924993925902</v>
      </c>
      <c r="R107" s="43">
        <f>_xlfn.XLOOKUP(C107,Dados!$C$3:$C$329,Dados!$P$3:$P$329,"")</f>
        <v>0.44223379259955098</v>
      </c>
      <c r="S107" s="43">
        <f>_xlfn.XLOOKUP(C107,Dados!$C$3:$C$329,Dados!$Q$3:$Q$329,"")</f>
        <v>0.36098825582478899</v>
      </c>
      <c r="T107" s="43">
        <f>_xlfn.XLOOKUP(C107,Dados!$C$3:$C$329,Dados!$R$3:$R$329,"")</f>
        <v>0.53122298740868501</v>
      </c>
      <c r="U107" s="43">
        <f>_xlfn.XLOOKUP(C107,Dados!$C$3:$C$329,Dados!$S$3:$S$329,"")</f>
        <v>0.71474345598969902</v>
      </c>
      <c r="V107" s="77">
        <f>_xlfn.XLOOKUP(C107,Dados!$C$3:$C$329,Dados!$T$3:$T$329,"")</f>
        <v>1376.75059533341</v>
      </c>
      <c r="W107" s="77">
        <f>_xlfn.XLOOKUP(C107,Dados!$C$3:$C$329,Dados!$U$3:$U$329,"")</f>
        <v>1189.3590110169</v>
      </c>
      <c r="X107" s="77">
        <f>_xlfn.XLOOKUP(C107,Dados!$C$3:$C$329,Dados!$V$3:$V$329,"")</f>
        <v>1061.00197050261</v>
      </c>
      <c r="Y107" s="77">
        <f>_xlfn.XLOOKUP(C107,Dados!$C$3:$C$329,Dados!$W$3:$W$329,"")</f>
        <v>936.85727239595997</v>
      </c>
      <c r="Z107" s="77">
        <f>_xlfn.XLOOKUP(C107,Dados!$C$3:$C$329,Dados!$X$3:$X$329,"")</f>
        <v>866.191030913487</v>
      </c>
      <c r="AA107" s="20"/>
      <c r="AB107" s="20"/>
      <c r="AC107" s="20"/>
      <c r="AD107" s="20"/>
      <c r="AE107" s="80"/>
      <c r="AF107" s="43" t="e">
        <v>#DIV/0!</v>
      </c>
      <c r="AG107" s="43" t="e">
        <v>#DIV/0!</v>
      </c>
      <c r="AH107" s="43" t="e">
        <v>#DIV/0!</v>
      </c>
      <c r="AI107" s="43" t="e">
        <v>#DIV/0!</v>
      </c>
      <c r="AJ107" s="43">
        <v>6.8341859992366139E-2</v>
      </c>
      <c r="AK107" s="43" cm="1">
        <f t="array" ref="AK107">_xlfn.XLOOKUP(C107,Dados!$C$3:$C$329,Dados!$Z$3:'Dados'!$Z$329,"")</f>
        <v>6.8282178818391399</v>
      </c>
      <c r="AL107" s="43" cm="1">
        <f t="array" ref="AL107">_xlfn.XLOOKUP(C107,Dados!$C$3:$C$329,Dados!$AA$3:'Dados'!$AA$329,"")</f>
        <v>7.6581782674176804</v>
      </c>
      <c r="AM107" s="43" cm="1">
        <f t="array" ref="AM107">_xlfn.XLOOKUP(C107,Dados!$C$3:$C$329,Dados!$AB$3:'Dados'!$AB$329,"")</f>
        <v>7.0909884139574704</v>
      </c>
      <c r="AN107" s="43" cm="1">
        <f t="array" ref="AN107">_xlfn.XLOOKUP(C107,Dados!$C$3:$C$329,Dados!$AC$3:'Dados'!$AC$329,"")</f>
        <v>5.3723317482905797</v>
      </c>
      <c r="AO107" s="82" cm="1">
        <f t="array" ref="AO107">_xlfn.XLOOKUP(C107,Dados!$C$3:$C$329,Dados!$AD$3:'Dados'!$AD$329,"")</f>
        <v>4.4530208931336199</v>
      </c>
    </row>
    <row r="108" spans="1:41" ht="51" x14ac:dyDescent="0.25">
      <c r="A108" s="6">
        <v>205</v>
      </c>
      <c r="B108" s="3" t="s">
        <v>247</v>
      </c>
      <c r="C108" s="8" t="s">
        <v>248</v>
      </c>
      <c r="D108" s="8" t="s">
        <v>220</v>
      </c>
      <c r="E108" s="8" t="s">
        <v>210</v>
      </c>
      <c r="F108" s="72">
        <f>_xlfn.XLOOKUP(C108,Dados!$C$3:$C$329,Dados!$D$3:$D$329,"")</f>
        <v>17</v>
      </c>
      <c r="G108" s="86">
        <f>_xlfn.XLOOKUP(C108,Dados!$C$3:$C$329,Dados!$E$3:$E$329,"")</f>
        <v>424820</v>
      </c>
      <c r="H108" s="71">
        <f>_xlfn.XLOOKUP(C108,Dados!$C$3:$C$329,Dados!$F$3:$F$329,"")</f>
        <v>421983</v>
      </c>
      <c r="I108" s="71">
        <f>_xlfn.XLOOKUP(C108,Dados!$C$3:$C$329,Dados!$G$3:$G$329,"")</f>
        <v>419146</v>
      </c>
      <c r="J108" s="71">
        <f>_xlfn.XLOOKUP(C108,Dados!$C$3:$C$329,Dados!$H$3:$H$329,"")</f>
        <v>416309</v>
      </c>
      <c r="K108" s="71">
        <f>_xlfn.XLOOKUP(C108,Dados!$C$3:$C$329,Dados!$I$3:$I$329,"")</f>
        <v>414612</v>
      </c>
      <c r="L108" s="71">
        <f>_xlfn.XLOOKUP(C108,Dados!$C$3:$C$329,Dados!$J$3:$J$329,"")</f>
        <v>20</v>
      </c>
      <c r="M108" s="72" t="str">
        <f>_xlfn.XLOOKUP(C108,Dados!$C$3:$C$329,Dados!$K$3:$K$329,"")</f>
        <v>Nordeste</v>
      </c>
      <c r="N108" s="71">
        <f>_xlfn.XLOOKUP(C108,Dados!$C$3:$C$329,Dados!$L$3:$L$329,"")</f>
        <v>15</v>
      </c>
      <c r="O108" s="43">
        <f>_xlfn.XLOOKUP(C108,Dados!$C$3:$C$329,Dados!$M$3:$M$329,"")</f>
        <v>0.56439277664424103</v>
      </c>
      <c r="P108" s="43">
        <f>_xlfn.XLOOKUP(C108,Dados!$C$3:$C$329,Dados!$N$3:$N$329,"")</f>
        <v>0.53398909473071399</v>
      </c>
      <c r="Q108" s="43">
        <f>_xlfn.XLOOKUP(C108,Dados!$C$3:$C$329,Dados!$O$3:$O$329,"")</f>
        <v>0.515617610236627</v>
      </c>
      <c r="R108" s="43">
        <f>_xlfn.XLOOKUP(C108,Dados!$C$3:$C$329,Dados!$P$3:$P$329,"")</f>
        <v>0.51212297979798005</v>
      </c>
      <c r="S108" s="43">
        <f>_xlfn.XLOOKUP(C108,Dados!$C$3:$C$329,Dados!$Q$3:$Q$329,"")</f>
        <v>0.58786769224407098</v>
      </c>
      <c r="T108" s="43">
        <f>_xlfn.XLOOKUP(C108,Dados!$C$3:$C$329,Dados!$R$3:$R$329,"")</f>
        <v>0.64076606464891295</v>
      </c>
      <c r="U108" s="43">
        <f>_xlfn.XLOOKUP(C108,Dados!$C$3:$C$329,Dados!$S$3:$S$329,"")</f>
        <v>0.69983572852100795</v>
      </c>
      <c r="V108" s="77">
        <f>_xlfn.XLOOKUP(C108,Dados!$C$3:$C$329,Dados!$T$3:$T$329,"")</f>
        <v>1224.94641664705</v>
      </c>
      <c r="W108" s="77">
        <f>_xlfn.XLOOKUP(C108,Dados!$C$3:$C$329,Dados!$U$3:$U$329,"")</f>
        <v>1002.8781766880001</v>
      </c>
      <c r="X108" s="77">
        <f>_xlfn.XLOOKUP(C108,Dados!$C$3:$C$329,Dados!$V$3:$V$329,"")</f>
        <v>907.37005461104297</v>
      </c>
      <c r="Y108" s="77">
        <f>_xlfn.XLOOKUP(C108,Dados!$C$3:$C$329,Dados!$W$3:$W$329,"")</f>
        <v>754.70612081410695</v>
      </c>
      <c r="Z108" s="77">
        <f>_xlfn.XLOOKUP(C108,Dados!$C$3:$C$329,Dados!$X$3:$X$329,"")</f>
        <v>730.43392284834999</v>
      </c>
      <c r="AA108" s="20"/>
      <c r="AB108" s="20"/>
      <c r="AC108" s="20"/>
      <c r="AD108" s="20"/>
      <c r="AE108" s="80"/>
      <c r="AF108" s="43">
        <v>0.36968479949760175</v>
      </c>
      <c r="AG108" s="43">
        <v>0.46603647727840414</v>
      </c>
      <c r="AH108" s="43">
        <v>0.13442290009976887</v>
      </c>
      <c r="AI108" s="43">
        <v>5.735658971599511E-2</v>
      </c>
      <c r="AJ108" s="43">
        <v>0.41174812130215405</v>
      </c>
      <c r="AK108" s="43" cm="1">
        <f t="array" ref="AK108">_xlfn.XLOOKUP(C108,Dados!$C$3:$C$329,Dados!$Z$3:'Dados'!$Z$329,"")</f>
        <v>10.4642436796761</v>
      </c>
      <c r="AL108" s="43" cm="1">
        <f t="array" ref="AL108">_xlfn.XLOOKUP(C108,Dados!$C$3:$C$329,Dados!$AA$3:'Dados'!$AA$329,"")</f>
        <v>10.0708606744821</v>
      </c>
      <c r="AM108" s="43" cm="1">
        <f t="array" ref="AM108">_xlfn.XLOOKUP(C108,Dados!$C$3:$C$329,Dados!$AB$3:'Dados'!$AB$329,"")</f>
        <v>9.31939467393223</v>
      </c>
      <c r="AN108" s="43" cm="1">
        <f t="array" ref="AN108">_xlfn.XLOOKUP(C108,Dados!$C$3:$C$329,Dados!$AC$3:'Dados'!$AC$329,"")</f>
        <v>7.8805214396037604</v>
      </c>
      <c r="AO108" s="82" cm="1">
        <f t="array" ref="AO108">_xlfn.XLOOKUP(C108,Dados!$C$3:$C$329,Dados!$AD$3:'Dados'!$AD$329,"")</f>
        <v>6.2502701320752898</v>
      </c>
    </row>
    <row r="109" spans="1:41" ht="89.25" x14ac:dyDescent="0.25">
      <c r="A109" s="6">
        <v>206</v>
      </c>
      <c r="B109" s="3" t="s">
        <v>249</v>
      </c>
      <c r="C109" s="8" t="s">
        <v>250</v>
      </c>
      <c r="D109" s="8" t="s">
        <v>220</v>
      </c>
      <c r="E109" s="8" t="s">
        <v>210</v>
      </c>
      <c r="F109" s="72">
        <f>_xlfn.XLOOKUP(C109,Dados!$C$3:$C$329,Dados!$D$3:$D$329,"")</f>
        <v>15</v>
      </c>
      <c r="G109" s="86">
        <f>_xlfn.XLOOKUP(C109,Dados!$C$3:$C$329,Dados!$E$3:$E$329,"")</f>
        <v>587326</v>
      </c>
      <c r="H109" s="71">
        <f>_xlfn.XLOOKUP(C109,Dados!$C$3:$C$329,Dados!$F$3:$F$329,"")</f>
        <v>580312.33333333349</v>
      </c>
      <c r="I109" s="71">
        <f>_xlfn.XLOOKUP(C109,Dados!$C$3:$C$329,Dados!$G$3:$G$329,"")</f>
        <v>573298.66666666651</v>
      </c>
      <c r="J109" s="71">
        <f>_xlfn.XLOOKUP(C109,Dados!$C$3:$C$329,Dados!$H$3:$H$329,"")</f>
        <v>566285</v>
      </c>
      <c r="K109" s="71">
        <f>_xlfn.XLOOKUP(C109,Dados!$C$3:$C$329,Dados!$I$3:$I$329,"")</f>
        <v>563665</v>
      </c>
      <c r="L109" s="71">
        <f>_xlfn.XLOOKUP(C109,Dados!$C$3:$C$329,Dados!$J$3:$J$329,"")</f>
        <v>22</v>
      </c>
      <c r="M109" s="72" t="str">
        <f>_xlfn.XLOOKUP(C109,Dados!$C$3:$C$329,Dados!$K$3:$K$329,"")</f>
        <v>Nordeste</v>
      </c>
      <c r="N109" s="71">
        <f>_xlfn.XLOOKUP(C109,Dados!$C$3:$C$329,Dados!$L$3:$L$329,"")</f>
        <v>22</v>
      </c>
      <c r="O109" s="43">
        <f>_xlfn.XLOOKUP(C109,Dados!$C$3:$C$329,Dados!$M$3:$M$329,"")</f>
        <v>0.51008211595250097</v>
      </c>
      <c r="P109" s="43">
        <f>_xlfn.XLOOKUP(C109,Dados!$C$3:$C$329,Dados!$N$3:$N$329,"")</f>
        <v>0.50049444007079502</v>
      </c>
      <c r="Q109" s="43">
        <f>_xlfn.XLOOKUP(C109,Dados!$C$3:$C$329,Dados!$O$3:$O$329,"")</f>
        <v>0.47284616103198901</v>
      </c>
      <c r="R109" s="43">
        <f>_xlfn.XLOOKUP(C109,Dados!$C$3:$C$329,Dados!$P$3:$P$329,"")</f>
        <v>0.46318985869266299</v>
      </c>
      <c r="S109" s="43">
        <f>_xlfn.XLOOKUP(C109,Dados!$C$3:$C$329,Dados!$Q$3:$Q$329,"")</f>
        <v>0.46414852008493501</v>
      </c>
      <c r="T109" s="43">
        <f>_xlfn.XLOOKUP(C109,Dados!$C$3:$C$329,Dados!$R$3:$R$329,"")</f>
        <v>0.584818637754841</v>
      </c>
      <c r="U109" s="43">
        <f>_xlfn.XLOOKUP(C109,Dados!$C$3:$C$329,Dados!$S$3:$S$329,"")</f>
        <v>0.68696877956574098</v>
      </c>
      <c r="V109" s="77">
        <f>_xlfn.XLOOKUP(C109,Dados!$C$3:$C$329,Dados!$T$3:$T$329,"")</f>
        <v>1258.3251273057899</v>
      </c>
      <c r="W109" s="77">
        <f>_xlfn.XLOOKUP(C109,Dados!$C$3:$C$329,Dados!$U$3:$U$329,"")</f>
        <v>956.75081660622902</v>
      </c>
      <c r="X109" s="77">
        <f>_xlfn.XLOOKUP(C109,Dados!$C$3:$C$329,Dados!$V$3:$V$329,"")</f>
        <v>873.32062306092996</v>
      </c>
      <c r="Y109" s="77">
        <f>_xlfn.XLOOKUP(C109,Dados!$C$3:$C$329,Dados!$W$3:$W$329,"")</f>
        <v>687.89965598594404</v>
      </c>
      <c r="Z109" s="77">
        <f>_xlfn.XLOOKUP(C109,Dados!$C$3:$C$329,Dados!$X$3:$X$329,"")</f>
        <v>711.10062586820197</v>
      </c>
      <c r="AA109" s="20"/>
      <c r="AB109" s="20"/>
      <c r="AC109" s="20"/>
      <c r="AD109" s="20"/>
      <c r="AE109" s="80"/>
      <c r="AF109" s="43">
        <v>0.44866004021914724</v>
      </c>
      <c r="AG109" s="43">
        <v>0.54549755503027775</v>
      </c>
      <c r="AH109" s="43">
        <v>0.60565475779845956</v>
      </c>
      <c r="AI109" s="43">
        <v>0.68328663235702425</v>
      </c>
      <c r="AJ109" s="43">
        <v>0.680826893981062</v>
      </c>
      <c r="AK109" s="43" cm="1">
        <f t="array" ref="AK109">_xlfn.XLOOKUP(C109,Dados!$C$3:$C$329,Dados!$Z$3:'Dados'!$Z$329,"")</f>
        <v>8.2161576364744597</v>
      </c>
      <c r="AL109" s="43" cm="1">
        <f t="array" ref="AL109">_xlfn.XLOOKUP(C109,Dados!$C$3:$C$329,Dados!$AA$3:'Dados'!$AA$329,"")</f>
        <v>7.0636168913636697</v>
      </c>
      <c r="AM109" s="43" cm="1">
        <f t="array" ref="AM109">_xlfn.XLOOKUP(C109,Dados!$C$3:$C$329,Dados!$AB$3:'Dados'!$AB$329,"")</f>
        <v>6.4801301939186997</v>
      </c>
      <c r="AN109" s="43" cm="1">
        <f t="array" ref="AN109">_xlfn.XLOOKUP(C109,Dados!$C$3:$C$329,Dados!$AC$3:'Dados'!$AC$329,"")</f>
        <v>4.6394059528329397</v>
      </c>
      <c r="AO109" s="82" cm="1">
        <f t="array" ref="AO109">_xlfn.XLOOKUP(C109,Dados!$C$3:$C$329,Dados!$AD$3:'Dados'!$AD$329,"")</f>
        <v>4.0263170500208503</v>
      </c>
    </row>
    <row r="110" spans="1:41" ht="63.75" x14ac:dyDescent="0.25">
      <c r="A110" s="6">
        <v>208</v>
      </c>
      <c r="B110" s="3" t="s">
        <v>251</v>
      </c>
      <c r="C110" s="8" t="s">
        <v>252</v>
      </c>
      <c r="D110" s="8" t="s">
        <v>220</v>
      </c>
      <c r="E110" s="8" t="s">
        <v>210</v>
      </c>
      <c r="F110" s="72">
        <f>_xlfn.XLOOKUP(C110,Dados!$C$3:$C$329,Dados!$D$3:$D$329,"")</f>
        <v>11</v>
      </c>
      <c r="G110" s="86">
        <f>_xlfn.XLOOKUP(C110,Dados!$C$3:$C$329,Dados!$E$3:$E$329,"")</f>
        <v>163724</v>
      </c>
      <c r="H110" s="71">
        <f>_xlfn.XLOOKUP(C110,Dados!$C$3:$C$329,Dados!$F$3:$F$329,"")</f>
        <v>172725.33333333331</v>
      </c>
      <c r="I110" s="71">
        <f>_xlfn.XLOOKUP(C110,Dados!$C$3:$C$329,Dados!$G$3:$G$329,"")</f>
        <v>181726.66666666669</v>
      </c>
      <c r="J110" s="71">
        <f>_xlfn.XLOOKUP(C110,Dados!$C$3:$C$329,Dados!$H$3:$H$329,"")</f>
        <v>190728</v>
      </c>
      <c r="K110" s="71">
        <f>_xlfn.XLOOKUP(C110,Dados!$C$3:$C$329,Dados!$I$3:$I$329,"")</f>
        <v>189280</v>
      </c>
      <c r="L110" s="71">
        <f>_xlfn.XLOOKUP(C110,Dados!$C$3:$C$329,Dados!$J$3:$J$329,"")</f>
        <v>6</v>
      </c>
      <c r="M110" s="72" t="str">
        <f>_xlfn.XLOOKUP(C110,Dados!$C$3:$C$329,Dados!$K$3:$K$329,"")</f>
        <v>Nordeste</v>
      </c>
      <c r="N110" s="71">
        <f>_xlfn.XLOOKUP(C110,Dados!$C$3:$C$329,Dados!$L$3:$L$329,"")</f>
        <v>19</v>
      </c>
      <c r="O110" s="43">
        <f>_xlfn.XLOOKUP(C110,Dados!$C$3:$C$329,Dados!$M$3:$M$329,"")</f>
        <v>0.566311608989996</v>
      </c>
      <c r="P110" s="43">
        <f>_xlfn.XLOOKUP(C110,Dados!$C$3:$C$329,Dados!$N$3:$N$329,"")</f>
        <v>0.50738748596793704</v>
      </c>
      <c r="Q110" s="43">
        <f>_xlfn.XLOOKUP(C110,Dados!$C$3:$C$329,Dados!$O$3:$O$329,"")</f>
        <v>0.49337961285180998</v>
      </c>
      <c r="R110" s="43">
        <f>_xlfn.XLOOKUP(C110,Dados!$C$3:$C$329,Dados!$P$3:$P$329,"")</f>
        <v>0.45757129490701598</v>
      </c>
      <c r="S110" s="43">
        <f>_xlfn.XLOOKUP(C110,Dados!$C$3:$C$329,Dados!$Q$3:$Q$329,"")</f>
        <v>0.43894895153894098</v>
      </c>
      <c r="T110" s="43">
        <f>_xlfn.XLOOKUP(C110,Dados!$C$3:$C$329,Dados!$R$3:$R$329,"")</f>
        <v>0.64507812667375897</v>
      </c>
      <c r="U110" s="43">
        <f>_xlfn.XLOOKUP(C110,Dados!$C$3:$C$329,Dados!$S$3:$S$329,"")</f>
        <v>0.838746773909534</v>
      </c>
      <c r="V110" s="77">
        <f>_xlfn.XLOOKUP(C110,Dados!$C$3:$C$329,Dados!$T$3:$T$329,"")</f>
        <v>1392.31635966627</v>
      </c>
      <c r="W110" s="77">
        <f>_xlfn.XLOOKUP(C110,Dados!$C$3:$C$329,Dados!$U$3:$U$329,"")</f>
        <v>1017.4288808049801</v>
      </c>
      <c r="X110" s="77">
        <f>_xlfn.XLOOKUP(C110,Dados!$C$3:$C$329,Dados!$V$3:$V$329,"")</f>
        <v>860.77052667009002</v>
      </c>
      <c r="Y110" s="77">
        <f>_xlfn.XLOOKUP(C110,Dados!$C$3:$C$329,Dados!$W$3:$W$329,"")</f>
        <v>735.88364178306301</v>
      </c>
      <c r="Z110" s="77">
        <f>_xlfn.XLOOKUP(C110,Dados!$C$3:$C$329,Dados!$X$3:$X$329,"")</f>
        <v>734.78935138419297</v>
      </c>
      <c r="AA110" s="20"/>
      <c r="AB110" s="20"/>
      <c r="AC110" s="20"/>
      <c r="AD110" s="20"/>
      <c r="AE110" s="80"/>
      <c r="AF110" s="43">
        <v>0.1555858334651444</v>
      </c>
      <c r="AG110" s="43">
        <v>0.17392504293104463</v>
      </c>
      <c r="AH110" s="43">
        <v>0.15337966929409744</v>
      </c>
      <c r="AI110" s="43">
        <v>0.18078449745449029</v>
      </c>
      <c r="AJ110" s="43">
        <v>0.18130170974485568</v>
      </c>
      <c r="AK110" s="43" cm="1">
        <f t="array" ref="AK110">_xlfn.XLOOKUP(C110,Dados!$C$3:$C$329,Dados!$Z$3:'Dados'!$Z$329,"")</f>
        <v>9.1136302557963393</v>
      </c>
      <c r="AL110" s="43" cm="1">
        <f t="array" ref="AL110">_xlfn.XLOOKUP(C110,Dados!$C$3:$C$329,Dados!$AA$3:'Dados'!$AA$329,"")</f>
        <v>7.9042545389983303</v>
      </c>
      <c r="AM110" s="43" cm="1">
        <f t="array" ref="AM110">_xlfn.XLOOKUP(C110,Dados!$C$3:$C$329,Dados!$AB$3:'Dados'!$AB$329,"")</f>
        <v>7.2809622509996696</v>
      </c>
      <c r="AN110" s="43" cm="1">
        <f t="array" ref="AN110">_xlfn.XLOOKUP(C110,Dados!$C$3:$C$329,Dados!$AC$3:'Dados'!$AC$329,"")</f>
        <v>6.2167694308124704</v>
      </c>
      <c r="AO110" s="82" cm="1">
        <f t="array" ref="AO110">_xlfn.XLOOKUP(C110,Dados!$C$3:$C$329,Dados!$AD$3:'Dados'!$AD$329,"")</f>
        <v>6.53678677092139</v>
      </c>
    </row>
    <row r="111" spans="1:41" ht="63.75" x14ac:dyDescent="0.25">
      <c r="A111" s="6">
        <v>264</v>
      </c>
      <c r="B111" s="10" t="s">
        <v>253</v>
      </c>
      <c r="C111" s="8" t="s">
        <v>254</v>
      </c>
      <c r="D111" s="8" t="s">
        <v>255</v>
      </c>
      <c r="E111" s="8" t="s">
        <v>210</v>
      </c>
      <c r="F111" s="72">
        <f>_xlfn.XLOOKUP(C111,Dados!$C$3:$C$329,Dados!$D$3:$D$329,"")</f>
        <v>7</v>
      </c>
      <c r="G111" s="86">
        <f>_xlfn.XLOOKUP(C111,Dados!$C$3:$C$329,Dados!$E$3:$E$329,"")</f>
        <v>641475</v>
      </c>
      <c r="H111" s="71">
        <f>_xlfn.XLOOKUP(C111,Dados!$C$3:$C$329,Dados!$F$3:$F$329,"")</f>
        <v>656941.66666666651</v>
      </c>
      <c r="I111" s="71">
        <f>_xlfn.XLOOKUP(C111,Dados!$C$3:$C$329,Dados!$G$3:$G$329,"")</f>
        <v>672408.33333333337</v>
      </c>
      <c r="J111" s="71">
        <f>_xlfn.XLOOKUP(C111,Dados!$C$3:$C$329,Dados!$H$3:$H$329,"")</f>
        <v>687875</v>
      </c>
      <c r="K111" s="71">
        <f>_xlfn.XLOOKUP(C111,Dados!$C$3:$C$329,Dados!$I$3:$I$329,"")</f>
        <v>683675</v>
      </c>
      <c r="L111" s="71">
        <f>_xlfn.XLOOKUP(C111,Dados!$C$3:$C$329,Dados!$J$3:$J$329,"")</f>
        <v>42</v>
      </c>
      <c r="M111" s="72" t="str">
        <f>_xlfn.XLOOKUP(C111,Dados!$C$3:$C$329,Dados!$K$3:$K$329,"")</f>
        <v>Nordeste</v>
      </c>
      <c r="N111" s="71">
        <f>_xlfn.XLOOKUP(C111,Dados!$C$3:$C$329,Dados!$L$3:$L$329,"")</f>
        <v>15</v>
      </c>
      <c r="O111" s="43">
        <f>_xlfn.XLOOKUP(C111,Dados!$C$3:$C$329,Dados!$M$3:$M$329,"")</f>
        <v>0.54186755079725502</v>
      </c>
      <c r="P111" s="43">
        <f>_xlfn.XLOOKUP(C111,Dados!$C$3:$C$329,Dados!$N$3:$N$329,"")</f>
        <v>0.51226123407155899</v>
      </c>
      <c r="Q111" s="43">
        <f>_xlfn.XLOOKUP(C111,Dados!$C$3:$C$329,Dados!$O$3:$O$329,"")</f>
        <v>0.46748779443939698</v>
      </c>
      <c r="R111" s="43">
        <f>_xlfn.XLOOKUP(C111,Dados!$C$3:$C$329,Dados!$P$3:$P$329,"")</f>
        <v>0.44897517182871999</v>
      </c>
      <c r="S111" s="43">
        <f>_xlfn.XLOOKUP(C111,Dados!$C$3:$C$329,Dados!$Q$3:$Q$329,"")</f>
        <v>0.35677957828204598</v>
      </c>
      <c r="T111" s="43">
        <f>_xlfn.XLOOKUP(C111,Dados!$C$3:$C$329,Dados!$R$3:$R$329,"")</f>
        <v>0.790645952137218</v>
      </c>
      <c r="U111" s="43">
        <f>_xlfn.XLOOKUP(C111,Dados!$C$3:$C$329,Dados!$S$3:$S$329,"")</f>
        <v>0.88840274495904004</v>
      </c>
      <c r="V111" s="77">
        <f>_xlfn.XLOOKUP(C111,Dados!$C$3:$C$329,Dados!$T$3:$T$329,"")</f>
        <v>1318.70872721462</v>
      </c>
      <c r="W111" s="77">
        <f>_xlfn.XLOOKUP(C111,Dados!$C$3:$C$329,Dados!$U$3:$U$329,"")</f>
        <v>996.22230127484704</v>
      </c>
      <c r="X111" s="77">
        <f>_xlfn.XLOOKUP(C111,Dados!$C$3:$C$329,Dados!$V$3:$V$329,"")</f>
        <v>907.04749488530001</v>
      </c>
      <c r="Y111" s="77">
        <f>_xlfn.XLOOKUP(C111,Dados!$C$3:$C$329,Dados!$W$3:$W$329,"")</f>
        <v>763.28295371978902</v>
      </c>
      <c r="Z111" s="77">
        <f>_xlfn.XLOOKUP(C111,Dados!$C$3:$C$329,Dados!$X$3:$X$329,"")</f>
        <v>739.97974119281798</v>
      </c>
      <c r="AA111" s="20"/>
      <c r="AB111" s="20"/>
      <c r="AC111" s="20"/>
      <c r="AD111" s="20"/>
      <c r="AE111" s="80"/>
      <c r="AF111" s="43">
        <v>0.11039968989279589</v>
      </c>
      <c r="AG111" s="43" t="e">
        <v>#DIV/0!</v>
      </c>
      <c r="AH111" s="43">
        <v>8.3080655897034533E-2</v>
      </c>
      <c r="AI111" s="43">
        <v>0.11428425897953048</v>
      </c>
      <c r="AJ111" s="43">
        <v>0.12625027632030406</v>
      </c>
      <c r="AK111" s="43" cm="1">
        <f t="array" ref="AK111">_xlfn.XLOOKUP(C111,Dados!$C$3:$C$329,Dados!$Z$3:'Dados'!$Z$329,"")</f>
        <v>6.9024622939319498</v>
      </c>
      <c r="AL111" s="43" cm="1">
        <f t="array" ref="AL111">_xlfn.XLOOKUP(C111,Dados!$C$3:$C$329,Dados!$AA$3:'Dados'!$AA$329,"")</f>
        <v>5.60753288597415</v>
      </c>
      <c r="AM111" s="43" cm="1">
        <f t="array" ref="AM111">_xlfn.XLOOKUP(C111,Dados!$C$3:$C$329,Dados!$AB$3:'Dados'!$AB$329,"")</f>
        <v>5.54012318903444</v>
      </c>
      <c r="AN111" s="43" cm="1">
        <f t="array" ref="AN111">_xlfn.XLOOKUP(C111,Dados!$C$3:$C$329,Dados!$AC$3:'Dados'!$AC$329,"")</f>
        <v>5.7621908050154502</v>
      </c>
      <c r="AO111" s="82" cm="1">
        <f t="array" ref="AO111">_xlfn.XLOOKUP(C111,Dados!$C$3:$C$329,Dados!$AD$3:'Dados'!$AD$329,"")</f>
        <v>5.7643778110944499</v>
      </c>
    </row>
    <row r="112" spans="1:41" ht="51" x14ac:dyDescent="0.25">
      <c r="A112" s="6">
        <v>300</v>
      </c>
      <c r="B112" s="3" t="s">
        <v>256</v>
      </c>
      <c r="C112" s="8" t="s">
        <v>257</v>
      </c>
      <c r="D112" s="8" t="s">
        <v>220</v>
      </c>
      <c r="E112" s="8" t="s">
        <v>210</v>
      </c>
      <c r="F112" s="72">
        <f>_xlfn.XLOOKUP(C112,Dados!$C$3:$C$329,Dados!$D$3:$D$329,"")</f>
        <v>10</v>
      </c>
      <c r="G112" s="86">
        <f>_xlfn.XLOOKUP(C112,Dados!$C$3:$C$329,Dados!$E$3:$E$329,"")</f>
        <v>1486804</v>
      </c>
      <c r="H112" s="71">
        <f>_xlfn.XLOOKUP(C112,Dados!$C$3:$C$329,Dados!$F$3:$F$329,"")</f>
        <v>1474173.6666666665</v>
      </c>
      <c r="I112" s="71">
        <f>_xlfn.XLOOKUP(C112,Dados!$C$3:$C$329,Dados!$G$3:$G$329,"")</f>
        <v>1461543.3333333335</v>
      </c>
      <c r="J112" s="71">
        <f>_xlfn.XLOOKUP(C112,Dados!$C$3:$C$329,Dados!$H$3:$H$329,"")</f>
        <v>1448913</v>
      </c>
      <c r="K112" s="71">
        <f>_xlfn.XLOOKUP(C112,Dados!$C$3:$C$329,Dados!$I$3:$I$329,"")</f>
        <v>1437026</v>
      </c>
      <c r="L112" s="71">
        <f>_xlfn.XLOOKUP(C112,Dados!$C$3:$C$329,Dados!$J$3:$J$329,"")</f>
        <v>21</v>
      </c>
      <c r="M112" s="72" t="str">
        <f>_xlfn.XLOOKUP(C112,Dados!$C$3:$C$329,Dados!$K$3:$K$329,"")</f>
        <v>Nordeste</v>
      </c>
      <c r="N112" s="71">
        <f>_xlfn.XLOOKUP(C112,Dados!$C$3:$C$329,Dados!$L$3:$L$329,"")</f>
        <v>4</v>
      </c>
      <c r="O112" s="43">
        <f>_xlfn.XLOOKUP(C112,Dados!$C$3:$C$329,Dados!$M$3:$M$329,"")</f>
        <v>0.57880822449458103</v>
      </c>
      <c r="P112" s="43">
        <f>_xlfn.XLOOKUP(C112,Dados!$C$3:$C$329,Dados!$N$3:$N$329,"")</f>
        <v>0.55281398010778604</v>
      </c>
      <c r="Q112" s="43">
        <f>_xlfn.XLOOKUP(C112,Dados!$C$3:$C$329,Dados!$O$3:$O$329,"")</f>
        <v>0.528755833304001</v>
      </c>
      <c r="R112" s="43">
        <f>_xlfn.XLOOKUP(C112,Dados!$C$3:$C$329,Dados!$P$3:$P$329,"")</f>
        <v>0.52045849170439495</v>
      </c>
      <c r="S112" s="43">
        <f>_xlfn.XLOOKUP(C112,Dados!$C$3:$C$329,Dados!$Q$3:$Q$329,"")</f>
        <v>0.56654581802797499</v>
      </c>
      <c r="T112" s="43">
        <f>_xlfn.XLOOKUP(C112,Dados!$C$3:$C$329,Dados!$R$3:$R$329,"")</f>
        <v>0.70041094099159995</v>
      </c>
      <c r="U112" s="43">
        <f>_xlfn.XLOOKUP(C112,Dados!$C$3:$C$329,Dados!$S$3:$S$329,"")</f>
        <v>0.83966309207390299</v>
      </c>
      <c r="V112" s="77">
        <f>_xlfn.XLOOKUP(C112,Dados!$C$3:$C$329,Dados!$T$3:$T$329,"")</f>
        <v>969.61800817054598</v>
      </c>
      <c r="W112" s="77">
        <f>_xlfn.XLOOKUP(C112,Dados!$C$3:$C$329,Dados!$U$3:$U$329,"")</f>
        <v>816.41060545783796</v>
      </c>
      <c r="X112" s="77">
        <f>_xlfn.XLOOKUP(C112,Dados!$C$3:$C$329,Dados!$V$3:$V$329,"")</f>
        <v>736.09566388726103</v>
      </c>
      <c r="Y112" s="77">
        <f>_xlfn.XLOOKUP(C112,Dados!$C$3:$C$329,Dados!$W$3:$W$329,"")</f>
        <v>636.92633053192299</v>
      </c>
      <c r="Z112" s="77">
        <f>_xlfn.XLOOKUP(C112,Dados!$C$3:$C$329,Dados!$X$3:$X$329,"")</f>
        <v>594.38514232171201</v>
      </c>
      <c r="AA112" s="20"/>
      <c r="AB112" s="20"/>
      <c r="AC112" s="20"/>
      <c r="AD112" s="20"/>
      <c r="AE112" s="80"/>
      <c r="AF112" s="43" t="e">
        <v>#DIV/0!</v>
      </c>
      <c r="AG112" s="43" t="e">
        <v>#DIV/0!</v>
      </c>
      <c r="AH112" s="43">
        <v>0.36024248742556225</v>
      </c>
      <c r="AI112" s="43">
        <v>0.56509830079391432</v>
      </c>
      <c r="AJ112" s="43">
        <v>0.43609412221569521</v>
      </c>
      <c r="AK112" s="43" cm="1">
        <f t="array" ref="AK112">_xlfn.XLOOKUP(C112,Dados!$C$3:$C$329,Dados!$Z$3:'Dados'!$Z$329,"")</f>
        <v>10.956971463622599</v>
      </c>
      <c r="AL112" s="43" cm="1">
        <f t="array" ref="AL112">_xlfn.XLOOKUP(C112,Dados!$C$3:$C$329,Dados!$AA$3:'Dados'!$AA$329,"")</f>
        <v>10.181731189066101</v>
      </c>
      <c r="AM112" s="43" cm="1">
        <f t="array" ref="AM112">_xlfn.XLOOKUP(C112,Dados!$C$3:$C$329,Dados!$AB$3:'Dados'!$AB$329,"")</f>
        <v>8.6712222011891509</v>
      </c>
      <c r="AN112" s="43" cm="1">
        <f t="array" ref="AN112">_xlfn.XLOOKUP(C112,Dados!$C$3:$C$329,Dados!$AC$3:'Dados'!$AC$329,"")</f>
        <v>7.4321536213699497</v>
      </c>
      <c r="AO112" s="82" cm="1">
        <f t="array" ref="AO112">_xlfn.XLOOKUP(C112,Dados!$C$3:$C$329,Dados!$AD$3:'Dados'!$AD$329,"")</f>
        <v>5.9305927658928903</v>
      </c>
    </row>
    <row r="113" spans="1:41" ht="63.75" x14ac:dyDescent="0.25">
      <c r="A113" s="6">
        <v>13</v>
      </c>
      <c r="B113" s="3" t="s">
        <v>258</v>
      </c>
      <c r="C113" s="8" t="s">
        <v>259</v>
      </c>
      <c r="D113" s="8" t="s">
        <v>260</v>
      </c>
      <c r="E113" s="8" t="s">
        <v>261</v>
      </c>
      <c r="F113" s="72">
        <f>_xlfn.XLOOKUP(C113,Dados!$C$3:$C$329,Dados!$D$3:$D$329,"")</f>
        <v>26</v>
      </c>
      <c r="G113" s="86">
        <f>_xlfn.XLOOKUP(C113,Dados!$C$3:$C$329,Dados!$E$3:$E$329,"")</f>
        <v>136453</v>
      </c>
      <c r="H113" s="71">
        <f>_xlfn.XLOOKUP(C113,Dados!$C$3:$C$329,Dados!$F$3:$F$329,"")</f>
        <v>130762.66666666666</v>
      </c>
      <c r="I113" s="71">
        <f>_xlfn.XLOOKUP(C113,Dados!$C$3:$C$329,Dados!$G$3:$G$329,"")</f>
        <v>125072.33333333334</v>
      </c>
      <c r="J113" s="71">
        <f>_xlfn.XLOOKUP(C113,Dados!$C$3:$C$329,Dados!$H$3:$H$329,"")</f>
        <v>119382</v>
      </c>
      <c r="K113" s="71">
        <f>_xlfn.XLOOKUP(C113,Dados!$C$3:$C$329,Dados!$I$3:$I$329,"")</f>
        <v>118173</v>
      </c>
      <c r="L113" s="71">
        <f>_xlfn.XLOOKUP(C113,Dados!$C$3:$C$329,Dados!$J$3:$J$329,"")</f>
        <v>9</v>
      </c>
      <c r="M113" s="72" t="str">
        <f>_xlfn.XLOOKUP(C113,Dados!$C$3:$C$329,Dados!$K$3:$K$329,"")</f>
        <v>Centro-oeste</v>
      </c>
      <c r="N113" s="71">
        <f>_xlfn.XLOOKUP(C113,Dados!$C$3:$C$329,Dados!$L$3:$L$329,"")</f>
        <v>4</v>
      </c>
      <c r="O113" s="43">
        <f>_xlfn.XLOOKUP(C113,Dados!$C$3:$C$329,Dados!$M$3:$M$329,"")</f>
        <v>0.66499719007463898</v>
      </c>
      <c r="P113" s="43">
        <f>_xlfn.XLOOKUP(C113,Dados!$C$3:$C$329,Dados!$N$3:$N$329,"")</f>
        <v>0.63345328836379999</v>
      </c>
      <c r="Q113" s="43">
        <f>_xlfn.XLOOKUP(C113,Dados!$C$3:$C$329,Dados!$O$3:$O$329,"")</f>
        <v>0.59170725653783696</v>
      </c>
      <c r="R113" s="43">
        <f>_xlfn.XLOOKUP(C113,Dados!$C$3:$C$329,Dados!$P$3:$P$329,"")</f>
        <v>0.58066515638873495</v>
      </c>
      <c r="S113" s="43">
        <f>_xlfn.XLOOKUP(C113,Dados!$C$3:$C$329,Dados!$Q$3:$Q$329,"")</f>
        <v>0.43750585607794901</v>
      </c>
      <c r="T113" s="43">
        <f>_xlfn.XLOOKUP(C113,Dados!$C$3:$C$329,Dados!$R$3:$R$329,"")</f>
        <v>0.865502989736605</v>
      </c>
      <c r="U113" s="43">
        <f>_xlfn.XLOOKUP(C113,Dados!$C$3:$C$329,Dados!$S$3:$S$329,"")</f>
        <v>0.89849364367819196</v>
      </c>
      <c r="V113" s="77">
        <f>_xlfn.XLOOKUP(C113,Dados!$C$3:$C$329,Dados!$T$3:$T$329,"")</f>
        <v>2168.5367914226899</v>
      </c>
      <c r="W113" s="77">
        <f>_xlfn.XLOOKUP(C113,Dados!$C$3:$C$329,Dados!$U$3:$U$329,"")</f>
        <v>2095.6593253935898</v>
      </c>
      <c r="X113" s="77">
        <f>_xlfn.XLOOKUP(C113,Dados!$C$3:$C$329,Dados!$V$3:$V$329,"")</f>
        <v>1809.32573158999</v>
      </c>
      <c r="Y113" s="77">
        <f>_xlfn.XLOOKUP(C113,Dados!$C$3:$C$329,Dados!$W$3:$W$329,"")</f>
        <v>1528.71221859242</v>
      </c>
      <c r="Z113" s="77">
        <f>_xlfn.XLOOKUP(C113,Dados!$C$3:$C$329,Dados!$X$3:$X$329,"")</f>
        <v>1404.3335105794799</v>
      </c>
      <c r="AA113" s="20"/>
      <c r="AB113" s="20"/>
      <c r="AC113" s="20"/>
      <c r="AD113" s="20"/>
      <c r="AE113" s="80"/>
      <c r="AF113" s="43">
        <v>5.8485236392667179E-2</v>
      </c>
      <c r="AG113" s="43">
        <v>6.9119713959177681E-2</v>
      </c>
      <c r="AH113" s="43" t="e">
        <v>#DIV/0!</v>
      </c>
      <c r="AI113" s="43" t="e">
        <v>#DIV/0!</v>
      </c>
      <c r="AJ113" s="43" t="e">
        <v>#DIV/0!</v>
      </c>
      <c r="AK113" s="43" cm="1">
        <f t="array" ref="AK113">_xlfn.XLOOKUP(C113,Dados!$C$3:$C$329,Dados!$Z$3:'Dados'!$Z$329,"")</f>
        <v>13.9639802715953</v>
      </c>
      <c r="AL113" s="43" cm="1">
        <f t="array" ref="AL113">_xlfn.XLOOKUP(C113,Dados!$C$3:$C$329,Dados!$AA$3:'Dados'!$AA$329,"")</f>
        <v>16.196755954808701</v>
      </c>
      <c r="AM113" s="43" cm="1">
        <f t="array" ref="AM113">_xlfn.XLOOKUP(C113,Dados!$C$3:$C$329,Dados!$AB$3:'Dados'!$AB$329,"")</f>
        <v>13.915171753945</v>
      </c>
      <c r="AN113" s="43" cm="1">
        <f t="array" ref="AN113">_xlfn.XLOOKUP(C113,Dados!$C$3:$C$329,Dados!$AC$3:'Dados'!$AC$329,"")</f>
        <v>10.864493809787101</v>
      </c>
      <c r="AO113" s="82" cm="1">
        <f t="array" ref="AO113">_xlfn.XLOOKUP(C113,Dados!$C$3:$C$329,Dados!$AD$3:'Dados'!$AD$329,"")</f>
        <v>12.272545274832099</v>
      </c>
    </row>
    <row r="114" spans="1:41" ht="76.5" x14ac:dyDescent="0.25">
      <c r="A114" s="6">
        <v>17</v>
      </c>
      <c r="B114" s="3" t="s">
        <v>262</v>
      </c>
      <c r="C114" s="8" t="s">
        <v>263</v>
      </c>
      <c r="D114" s="8" t="s">
        <v>264</v>
      </c>
      <c r="E114" s="8" t="s">
        <v>261</v>
      </c>
      <c r="F114" s="72">
        <f>_xlfn.XLOOKUP(C114,Dados!$C$3:$C$329,Dados!$D$3:$D$329,"")</f>
        <v>27</v>
      </c>
      <c r="G114" s="86">
        <f>_xlfn.XLOOKUP(C114,Dados!$C$3:$C$329,Dados!$E$3:$E$329,"")</f>
        <v>239607</v>
      </c>
      <c r="H114" s="71">
        <f>_xlfn.XLOOKUP(C114,Dados!$C$3:$C$329,Dados!$F$3:$F$329,"")</f>
        <v>238938.33333333337</v>
      </c>
      <c r="I114" s="71">
        <f>_xlfn.XLOOKUP(C114,Dados!$C$3:$C$329,Dados!$G$3:$G$329,"")</f>
        <v>238269.66666666663</v>
      </c>
      <c r="J114" s="71">
        <f>_xlfn.XLOOKUP(C114,Dados!$C$3:$C$329,Dados!$H$3:$H$329,"")</f>
        <v>237601</v>
      </c>
      <c r="K114" s="71">
        <f>_xlfn.XLOOKUP(C114,Dados!$C$3:$C$329,Dados!$I$3:$I$329,"")</f>
        <v>235901</v>
      </c>
      <c r="L114" s="71">
        <f>_xlfn.XLOOKUP(C114,Dados!$C$3:$C$329,Dados!$J$3:$J$329,"")</f>
        <v>14</v>
      </c>
      <c r="M114" s="72" t="str">
        <f>_xlfn.XLOOKUP(C114,Dados!$C$3:$C$329,Dados!$K$3:$K$329,"")</f>
        <v>Centro-oeste</v>
      </c>
      <c r="N114" s="71">
        <f>_xlfn.XLOOKUP(C114,Dados!$C$3:$C$329,Dados!$L$3:$L$329,"")</f>
        <v>28</v>
      </c>
      <c r="O114" s="43">
        <f>_xlfn.XLOOKUP(C114,Dados!$C$3:$C$329,Dados!$M$3:$M$329,"")</f>
        <v>0.72740504188667898</v>
      </c>
      <c r="P114" s="43">
        <f>_xlfn.XLOOKUP(C114,Dados!$C$3:$C$329,Dados!$N$3:$N$329,"")</f>
        <v>0.69274586539900895</v>
      </c>
      <c r="Q114" s="43">
        <f>_xlfn.XLOOKUP(C114,Dados!$C$3:$C$329,Dados!$O$3:$O$329,"")</f>
        <v>0.66809138050765804</v>
      </c>
      <c r="R114" s="43">
        <f>_xlfn.XLOOKUP(C114,Dados!$C$3:$C$329,Dados!$P$3:$P$329,"")</f>
        <v>0.656635788569913</v>
      </c>
      <c r="S114" s="43">
        <f>_xlfn.XLOOKUP(C114,Dados!$C$3:$C$329,Dados!$Q$3:$Q$329,"")</f>
        <v>0.44120525902723701</v>
      </c>
      <c r="T114" s="43">
        <f>_xlfn.XLOOKUP(C114,Dados!$C$3:$C$329,Dados!$R$3:$R$329,"")</f>
        <v>0.84979852506054099</v>
      </c>
      <c r="U114" s="43">
        <f>_xlfn.XLOOKUP(C114,Dados!$C$3:$C$329,Dados!$S$3:$S$329,"")</f>
        <v>0.888417631003527</v>
      </c>
      <c r="V114" s="77">
        <f>_xlfn.XLOOKUP(C114,Dados!$C$3:$C$329,Dados!$T$3:$T$329,"")</f>
        <v>2531.99181806041</v>
      </c>
      <c r="W114" s="77">
        <f>_xlfn.XLOOKUP(C114,Dados!$C$3:$C$329,Dados!$U$3:$U$329,"")</f>
        <v>2258.1764085573</v>
      </c>
      <c r="X114" s="77">
        <f>_xlfn.XLOOKUP(C114,Dados!$C$3:$C$329,Dados!$V$3:$V$329,"")</f>
        <v>1966.6070756244001</v>
      </c>
      <c r="Y114" s="77">
        <f>_xlfn.XLOOKUP(C114,Dados!$C$3:$C$329,Dados!$W$3:$W$329,"")</f>
        <v>1596.2017741928701</v>
      </c>
      <c r="Z114" s="77">
        <f>_xlfn.XLOOKUP(C114,Dados!$C$3:$C$329,Dados!$X$3:$X$329,"")</f>
        <v>1426.3805292486099</v>
      </c>
      <c r="AA114" s="20"/>
      <c r="AB114" s="20"/>
      <c r="AC114" s="20"/>
      <c r="AD114" s="20"/>
      <c r="AE114" s="80"/>
      <c r="AF114" s="43" t="e">
        <v>#DIV/0!</v>
      </c>
      <c r="AG114" s="43" t="e">
        <v>#DIV/0!</v>
      </c>
      <c r="AH114" s="43">
        <v>0.14076220944426018</v>
      </c>
      <c r="AI114" s="43">
        <v>0.50338428444619743</v>
      </c>
      <c r="AJ114" s="43">
        <v>0.19639737084391665</v>
      </c>
      <c r="AK114" s="43" cm="1">
        <f t="array" ref="AK114">_xlfn.XLOOKUP(C114,Dados!$C$3:$C$329,Dados!$Z$3:'Dados'!$Z$329,"")</f>
        <v>13.6293347022416</v>
      </c>
      <c r="AL114" s="43" cm="1">
        <f t="array" ref="AL114">_xlfn.XLOOKUP(C114,Dados!$C$3:$C$329,Dados!$AA$3:'Dados'!$AA$329,"")</f>
        <v>14.4963554055091</v>
      </c>
      <c r="AM114" s="43" cm="1">
        <f t="array" ref="AM114">_xlfn.XLOOKUP(C114,Dados!$C$3:$C$329,Dados!$AB$3:'Dados'!$AB$329,"")</f>
        <v>13.525783810780201</v>
      </c>
      <c r="AN114" s="43" cm="1">
        <f t="array" ref="AN114">_xlfn.XLOOKUP(C114,Dados!$C$3:$C$329,Dados!$AC$3:'Dados'!$AC$329,"")</f>
        <v>9.9903535759529607</v>
      </c>
      <c r="AO114" s="82" cm="1">
        <f t="array" ref="AO114">_xlfn.XLOOKUP(C114,Dados!$C$3:$C$329,Dados!$AD$3:'Dados'!$AD$329,"")</f>
        <v>10.1913039086536</v>
      </c>
    </row>
    <row r="115" spans="1:41" ht="51" x14ac:dyDescent="0.25">
      <c r="A115" s="6">
        <v>84</v>
      </c>
      <c r="B115" s="3" t="s">
        <v>265</v>
      </c>
      <c r="C115" s="8" t="s">
        <v>266</v>
      </c>
      <c r="D115" s="8" t="s">
        <v>267</v>
      </c>
      <c r="E115" s="8" t="s">
        <v>261</v>
      </c>
      <c r="F115" s="72">
        <f>_xlfn.XLOOKUP(C115,Dados!$C$3:$C$329,Dados!$D$3:$D$329,"")</f>
        <v>3</v>
      </c>
      <c r="G115" s="86">
        <f>_xlfn.XLOOKUP(C115,Dados!$C$3:$C$329,Dados!$E$3:$E$329,"")</f>
        <v>121358503</v>
      </c>
      <c r="H115" s="71">
        <v>121627834.66666651</v>
      </c>
      <c r="I115" s="71">
        <v>121897166.33333349</v>
      </c>
      <c r="J115" s="71">
        <f>_xlfn.XLOOKUP(C115,Dados!$C$3:$C$329,Dados!$H$3:$H$329,"")</f>
        <v>122171720</v>
      </c>
      <c r="K115" s="71">
        <f>_xlfn.XLOOKUP(C115,Dados!$C$3:$C$329,Dados!$I$3:$I$329,"")</f>
        <v>121310226</v>
      </c>
      <c r="L115" s="71">
        <f>_xlfn.XLOOKUP(C115,Dados!$C$3:$C$329,Dados!$J$3:$J$329,"")</f>
        <v>1898</v>
      </c>
      <c r="M115" s="73" t="str">
        <f>_xlfn.XLOOKUP(C115,Dados!$C$3:$C$329,Dados!$K$3:$K$329,"")</f>
        <v>Centro-oeste</v>
      </c>
      <c r="N115" s="71">
        <f>_xlfn.XLOOKUP(C115,Dados!$C$3:$C$329,Dados!$L$3:$L$329,"")</f>
        <v>2</v>
      </c>
      <c r="O115" s="83">
        <v>0.71439296991157109</v>
      </c>
      <c r="P115" s="83">
        <v>0.69148123382818905</v>
      </c>
      <c r="Q115" s="75">
        <v>0.6721296909587583</v>
      </c>
      <c r="R115" s="75">
        <v>0.66040191550957905</v>
      </c>
      <c r="S115" s="75">
        <f>73.8428215861535/100</f>
        <v>0.73842821586153506</v>
      </c>
      <c r="T115" s="75">
        <f>88.284782810442/100</f>
        <v>0.88284782810441997</v>
      </c>
      <c r="U115" s="75">
        <f>94.6726716190907/100</f>
        <v>0.94672671619090709</v>
      </c>
      <c r="V115" s="78">
        <v>1660.7753945739585</v>
      </c>
      <c r="W115" s="78">
        <v>1410.4312710929521</v>
      </c>
      <c r="X115" s="77">
        <v>1243.9347501182117</v>
      </c>
      <c r="Y115" s="77">
        <v>1105.4398045400362</v>
      </c>
      <c r="Z115" s="77">
        <v>1005.1074768572286</v>
      </c>
      <c r="AA115" s="20"/>
      <c r="AB115" s="20"/>
      <c r="AC115" s="20"/>
      <c r="AD115" s="20"/>
      <c r="AE115" s="80"/>
      <c r="AF115" s="43">
        <v>0.81947985024983661</v>
      </c>
      <c r="AG115" s="43">
        <v>0.76000381572006259</v>
      </c>
      <c r="AH115" s="43" t="e">
        <v>#DIV/0!</v>
      </c>
      <c r="AI115" s="43" t="e">
        <v>#DIV/0!</v>
      </c>
      <c r="AJ115" s="43" t="e">
        <v>#DIV/0!</v>
      </c>
      <c r="AK115" s="43">
        <v>13.851985377571772</v>
      </c>
      <c r="AL115" s="43">
        <v>12.818964230293091</v>
      </c>
      <c r="AM115" s="43">
        <v>11.278559825094526</v>
      </c>
      <c r="AN115" s="43">
        <v>9.4753107429444388</v>
      </c>
      <c r="AO115" s="82">
        <v>8.1857184653171782</v>
      </c>
    </row>
    <row r="116" spans="1:41" ht="63.75" x14ac:dyDescent="0.25">
      <c r="A116" s="6">
        <v>184</v>
      </c>
      <c r="B116" s="3" t="s">
        <v>268</v>
      </c>
      <c r="C116" s="8" t="s">
        <v>269</v>
      </c>
      <c r="D116" s="8" t="s">
        <v>270</v>
      </c>
      <c r="E116" s="8" t="s">
        <v>261</v>
      </c>
      <c r="F116" s="72">
        <f>_xlfn.XLOOKUP(C116,Dados!$C$3:$C$329,Dados!$D$3:$D$329,"")</f>
        <v>10</v>
      </c>
      <c r="G116" s="86">
        <f>_xlfn.XLOOKUP(C116,Dados!$C$3:$C$329,Dados!$E$3:$E$329,"")</f>
        <v>186277</v>
      </c>
      <c r="H116" s="71">
        <f>_xlfn.XLOOKUP(C116,Dados!$C$3:$C$329,Dados!$F$3:$F$329,"")</f>
        <v>181786.33333333331</v>
      </c>
      <c r="I116" s="71">
        <f>_xlfn.XLOOKUP(C116,Dados!$C$3:$C$329,Dados!$G$3:$G$329,"")</f>
        <v>177295.66666666669</v>
      </c>
      <c r="J116" s="71">
        <f>_xlfn.XLOOKUP(C116,Dados!$C$3:$C$329,Dados!$H$3:$H$329,"")</f>
        <v>172805</v>
      </c>
      <c r="K116" s="71">
        <f>_xlfn.XLOOKUP(C116,Dados!$C$3:$C$329,Dados!$I$3:$I$329,"")</f>
        <v>171084</v>
      </c>
      <c r="L116" s="71">
        <f>_xlfn.XLOOKUP(C116,Dados!$C$3:$C$329,Dados!$J$3:$J$329,"")</f>
        <v>8</v>
      </c>
      <c r="M116" s="72" t="str">
        <f>_xlfn.XLOOKUP(C116,Dados!$C$3:$C$329,Dados!$K$3:$K$329,"")</f>
        <v>Centro-oeste</v>
      </c>
      <c r="N116" s="71">
        <f>_xlfn.XLOOKUP(C116,Dados!$C$3:$C$329,Dados!$L$3:$L$329,"")</f>
        <v>29</v>
      </c>
      <c r="O116" s="43">
        <f>_xlfn.XLOOKUP(C116,Dados!$C$3:$C$329,Dados!$M$3:$M$329,"")</f>
        <v>0.71495284500668399</v>
      </c>
      <c r="P116" s="43">
        <f>_xlfn.XLOOKUP(C116,Dados!$C$3:$C$329,Dados!$N$3:$N$329,"")</f>
        <v>0.69962394023542596</v>
      </c>
      <c r="Q116" s="43">
        <f>_xlfn.XLOOKUP(C116,Dados!$C$3:$C$329,Dados!$O$3:$O$329,"")</f>
        <v>0.68336053065594204</v>
      </c>
      <c r="R116" s="43">
        <f>_xlfn.XLOOKUP(C116,Dados!$C$3:$C$329,Dados!$P$3:$P$329,"")</f>
        <v>0.67551597812563302</v>
      </c>
      <c r="S116" s="43">
        <f>_xlfn.XLOOKUP(C116,Dados!$C$3:$C$329,Dados!$Q$3:$Q$329,"")</f>
        <v>0.42009274582759099</v>
      </c>
      <c r="T116" s="43">
        <f>_xlfn.XLOOKUP(C116,Dados!$C$3:$C$329,Dados!$R$3:$R$329,"")</f>
        <v>0.76549362514970298</v>
      </c>
      <c r="U116" s="43">
        <f>_xlfn.XLOOKUP(C116,Dados!$C$3:$C$329,Dados!$S$3:$S$329,"")</f>
        <v>0.899055627041082</v>
      </c>
      <c r="V116" s="77">
        <f>_xlfn.XLOOKUP(C116,Dados!$C$3:$C$329,Dados!$T$3:$T$329,"")</f>
        <v>2571.8824539798302</v>
      </c>
      <c r="W116" s="77">
        <f>_xlfn.XLOOKUP(C116,Dados!$C$3:$C$329,Dados!$U$3:$U$329,"")</f>
        <v>2305.1470958396199</v>
      </c>
      <c r="X116" s="77">
        <f>_xlfn.XLOOKUP(C116,Dados!$C$3:$C$329,Dados!$V$3:$V$329,"")</f>
        <v>1928.9253151703299</v>
      </c>
      <c r="Y116" s="77">
        <f>_xlfn.XLOOKUP(C116,Dados!$C$3:$C$329,Dados!$W$3:$W$329,"")</f>
        <v>1628.39993790689</v>
      </c>
      <c r="Z116" s="77">
        <f>_xlfn.XLOOKUP(C116,Dados!$C$3:$C$329,Dados!$X$3:$X$329,"")</f>
        <v>1426.2180041086799</v>
      </c>
      <c r="AA116" s="20"/>
      <c r="AB116" s="20"/>
      <c r="AC116" s="20"/>
      <c r="AD116" s="20"/>
      <c r="AE116" s="80"/>
      <c r="AF116" s="43">
        <v>0.39876432459545891</v>
      </c>
      <c r="AG116" s="43">
        <v>0.47631532856962516</v>
      </c>
      <c r="AH116" s="43">
        <v>0.43429252086003012</v>
      </c>
      <c r="AI116" s="43">
        <v>0.43622856958970702</v>
      </c>
      <c r="AJ116" s="43">
        <v>0.39748456324126252</v>
      </c>
      <c r="AK116" s="43" cm="1">
        <f t="array" ref="AK116">_xlfn.XLOOKUP(C116,Dados!$C$3:$C$329,Dados!$Z$3:'Dados'!$Z$329,"")</f>
        <v>24.655545236395302</v>
      </c>
      <c r="AL116" s="43" cm="1">
        <f t="array" ref="AL116">_xlfn.XLOOKUP(C116,Dados!$C$3:$C$329,Dados!$AA$3:'Dados'!$AA$329,"")</f>
        <v>16.390076995153699</v>
      </c>
      <c r="AM116" s="43" cm="1">
        <f t="array" ref="AM116">_xlfn.XLOOKUP(C116,Dados!$C$3:$C$329,Dados!$AB$3:'Dados'!$AB$329,"")</f>
        <v>15.1369971441302</v>
      </c>
      <c r="AN116" s="43" cm="1">
        <f t="array" ref="AN116">_xlfn.XLOOKUP(C116,Dados!$C$3:$C$329,Dados!$AC$3:'Dados'!$AC$329,"")</f>
        <v>14.236868146176301</v>
      </c>
      <c r="AO116" s="82" cm="1">
        <f t="array" ref="AO116">_xlfn.XLOOKUP(C116,Dados!$C$3:$C$329,Dados!$AD$3:'Dados'!$AD$329,"")</f>
        <v>12.4375915048754</v>
      </c>
    </row>
    <row r="117" spans="1:41" ht="51" x14ac:dyDescent="0.25">
      <c r="A117" s="6">
        <v>185</v>
      </c>
      <c r="B117" s="3" t="s">
        <v>271</v>
      </c>
      <c r="C117" s="8" t="s">
        <v>272</v>
      </c>
      <c r="D117" s="8" t="s">
        <v>260</v>
      </c>
      <c r="E117" s="8" t="s">
        <v>261</v>
      </c>
      <c r="F117" s="72">
        <f>_xlfn.XLOOKUP(C117,Dados!$C$3:$C$329,Dados!$D$3:$D$329,"")</f>
        <v>27</v>
      </c>
      <c r="G117" s="86">
        <f>_xlfn.XLOOKUP(C117,Dados!$C$3:$C$329,Dados!$E$3:$E$329,"")</f>
        <v>114907</v>
      </c>
      <c r="H117" s="71">
        <f>_xlfn.XLOOKUP(C117,Dados!$C$3:$C$329,Dados!$F$3:$F$329,"")</f>
        <v>113054</v>
      </c>
      <c r="I117" s="71">
        <f>_xlfn.XLOOKUP(C117,Dados!$C$3:$C$329,Dados!$G$3:$G$329,"")</f>
        <v>111201</v>
      </c>
      <c r="J117" s="71">
        <f>_xlfn.XLOOKUP(C117,Dados!$C$3:$C$329,Dados!$H$3:$H$329,"")</f>
        <v>109348</v>
      </c>
      <c r="K117" s="71">
        <f>_xlfn.XLOOKUP(C117,Dados!$C$3:$C$329,Dados!$I$3:$I$329,"")</f>
        <v>108647</v>
      </c>
      <c r="L117" s="71">
        <f>_xlfn.XLOOKUP(C117,Dados!$C$3:$C$329,Dados!$J$3:$J$329,"")</f>
        <v>6</v>
      </c>
      <c r="M117" s="72" t="str">
        <f>_xlfn.XLOOKUP(C117,Dados!$C$3:$C$329,Dados!$K$3:$K$329,"")</f>
        <v>Centro-oeste</v>
      </c>
      <c r="N117" s="71">
        <f>_xlfn.XLOOKUP(C117,Dados!$C$3:$C$329,Dados!$L$3:$L$329,"")</f>
        <v>2</v>
      </c>
      <c r="O117" s="43">
        <f>_xlfn.XLOOKUP(C117,Dados!$C$3:$C$329,Dados!$M$3:$M$329,"")</f>
        <v>0.71472905779538998</v>
      </c>
      <c r="P117" s="43">
        <f>_xlfn.XLOOKUP(C117,Dados!$C$3:$C$329,Dados!$N$3:$N$329,"")</f>
        <v>0.67800007194179901</v>
      </c>
      <c r="Q117" s="43">
        <f>_xlfn.XLOOKUP(C117,Dados!$C$3:$C$329,Dados!$O$3:$O$329,"")</f>
        <v>0.65533731481142798</v>
      </c>
      <c r="R117" s="43">
        <f>_xlfn.XLOOKUP(C117,Dados!$C$3:$C$329,Dados!$P$3:$P$329,"")</f>
        <v>0.63979429802099697</v>
      </c>
      <c r="S117" s="43">
        <f>_xlfn.XLOOKUP(C117,Dados!$C$3:$C$329,Dados!$Q$3:$Q$329,"")</f>
        <v>0.16071874203769099</v>
      </c>
      <c r="T117" s="43">
        <f>_xlfn.XLOOKUP(C117,Dados!$C$3:$C$329,Dados!$R$3:$R$329,"")</f>
        <v>0.58070547507066805</v>
      </c>
      <c r="U117" s="43">
        <f>_xlfn.XLOOKUP(C117,Dados!$C$3:$C$329,Dados!$S$3:$S$329,"")</f>
        <v>0.75365414789435303</v>
      </c>
      <c r="V117" s="77">
        <f>_xlfn.XLOOKUP(C117,Dados!$C$3:$C$329,Dados!$T$3:$T$329,"")</f>
        <v>1591.55450686207</v>
      </c>
      <c r="W117" s="77">
        <f>_xlfn.XLOOKUP(C117,Dados!$C$3:$C$329,Dados!$U$3:$U$329,"")</f>
        <v>1384.73355154764</v>
      </c>
      <c r="X117" s="77">
        <f>_xlfn.XLOOKUP(C117,Dados!$C$3:$C$329,Dados!$V$3:$V$329,"")</f>
        <v>1269.4549113767</v>
      </c>
      <c r="Y117" s="77">
        <f>_xlfn.XLOOKUP(C117,Dados!$C$3:$C$329,Dados!$W$3:$W$329,"")</f>
        <v>1250.5956450963899</v>
      </c>
      <c r="Z117" s="77">
        <f>_xlfn.XLOOKUP(C117,Dados!$C$3:$C$329,Dados!$X$3:$X$329,"")</f>
        <v>899.42874236382897</v>
      </c>
      <c r="AA117" s="20"/>
      <c r="AB117" s="20"/>
      <c r="AC117" s="20"/>
      <c r="AD117" s="20"/>
      <c r="AE117" s="80"/>
      <c r="AF117" s="43">
        <v>2.9796687393687044E-2</v>
      </c>
      <c r="AG117" s="43">
        <v>4.4300776266907357E-2</v>
      </c>
      <c r="AH117" s="43">
        <v>6.2029193800918064E-2</v>
      </c>
      <c r="AI117" s="43">
        <v>7.9047062464959905E-2</v>
      </c>
      <c r="AJ117" s="43" t="e">
        <v>#DIV/0!</v>
      </c>
      <c r="AK117" s="43" cm="1">
        <f t="array" ref="AK117">_xlfn.XLOOKUP(C117,Dados!$C$3:$C$329,Dados!$Z$3:'Dados'!$Z$329,"")</f>
        <v>19.961525407503501</v>
      </c>
      <c r="AL117" s="43" cm="1">
        <f t="array" ref="AL117">_xlfn.XLOOKUP(C117,Dados!$C$3:$C$329,Dados!$AA$3:'Dados'!$AA$329,"")</f>
        <v>28.229554018433699</v>
      </c>
      <c r="AM117" s="43" cm="1">
        <f t="array" ref="AM117">_xlfn.XLOOKUP(C117,Dados!$C$3:$C$329,Dados!$AB$3:'Dados'!$AB$329,"")</f>
        <v>19.855828634634602</v>
      </c>
      <c r="AN117" s="43" cm="1">
        <f t="array" ref="AN117">_xlfn.XLOOKUP(C117,Dados!$C$3:$C$329,Dados!$AC$3:'Dados'!$AC$329,"")</f>
        <v>16.486858470205199</v>
      </c>
      <c r="AO117" s="82" cm="1">
        <f t="array" ref="AO117">_xlfn.XLOOKUP(C117,Dados!$C$3:$C$329,Dados!$AD$3:'Dados'!$AD$329,"")</f>
        <v>26.3787174891173</v>
      </c>
    </row>
    <row r="118" spans="1:41" ht="63.75" x14ac:dyDescent="0.25">
      <c r="A118" s="6">
        <v>186</v>
      </c>
      <c r="B118" s="3" t="s">
        <v>273</v>
      </c>
      <c r="C118" s="48" t="s">
        <v>274</v>
      </c>
      <c r="D118" s="8" t="s">
        <v>260</v>
      </c>
      <c r="E118" s="8" t="s">
        <v>261</v>
      </c>
      <c r="F118" s="72">
        <f>_xlfn.XLOOKUP(C118,Dados!$C$3:$C$329,Dados!$D$3:$D$329,"")</f>
        <v>27</v>
      </c>
      <c r="G118" s="86">
        <f>_xlfn.XLOOKUP(C118,Dados!$C$3:$C$329,Dados!$E$3:$E$329,"")</f>
        <v>69366</v>
      </c>
      <c r="H118" s="71">
        <f>_xlfn.XLOOKUP(C118,Dados!$C$3:$C$329,Dados!$F$3:$F$329,"")</f>
        <v>69113.666666666672</v>
      </c>
      <c r="I118" s="71">
        <f>_xlfn.XLOOKUP(C118,Dados!$C$3:$C$329,Dados!$G$3:$G$329,"")</f>
        <v>68861.333333333328</v>
      </c>
      <c r="J118" s="71">
        <f>_xlfn.XLOOKUP(C118,Dados!$C$3:$C$329,Dados!$H$3:$H$329,"")</f>
        <v>68609</v>
      </c>
      <c r="K118" s="71">
        <f>_xlfn.XLOOKUP(C118,Dados!$C$3:$C$329,Dados!$I$3:$I$329,"")</f>
        <v>68686</v>
      </c>
      <c r="L118" s="71">
        <f>_xlfn.XLOOKUP(C118,Dados!$C$3:$C$329,Dados!$J$3:$J$329,"")</f>
        <v>6</v>
      </c>
      <c r="M118" s="72" t="str">
        <f>_xlfn.XLOOKUP(C118,Dados!$C$3:$C$329,Dados!$K$3:$K$329,"")</f>
        <v>Centro-oeste</v>
      </c>
      <c r="N118" s="71">
        <f>_xlfn.XLOOKUP(C118,Dados!$C$3:$C$329,Dados!$L$3:$L$329,"")</f>
        <v>2</v>
      </c>
      <c r="O118" s="43">
        <f>_xlfn.XLOOKUP(C118,Dados!$C$3:$C$329,Dados!$M$3:$M$329,"")</f>
        <v>0.70405632605225199</v>
      </c>
      <c r="P118" s="43">
        <f>_xlfn.XLOOKUP(C118,Dados!$C$3:$C$329,Dados!$N$3:$N$329,"")</f>
        <v>0.67894738653525899</v>
      </c>
      <c r="Q118" s="43">
        <f>_xlfn.XLOOKUP(C118,Dados!$C$3:$C$329,Dados!$O$3:$O$329,"")</f>
        <v>0.65771888236237197</v>
      </c>
      <c r="R118" s="43">
        <f>_xlfn.XLOOKUP(C118,Dados!$C$3:$C$329,Dados!$P$3:$P$329,"")</f>
        <v>0.62587315949802502</v>
      </c>
      <c r="S118" s="43">
        <f>_xlfn.XLOOKUP(C118,Dados!$C$3:$C$329,Dados!$Q$3:$Q$329,"")</f>
        <v>0.15075932502033099</v>
      </c>
      <c r="T118" s="43">
        <f>_xlfn.XLOOKUP(C118,Dados!$C$3:$C$329,Dados!$R$3:$R$329,"")</f>
        <v>0.68936254889052395</v>
      </c>
      <c r="U118" s="43">
        <f>_xlfn.XLOOKUP(C118,Dados!$C$3:$C$329,Dados!$S$3:$S$329,"")</f>
        <v>0.78142138839406705</v>
      </c>
      <c r="V118" s="77">
        <f>_xlfn.XLOOKUP(C118,Dados!$C$3:$C$329,Dados!$T$3:$T$329,"")</f>
        <v>1871.69604345068</v>
      </c>
      <c r="W118" s="77">
        <f>_xlfn.XLOOKUP(C118,Dados!$C$3:$C$329,Dados!$U$3:$U$329,"")</f>
        <v>1646.4577558707599</v>
      </c>
      <c r="X118" s="77">
        <f>_xlfn.XLOOKUP(C118,Dados!$C$3:$C$329,Dados!$V$3:$V$329,"")</f>
        <v>1461.10196902955</v>
      </c>
      <c r="Y118" s="77">
        <f>_xlfn.XLOOKUP(C118,Dados!$C$3:$C$329,Dados!$W$3:$W$329,"")</f>
        <v>1221.7355481059301</v>
      </c>
      <c r="Z118" s="77">
        <f>_xlfn.XLOOKUP(C118,Dados!$C$3:$C$329,Dados!$X$3:$X$329,"")</f>
        <v>1006.42700564066</v>
      </c>
      <c r="AA118" s="20"/>
      <c r="AB118" s="20"/>
      <c r="AC118" s="20"/>
      <c r="AD118" s="20"/>
      <c r="AE118" s="80"/>
      <c r="AF118" s="43">
        <v>0.14143025221754318</v>
      </c>
      <c r="AG118" s="43" t="e">
        <v>#DIV/0!</v>
      </c>
      <c r="AH118" s="43" t="e">
        <v>#DIV/0!</v>
      </c>
      <c r="AI118" s="43" t="e">
        <v>#DIV/0!</v>
      </c>
      <c r="AJ118" s="43" t="e">
        <v>#DIV/0!</v>
      </c>
      <c r="AK118" s="43" cm="1">
        <f t="array" ref="AK118">_xlfn.XLOOKUP(C118,Dados!$C$3:$C$329,Dados!$Z$3:'Dados'!$Z$329,"")</f>
        <v>32.3082922469221</v>
      </c>
      <c r="AL118" s="43" cm="1">
        <f t="array" ref="AL118">_xlfn.XLOOKUP(C118,Dados!$C$3:$C$329,Dados!$AA$3:'Dados'!$AA$329,"")</f>
        <v>27.522327952503399</v>
      </c>
      <c r="AM118" s="43" cm="1">
        <f t="array" ref="AM118">_xlfn.XLOOKUP(C118,Dados!$C$3:$C$329,Dados!$AB$3:'Dados'!$AB$329,"")</f>
        <v>29.836758897107199</v>
      </c>
      <c r="AN118" s="43" cm="1">
        <f t="array" ref="AN118">_xlfn.XLOOKUP(C118,Dados!$C$3:$C$329,Dados!$AC$3:'Dados'!$AC$329,"")</f>
        <v>19.609643049745699</v>
      </c>
      <c r="AO118" s="82" cm="1">
        <f t="array" ref="AO118">_xlfn.XLOOKUP(C118,Dados!$C$3:$C$329,Dados!$AD$3:'Dados'!$AD$329,"")</f>
        <v>30.064175253975399</v>
      </c>
    </row>
    <row r="119" spans="1:41" ht="51" x14ac:dyDescent="0.25">
      <c r="A119" s="6">
        <v>187</v>
      </c>
      <c r="B119" s="3" t="s">
        <v>275</v>
      </c>
      <c r="C119" s="8" t="s">
        <v>276</v>
      </c>
      <c r="D119" s="8" t="s">
        <v>260</v>
      </c>
      <c r="E119" s="8" t="s">
        <v>261</v>
      </c>
      <c r="F119" s="72">
        <f>_xlfn.XLOOKUP(C119,Dados!$C$3:$C$329,Dados!$D$3:$D$329,"")</f>
        <v>9</v>
      </c>
      <c r="G119" s="86">
        <f>_xlfn.XLOOKUP(C119,Dados!$C$3:$C$329,Dados!$E$3:$E$329,"")</f>
        <v>580784</v>
      </c>
      <c r="H119" s="71">
        <f>_xlfn.XLOOKUP(C119,Dados!$C$3:$C$329,Dados!$F$3:$F$329,"")</f>
        <v>541691.66666666663</v>
      </c>
      <c r="I119" s="71">
        <f>_xlfn.XLOOKUP(C119,Dados!$C$3:$C$329,Dados!$G$3:$G$329,"")</f>
        <v>502599.33333333331</v>
      </c>
      <c r="J119" s="71">
        <f>_xlfn.XLOOKUP(C119,Dados!$C$3:$C$329,Dados!$H$3:$H$329,"")</f>
        <v>463507</v>
      </c>
      <c r="K119" s="71">
        <f>_xlfn.XLOOKUP(C119,Dados!$C$3:$C$329,Dados!$I$3:$I$329,"")</f>
        <v>452934</v>
      </c>
      <c r="L119" s="71">
        <f>_xlfn.XLOOKUP(C119,Dados!$C$3:$C$329,Dados!$J$3:$J$329,"")</f>
        <v>15</v>
      </c>
      <c r="M119" s="72" t="str">
        <f>_xlfn.XLOOKUP(C119,Dados!$C$3:$C$329,Dados!$K$3:$K$329,"")</f>
        <v>Centro-oeste</v>
      </c>
      <c r="N119" s="71">
        <f>_xlfn.XLOOKUP(C119,Dados!$C$3:$C$329,Dados!$L$3:$L$329,"")</f>
        <v>1</v>
      </c>
      <c r="O119" s="43">
        <f>_xlfn.XLOOKUP(C119,Dados!$C$3:$C$329,Dados!$M$3:$M$329,"")</f>
        <v>0.773846961217175</v>
      </c>
      <c r="P119" s="43">
        <f>_xlfn.XLOOKUP(C119,Dados!$C$3:$C$329,Dados!$N$3:$N$329,"")</f>
        <v>0.73955380422311201</v>
      </c>
      <c r="Q119" s="43">
        <f>_xlfn.XLOOKUP(C119,Dados!$C$3:$C$329,Dados!$O$3:$O$329,"")</f>
        <v>0.72665316079368802</v>
      </c>
      <c r="R119" s="43">
        <f>_xlfn.XLOOKUP(C119,Dados!$C$3:$C$329,Dados!$P$3:$P$329,"")</f>
        <v>0.70542594588647001</v>
      </c>
      <c r="S119" s="43">
        <f>_xlfn.XLOOKUP(C119,Dados!$C$3:$C$329,Dados!$Q$3:$Q$329,"")</f>
        <v>0.18560427849088501</v>
      </c>
      <c r="T119" s="43">
        <f>_xlfn.XLOOKUP(C119,Dados!$C$3:$C$329,Dados!$R$3:$R$329,"")</f>
        <v>0.87518978132349301</v>
      </c>
      <c r="U119" s="43">
        <f>_xlfn.XLOOKUP(C119,Dados!$C$3:$C$329,Dados!$S$3:$S$329,"")</f>
        <v>0.92451867239510899</v>
      </c>
      <c r="V119" s="77">
        <f>_xlfn.XLOOKUP(C119,Dados!$C$3:$C$329,Dados!$T$3:$T$329,"")</f>
        <v>1898.3014088370201</v>
      </c>
      <c r="W119" s="77">
        <f>_xlfn.XLOOKUP(C119,Dados!$C$3:$C$329,Dados!$U$3:$U$329,"")</f>
        <v>1881.2070800732299</v>
      </c>
      <c r="X119" s="77">
        <f>_xlfn.XLOOKUP(C119,Dados!$C$3:$C$329,Dados!$V$3:$V$329,"")</f>
        <v>1537.94150384203</v>
      </c>
      <c r="Y119" s="77">
        <f>_xlfn.XLOOKUP(C119,Dados!$C$3:$C$329,Dados!$W$3:$W$329,"")</f>
        <v>1458.9409949579999</v>
      </c>
      <c r="Z119" s="77">
        <f>_xlfn.XLOOKUP(C119,Dados!$C$3:$C$329,Dados!$X$3:$X$329,"")</f>
        <v>1217.0369806712699</v>
      </c>
      <c r="AA119" s="20"/>
      <c r="AB119" s="20"/>
      <c r="AC119" s="20"/>
      <c r="AD119" s="20"/>
      <c r="AE119" s="80"/>
      <c r="AF119" s="43">
        <v>2.1336289980594017E-2</v>
      </c>
      <c r="AG119" s="43">
        <v>2.7203531781893088E-2</v>
      </c>
      <c r="AH119" s="43">
        <v>3.1048482768439568E-2</v>
      </c>
      <c r="AI119" s="43">
        <v>4.058266816634605E-2</v>
      </c>
      <c r="AJ119" s="43">
        <v>5.0927734751382549E-2</v>
      </c>
      <c r="AK119" s="43" cm="1">
        <f t="array" ref="AK119">_xlfn.XLOOKUP(C119,Dados!$C$3:$C$329,Dados!$Z$3:'Dados'!$Z$329,"")</f>
        <v>15.8829151629521</v>
      </c>
      <c r="AL119" s="43" cm="1">
        <f t="array" ref="AL119">_xlfn.XLOOKUP(C119,Dados!$C$3:$C$329,Dados!$AA$3:'Dados'!$AA$329,"")</f>
        <v>18.8284602249127</v>
      </c>
      <c r="AM119" s="43" cm="1">
        <f t="array" ref="AM119">_xlfn.XLOOKUP(C119,Dados!$C$3:$C$329,Dados!$AB$3:'Dados'!$AB$329,"")</f>
        <v>21.463635712476101</v>
      </c>
      <c r="AN119" s="43" cm="1">
        <f t="array" ref="AN119">_xlfn.XLOOKUP(C119,Dados!$C$3:$C$329,Dados!$AC$3:'Dados'!$AC$329,"")</f>
        <v>21.462217399090001</v>
      </c>
      <c r="AO119" s="82" cm="1">
        <f t="array" ref="AO119">_xlfn.XLOOKUP(C119,Dados!$C$3:$C$329,Dados!$AD$3:'Dados'!$AD$329,"")</f>
        <v>14.737352402444801</v>
      </c>
    </row>
    <row r="120" spans="1:41" ht="63.75" x14ac:dyDescent="0.25">
      <c r="A120" s="6">
        <v>191</v>
      </c>
      <c r="B120" s="3" t="s">
        <v>277</v>
      </c>
      <c r="C120" s="8" t="s">
        <v>278</v>
      </c>
      <c r="D120" s="8" t="s">
        <v>260</v>
      </c>
      <c r="E120" s="8" t="s">
        <v>261</v>
      </c>
      <c r="F120" s="72">
        <f>_xlfn.XLOOKUP(C120,Dados!$C$3:$C$329,Dados!$D$3:$D$329,"")</f>
        <v>19</v>
      </c>
      <c r="G120" s="86">
        <f>_xlfn.XLOOKUP(C120,Dados!$C$3:$C$329,Dados!$E$3:$E$329,"")</f>
        <v>50793</v>
      </c>
      <c r="H120" s="71">
        <f>_xlfn.XLOOKUP(C120,Dados!$C$3:$C$329,Dados!$F$3:$F$329,"")</f>
        <v>54231</v>
      </c>
      <c r="I120" s="71">
        <f>_xlfn.XLOOKUP(C120,Dados!$C$3:$C$329,Dados!$G$3:$G$329,"")</f>
        <v>57669</v>
      </c>
      <c r="J120" s="71">
        <f>_xlfn.XLOOKUP(C120,Dados!$C$3:$C$329,Dados!$H$3:$H$329,"")</f>
        <v>61107</v>
      </c>
      <c r="K120" s="71">
        <f>_xlfn.XLOOKUP(C120,Dados!$C$3:$C$329,Dados!$I$3:$I$329,"")</f>
        <v>60585</v>
      </c>
      <c r="L120" s="71">
        <f>_xlfn.XLOOKUP(C120,Dados!$C$3:$C$329,Dados!$J$3:$J$329,"")</f>
        <v>4</v>
      </c>
      <c r="M120" s="72" t="str">
        <f>_xlfn.XLOOKUP(C120,Dados!$C$3:$C$329,Dados!$K$3:$K$329,"")</f>
        <v>Centro-oeste</v>
      </c>
      <c r="N120" s="71">
        <f>_xlfn.XLOOKUP(C120,Dados!$C$3:$C$329,Dados!$L$3:$L$329,"")</f>
        <v>1</v>
      </c>
      <c r="O120" s="43">
        <f>_xlfn.XLOOKUP(C120,Dados!$C$3:$C$329,Dados!$M$3:$M$329,"")</f>
        <v>0.69315612902829205</v>
      </c>
      <c r="P120" s="43">
        <f>_xlfn.XLOOKUP(C120,Dados!$C$3:$C$329,Dados!$N$3:$N$329,"")</f>
        <v>0.68213154785644503</v>
      </c>
      <c r="Q120" s="43">
        <f>_xlfn.XLOOKUP(C120,Dados!$C$3:$C$329,Dados!$O$3:$O$329,"")</f>
        <v>0.65779429361611597</v>
      </c>
      <c r="R120" s="43">
        <f>_xlfn.XLOOKUP(C120,Dados!$C$3:$C$329,Dados!$P$3:$P$329,"")</f>
        <v>0.62948150293746996</v>
      </c>
      <c r="S120" s="43">
        <f>_xlfn.XLOOKUP(C120,Dados!$C$3:$C$329,Dados!$Q$3:$Q$329,"")</f>
        <v>0.14910150687544399</v>
      </c>
      <c r="T120" s="43">
        <f>_xlfn.XLOOKUP(C120,Dados!$C$3:$C$329,Dados!$R$3:$R$329,"")</f>
        <v>0.80638644332310205</v>
      </c>
      <c r="U120" s="43">
        <f>_xlfn.XLOOKUP(C120,Dados!$C$3:$C$329,Dados!$S$3:$S$329,"")</f>
        <v>0.84005126555572895</v>
      </c>
      <c r="V120" s="77">
        <f>_xlfn.XLOOKUP(C120,Dados!$C$3:$C$329,Dados!$T$3:$T$329,"")</f>
        <v>2555.2280312247699</v>
      </c>
      <c r="W120" s="77">
        <f>_xlfn.XLOOKUP(C120,Dados!$C$3:$C$329,Dados!$U$3:$U$329,"")</f>
        <v>1969.58307222806</v>
      </c>
      <c r="X120" s="77">
        <f>_xlfn.XLOOKUP(C120,Dados!$C$3:$C$329,Dados!$V$3:$V$329,"")</f>
        <v>1760.0925602432301</v>
      </c>
      <c r="Y120" s="77">
        <f>_xlfn.XLOOKUP(C120,Dados!$C$3:$C$329,Dados!$W$3:$W$329,"")</f>
        <v>1375.7340088696899</v>
      </c>
      <c r="Z120" s="77">
        <f>_xlfn.XLOOKUP(C120,Dados!$C$3:$C$329,Dados!$X$3:$X$329,"")</f>
        <v>1256.4912409380299</v>
      </c>
      <c r="AA120" s="20"/>
      <c r="AB120" s="20"/>
      <c r="AC120" s="20"/>
      <c r="AD120" s="20"/>
      <c r="AE120" s="80"/>
      <c r="AF120" s="43" t="e">
        <v>#DIV/0!</v>
      </c>
      <c r="AG120" s="43">
        <v>0.10685393947548284</v>
      </c>
      <c r="AH120" s="43">
        <v>0.12674916316558066</v>
      </c>
      <c r="AI120" s="43">
        <v>6.6066138458132653E-2</v>
      </c>
      <c r="AJ120" s="43">
        <v>0.11506391224305422</v>
      </c>
      <c r="AK120" s="43" cm="1">
        <f t="array" ref="AK120">_xlfn.XLOOKUP(C120,Dados!$C$3:$C$329,Dados!$Z$3:'Dados'!$Z$329,"")</f>
        <v>19.942944893981501</v>
      </c>
      <c r="AL120" s="43" cm="1">
        <f t="array" ref="AL120">_xlfn.XLOOKUP(C120,Dados!$C$3:$C$329,Dados!$AA$3:'Dados'!$AA$329,"")</f>
        <v>15.265475466061799</v>
      </c>
      <c r="AM120" s="43" cm="1">
        <f t="array" ref="AM120">_xlfn.XLOOKUP(C120,Dados!$C$3:$C$329,Dados!$AB$3:'Dados'!$AB$329,"")</f>
        <v>17.770292531516102</v>
      </c>
      <c r="AN120" s="43" cm="1">
        <f t="array" ref="AN120">_xlfn.XLOOKUP(C120,Dados!$C$3:$C$329,Dados!$AC$3:'Dados'!$AC$329,"")</f>
        <v>17.4543014711899</v>
      </c>
      <c r="AO120" s="82" cm="1">
        <f t="array" ref="AO120">_xlfn.XLOOKUP(C120,Dados!$C$3:$C$329,Dados!$AD$3:'Dados'!$AD$329,"")</f>
        <v>14.5773806601535</v>
      </c>
    </row>
    <row r="121" spans="1:41" ht="51.75" thickBot="1" x14ac:dyDescent="0.3">
      <c r="A121" s="12">
        <v>299</v>
      </c>
      <c r="B121" s="13" t="s">
        <v>279</v>
      </c>
      <c r="C121" s="16" t="s">
        <v>280</v>
      </c>
      <c r="D121" s="16" t="s">
        <v>260</v>
      </c>
      <c r="E121" s="16" t="s">
        <v>261</v>
      </c>
      <c r="F121" s="74">
        <f>_xlfn.XLOOKUP(C121,Dados!$C$3:$C$329,Dados!$D$3:$D$329,"")</f>
        <v>23</v>
      </c>
      <c r="G121" s="87">
        <f>_xlfn.XLOOKUP(C121,Dados!$C$3:$C$329,Dados!$E$3:$E$329,"")</f>
        <v>127906</v>
      </c>
      <c r="H121" s="84">
        <f>_xlfn.XLOOKUP(C121,Dados!$C$3:$C$329,Dados!$F$3:$F$329,"")</f>
        <v>135832</v>
      </c>
      <c r="I121" s="84">
        <f>_xlfn.XLOOKUP(C121,Dados!$C$3:$C$329,Dados!$G$3:$G$329,"")</f>
        <v>143758</v>
      </c>
      <c r="J121" s="84">
        <f>_xlfn.XLOOKUP(C121,Dados!$C$3:$C$329,Dados!$H$3:$H$329,"")</f>
        <v>151684</v>
      </c>
      <c r="K121" s="84">
        <f>_xlfn.XLOOKUP(C121,Dados!$C$3:$C$329,Dados!$I$3:$I$329,"")</f>
        <v>148998</v>
      </c>
      <c r="L121" s="84">
        <f>_xlfn.XLOOKUP(C121,Dados!$C$3:$C$329,Dados!$J$3:$J$329,"")</f>
        <v>6</v>
      </c>
      <c r="M121" s="74" t="str">
        <f>_xlfn.XLOOKUP(C121,Dados!$C$3:$C$329,Dados!$K$3:$K$329,"")</f>
        <v>Centro-oeste</v>
      </c>
      <c r="N121" s="84">
        <f>_xlfn.XLOOKUP(C121,Dados!$C$3:$C$329,Dados!$L$3:$L$329,"")</f>
        <v>1</v>
      </c>
      <c r="O121" s="76">
        <f>_xlfn.XLOOKUP(C121,Dados!$C$3:$C$329,Dados!$M$3:$M$329,"")</f>
        <v>0.65158162141468901</v>
      </c>
      <c r="P121" s="76">
        <f>_xlfn.XLOOKUP(C121,Dados!$C$3:$C$329,Dados!$N$3:$N$329,"")</f>
        <v>0.59984379744663496</v>
      </c>
      <c r="Q121" s="76">
        <f>_xlfn.XLOOKUP(C121,Dados!$C$3:$C$329,Dados!$O$3:$O$329,"")</f>
        <v>0.60379902890219095</v>
      </c>
      <c r="R121" s="76">
        <f>_xlfn.XLOOKUP(C121,Dados!$C$3:$C$329,Dados!$P$3:$P$329,"")</f>
        <v>0.58480358508478203</v>
      </c>
      <c r="S121" s="76">
        <f>_xlfn.XLOOKUP(C121,Dados!$C$3:$C$329,Dados!$Q$3:$Q$329,"")</f>
        <v>2.2257383241280501E-2</v>
      </c>
      <c r="T121" s="76">
        <f>_xlfn.XLOOKUP(C121,Dados!$C$3:$C$329,Dados!$R$3:$R$329,"")</f>
        <v>0.440518175916007</v>
      </c>
      <c r="U121" s="76">
        <f>_xlfn.XLOOKUP(C121,Dados!$C$3:$C$329,Dados!$S$3:$S$329,"")</f>
        <v>0.69771775391050705</v>
      </c>
      <c r="V121" s="79">
        <f>_xlfn.XLOOKUP(C121,Dados!$C$3:$C$329,Dados!$T$3:$T$329,"")</f>
        <v>1772.74779642863</v>
      </c>
      <c r="W121" s="79">
        <f>_xlfn.XLOOKUP(C121,Dados!$C$3:$C$329,Dados!$U$3:$U$329,"")</f>
        <v>1523.53294945226</v>
      </c>
      <c r="X121" s="79">
        <f>_xlfn.XLOOKUP(C121,Dados!$C$3:$C$329,Dados!$V$3:$V$329,"")</f>
        <v>1275.1166109712201</v>
      </c>
      <c r="Y121" s="79">
        <f>_xlfn.XLOOKUP(C121,Dados!$C$3:$C$329,Dados!$W$3:$W$329,"")</f>
        <v>1021.30179695947</v>
      </c>
      <c r="Z121" s="79">
        <f>_xlfn.XLOOKUP(C121,Dados!$C$3:$C$329,Dados!$X$3:$X$329,"")</f>
        <v>885.90448946493996</v>
      </c>
      <c r="AA121" s="21"/>
      <c r="AB121" s="21"/>
      <c r="AC121" s="21"/>
      <c r="AD121" s="21"/>
      <c r="AE121" s="81"/>
      <c r="AF121" s="76">
        <v>0.21731326006199919</v>
      </c>
      <c r="AG121" s="76" t="e">
        <v>#DIV/0!</v>
      </c>
      <c r="AH121" s="76" t="e">
        <v>#DIV/0!</v>
      </c>
      <c r="AI121" s="76" t="e">
        <v>#DIV/0!</v>
      </c>
      <c r="AJ121" s="76" t="e">
        <v>#DIV/0!</v>
      </c>
      <c r="AK121" s="76" cm="1">
        <f t="array" ref="AK121">_xlfn.XLOOKUP(C121,Dados!$C$3:$C$329,Dados!$Z$3:'Dados'!$Z$329,"")</f>
        <v>34.615311244194999</v>
      </c>
      <c r="AL121" s="76" cm="1">
        <f t="array" ref="AL121">_xlfn.XLOOKUP(C121,Dados!$C$3:$C$329,Dados!$AA$3:'Dados'!$AA$329,"")</f>
        <v>25.384872489545899</v>
      </c>
      <c r="AM121" s="76" cm="1">
        <f t="array" ref="AM121">_xlfn.XLOOKUP(C121,Dados!$C$3:$C$329,Dados!$AB$3:'Dados'!$AB$329,"")</f>
        <v>5.8657187773897803</v>
      </c>
      <c r="AN121" s="76" cm="1">
        <f t="array" ref="AN121">_xlfn.XLOOKUP(C121,Dados!$C$3:$C$329,Dados!$AC$3:'Dados'!$AC$329,"")</f>
        <v>5.3870942221987796</v>
      </c>
      <c r="AO121" s="85" cm="1">
        <f t="array" ref="AO121">_xlfn.XLOOKUP(C121,Dados!$C$3:$C$329,Dados!$AD$3:'Dados'!$AD$329,"")</f>
        <v>3.9110189604704502</v>
      </c>
    </row>
  </sheetData>
  <autoFilter ref="G2:K121" xr:uid="{BE3581D6-DDFC-4FAD-99E0-727B3C2BA887}"/>
  <mergeCells count="16">
    <mergeCell ref="AF1:AJ1"/>
    <mergeCell ref="AK1:AO1"/>
    <mergeCell ref="A1:A2"/>
    <mergeCell ref="B1:B2"/>
    <mergeCell ref="C1:C2"/>
    <mergeCell ref="D1:D2"/>
    <mergeCell ref="E1:E2"/>
    <mergeCell ref="S1:U1"/>
    <mergeCell ref="V1:Z1"/>
    <mergeCell ref="F1:F2"/>
    <mergeCell ref="G1:K1"/>
    <mergeCell ref="L1:L2"/>
    <mergeCell ref="M1:M2"/>
    <mergeCell ref="N1:N2"/>
    <mergeCell ref="O1:R1"/>
    <mergeCell ref="AA1:AE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27A3-411D-48B3-9F44-8B784E20B5DE}">
  <dimension ref="A1:AD329"/>
  <sheetViews>
    <sheetView workbookViewId="0">
      <pane ySplit="2" topLeftCell="A3" activePane="bottomLeft" state="frozen"/>
      <selection pane="bottomLeft" activeCell="E3" sqref="E3"/>
    </sheetView>
  </sheetViews>
  <sheetFormatPr defaultRowHeight="15" x14ac:dyDescent="0.25"/>
  <cols>
    <col min="2" max="2" width="61.85546875" customWidth="1"/>
    <col min="3" max="3" width="22.85546875" bestFit="1" customWidth="1"/>
    <col min="5" max="5" width="11.28515625" bestFit="1" customWidth="1"/>
    <col min="6" max="7" width="11.28515625" customWidth="1"/>
    <col min="8" max="8" width="12.7109375" customWidth="1"/>
    <col min="9" max="9" width="11.28515625" bestFit="1" customWidth="1"/>
    <col min="10" max="11" width="22" customWidth="1"/>
    <col min="12" max="12" width="12.42578125" customWidth="1"/>
    <col min="17" max="17" width="16.42578125" customWidth="1"/>
    <col min="18" max="18" width="20.7109375" customWidth="1"/>
    <col min="19" max="19" width="14.140625" customWidth="1"/>
    <col min="20" max="20" width="13.140625" customWidth="1"/>
  </cols>
  <sheetData>
    <row r="1" spans="1:30" ht="15.75" customHeight="1" x14ac:dyDescent="0.25">
      <c r="A1" s="60" t="s">
        <v>0</v>
      </c>
      <c r="B1" s="57" t="s">
        <v>1</v>
      </c>
      <c r="C1" s="57" t="s">
        <v>2</v>
      </c>
      <c r="D1" s="57" t="s">
        <v>5</v>
      </c>
      <c r="E1" s="57" t="s">
        <v>6</v>
      </c>
      <c r="F1" s="57"/>
      <c r="G1" s="57"/>
      <c r="H1" s="57"/>
      <c r="I1" s="57"/>
      <c r="J1" s="51" t="s">
        <v>7</v>
      </c>
      <c r="K1" s="51" t="s">
        <v>8</v>
      </c>
      <c r="L1" s="51" t="s">
        <v>9</v>
      </c>
      <c r="M1" s="57" t="s">
        <v>10</v>
      </c>
      <c r="N1" s="57"/>
      <c r="O1" s="57"/>
      <c r="P1" s="57"/>
      <c r="Q1" s="51" t="s">
        <v>11</v>
      </c>
      <c r="R1" s="51"/>
      <c r="S1" s="51"/>
      <c r="T1" s="51" t="s">
        <v>12</v>
      </c>
      <c r="U1" s="51"/>
      <c r="V1" s="51"/>
      <c r="W1" s="51"/>
      <c r="X1" s="51"/>
      <c r="Y1" s="36"/>
      <c r="Z1" s="62" t="s">
        <v>281</v>
      </c>
      <c r="AA1" s="51"/>
      <c r="AB1" s="51"/>
      <c r="AC1" s="51"/>
      <c r="AD1" s="52"/>
    </row>
    <row r="2" spans="1:30" ht="43.5" customHeight="1" x14ac:dyDescent="0.25">
      <c r="A2" s="61"/>
      <c r="B2" s="58"/>
      <c r="C2" s="58"/>
      <c r="D2" s="58"/>
      <c r="E2" s="37">
        <v>2024</v>
      </c>
      <c r="F2" s="37">
        <v>2023</v>
      </c>
      <c r="G2" s="37">
        <v>2022</v>
      </c>
      <c r="H2" s="37">
        <v>2021</v>
      </c>
      <c r="I2" s="37">
        <v>2020</v>
      </c>
      <c r="J2" s="59"/>
      <c r="K2" s="59"/>
      <c r="L2" s="59"/>
      <c r="M2" s="38">
        <v>2023</v>
      </c>
      <c r="N2" s="38">
        <v>2022</v>
      </c>
      <c r="O2" s="38">
        <v>2021</v>
      </c>
      <c r="P2" s="38">
        <v>2020</v>
      </c>
      <c r="Q2" s="38" t="s">
        <v>15</v>
      </c>
      <c r="R2" s="38" t="s">
        <v>16</v>
      </c>
      <c r="S2" s="38" t="s">
        <v>17</v>
      </c>
      <c r="T2" s="38">
        <v>2024</v>
      </c>
      <c r="U2" s="38">
        <v>2023</v>
      </c>
      <c r="V2" s="38">
        <v>2022</v>
      </c>
      <c r="W2" s="38">
        <v>2021</v>
      </c>
      <c r="X2" s="38">
        <v>2020</v>
      </c>
      <c r="Y2" s="38" t="s">
        <v>282</v>
      </c>
      <c r="Z2" s="41">
        <v>2024</v>
      </c>
      <c r="AA2" s="38">
        <v>2023</v>
      </c>
      <c r="AB2" s="38">
        <v>2022</v>
      </c>
      <c r="AC2" s="38">
        <v>2021</v>
      </c>
      <c r="AD2" s="1">
        <v>2020</v>
      </c>
    </row>
    <row r="3" spans="1:30" x14ac:dyDescent="0.25">
      <c r="A3" s="2">
        <v>8</v>
      </c>
      <c r="B3" s="3" t="s">
        <v>283</v>
      </c>
      <c r="C3" s="4" t="s">
        <v>284</v>
      </c>
      <c r="D3" s="4">
        <f>_xlfn.XLOOKUP(C3,[1]Planilha2!$C$3:$C$329,[1]Planilha2!$I$3:$I$329)</f>
        <v>26</v>
      </c>
      <c r="E3" s="4">
        <v>427294</v>
      </c>
      <c r="F3" s="4">
        <v>430147.00000000006</v>
      </c>
      <c r="G3" s="4">
        <v>432999.99999999994</v>
      </c>
      <c r="H3" s="4">
        <v>435853</v>
      </c>
      <c r="I3" s="4">
        <v>429432</v>
      </c>
      <c r="J3" s="4">
        <f>_xlfn.XLOOKUP(C3,[1]Planilha2!$C$3:$C$329,[1]Planilha2!$D$3:$D$329,"")</f>
        <v>10</v>
      </c>
      <c r="K3" s="4" t="s">
        <v>21</v>
      </c>
      <c r="L3" s="4">
        <f>_xlfn.XLOOKUP(C3,[1]Planilha2!$C$3:$C$329,[1]Planilha2!$J$3:$J$329,"")</f>
        <v>5</v>
      </c>
      <c r="M3" s="42">
        <v>0.76196486185730306</v>
      </c>
      <c r="N3" s="43">
        <v>0.73934514118552797</v>
      </c>
      <c r="O3" s="43">
        <v>0.70839004572642605</v>
      </c>
      <c r="P3" s="43">
        <v>0.69139115459490696</v>
      </c>
      <c r="Q3" s="67">
        <v>0.72569650808314101</v>
      </c>
      <c r="R3" s="67">
        <v>0.803375792763664</v>
      </c>
      <c r="S3" s="67">
        <v>0.91160748029253302</v>
      </c>
      <c r="T3" s="49">
        <v>1681.2076383707699</v>
      </c>
      <c r="U3" s="49">
        <v>1360.1126090693001</v>
      </c>
      <c r="V3" s="49">
        <v>1210.7750246420301</v>
      </c>
      <c r="W3" s="49">
        <v>1145.7222438757999</v>
      </c>
      <c r="X3" s="49">
        <v>1056.7688260073801</v>
      </c>
      <c r="Y3" s="4"/>
      <c r="Z3" s="69">
        <v>11.914831474347899</v>
      </c>
      <c r="AA3" s="69">
        <v>11.612225587996701</v>
      </c>
      <c r="AB3" s="69">
        <v>13.210792147806</v>
      </c>
      <c r="AC3" s="69">
        <v>14.0329055897286</v>
      </c>
      <c r="AD3" s="70">
        <v>10.587361910616799</v>
      </c>
    </row>
    <row r="4" spans="1:30" x14ac:dyDescent="0.25">
      <c r="A4" s="2">
        <v>9</v>
      </c>
      <c r="B4" s="3" t="s">
        <v>18</v>
      </c>
      <c r="C4" s="4" t="s">
        <v>19</v>
      </c>
      <c r="D4" s="4">
        <f>_xlfn.XLOOKUP(C4,[1]Planilha2!$C$3:$C$329,[1]Planilha2!$I$3:$I$329)</f>
        <v>26</v>
      </c>
      <c r="E4" s="4">
        <v>651242</v>
      </c>
      <c r="F4" s="4">
        <v>648960.33333333349</v>
      </c>
      <c r="G4" s="4">
        <v>646678.66666666651</v>
      </c>
      <c r="H4" s="4">
        <v>644397</v>
      </c>
      <c r="I4" s="4">
        <v>641058</v>
      </c>
      <c r="J4" s="4">
        <f>_xlfn.XLOOKUP(C4,[1]Planilha2!$C$3:$C$329,[1]Planilha2!$D$3:$D$329,"")</f>
        <v>25</v>
      </c>
      <c r="K4" s="4" t="s">
        <v>21</v>
      </c>
      <c r="L4" s="4">
        <f>_xlfn.XLOOKUP(C4,[1]Planilha2!$C$3:$C$329,[1]Planilha2!$J$3:$J$329,"")</f>
        <v>5</v>
      </c>
      <c r="M4" s="42">
        <v>0.69510030844206705</v>
      </c>
      <c r="N4" s="43">
        <v>0.66462242999614496</v>
      </c>
      <c r="O4" s="43">
        <v>0.63967398560204403</v>
      </c>
      <c r="P4" s="43">
        <v>0.61810946404225497</v>
      </c>
      <c r="Q4" s="67">
        <v>0.63968252805617998</v>
      </c>
      <c r="R4" s="67">
        <v>0.77192734990484702</v>
      </c>
      <c r="S4" s="67">
        <v>0.91070257912739805</v>
      </c>
      <c r="T4" s="49">
        <v>1556.19839012226</v>
      </c>
      <c r="U4" s="49">
        <v>1312.05907504876</v>
      </c>
      <c r="V4" s="49">
        <v>1115.07231275605</v>
      </c>
      <c r="W4" s="49">
        <v>892.45992555831299</v>
      </c>
      <c r="X4" s="49">
        <v>870.77724928165605</v>
      </c>
      <c r="Y4" s="4"/>
      <c r="Z4" s="69">
        <v>10.225099118300101</v>
      </c>
      <c r="AA4" s="69">
        <v>9.8609570898272594</v>
      </c>
      <c r="AB4" s="69">
        <v>8.2940234098748693</v>
      </c>
      <c r="AC4" s="69">
        <v>6.3140936410318496</v>
      </c>
      <c r="AD4" s="70">
        <v>5.67263804523148</v>
      </c>
    </row>
    <row r="5" spans="1:30" x14ac:dyDescent="0.25">
      <c r="A5" s="2">
        <v>20</v>
      </c>
      <c r="B5" s="3" t="s">
        <v>22</v>
      </c>
      <c r="C5" s="4" t="s">
        <v>23</v>
      </c>
      <c r="D5" s="4">
        <f>_xlfn.XLOOKUP(C5,[1]Planilha2!$C$3:$C$329,[1]Planilha2!$I$3:$I$329)</f>
        <v>26</v>
      </c>
      <c r="E5" s="4">
        <v>414724</v>
      </c>
      <c r="F5" s="4">
        <v>407151.00000000006</v>
      </c>
      <c r="G5" s="4">
        <v>399577.99999999994</v>
      </c>
      <c r="H5" s="4">
        <v>392005</v>
      </c>
      <c r="I5" s="4">
        <v>389962</v>
      </c>
      <c r="J5" s="4">
        <f>_xlfn.XLOOKUP(C5,[1]Planilha2!$C$3:$C$329,[1]Planilha2!$D$3:$D$329,"")</f>
        <v>21</v>
      </c>
      <c r="K5" s="4" t="s">
        <v>21</v>
      </c>
      <c r="L5" s="4">
        <f>_xlfn.XLOOKUP(C5,[1]Planilha2!$C$3:$C$329,[1]Planilha2!$J$3:$J$329,"")</f>
        <v>3</v>
      </c>
      <c r="M5" s="42">
        <v>0.73456061240178705</v>
      </c>
      <c r="N5" s="43">
        <v>0.72957273031381398</v>
      </c>
      <c r="O5" s="43">
        <v>0.69987959617861994</v>
      </c>
      <c r="P5" s="43">
        <v>0.67740974556495204</v>
      </c>
      <c r="Q5" s="67">
        <v>0.83255340158867597</v>
      </c>
      <c r="R5" s="67">
        <v>0.86673088508376295</v>
      </c>
      <c r="S5" s="67">
        <v>0.91337345524528402</v>
      </c>
      <c r="T5" s="49">
        <v>2137.3425884202502</v>
      </c>
      <c r="U5" s="49">
        <v>1904.08575373756</v>
      </c>
      <c r="V5" s="49">
        <v>1650.08731375768</v>
      </c>
      <c r="W5" s="49">
        <v>1340.10775717146</v>
      </c>
      <c r="X5" s="49">
        <v>1181.31311407265</v>
      </c>
      <c r="Y5" s="4"/>
      <c r="Z5" s="69">
        <v>14.9214248512264</v>
      </c>
      <c r="AA5" s="69">
        <v>11.7112005128318</v>
      </c>
      <c r="AB5" s="69">
        <v>10.328749330543699</v>
      </c>
      <c r="AC5" s="69">
        <v>14.2238466346093</v>
      </c>
      <c r="AD5" s="70">
        <v>9.7380898651663497</v>
      </c>
    </row>
    <row r="6" spans="1:30" x14ac:dyDescent="0.25">
      <c r="A6" s="2">
        <v>21</v>
      </c>
      <c r="B6" s="3" t="s">
        <v>25</v>
      </c>
      <c r="C6" s="4" t="s">
        <v>26</v>
      </c>
      <c r="D6" s="4">
        <f>_xlfn.XLOOKUP(C6,[1]Planilha2!$C$3:$C$329,[1]Planilha2!$I$3:$I$329)</f>
        <v>29</v>
      </c>
      <c r="E6" s="4">
        <v>245780</v>
      </c>
      <c r="F6" s="4">
        <v>247291.66666666669</v>
      </c>
      <c r="G6" s="4">
        <v>248803.33333333331</v>
      </c>
      <c r="H6" s="4">
        <v>250315</v>
      </c>
      <c r="I6" s="4">
        <v>249466</v>
      </c>
      <c r="J6" s="4">
        <f>_xlfn.XLOOKUP(C6,[1]Planilha2!$C$3:$C$329,[1]Planilha2!$D$3:$D$329,"")</f>
        <v>18</v>
      </c>
      <c r="K6" s="4" t="s">
        <v>21</v>
      </c>
      <c r="L6" s="4">
        <f>_xlfn.XLOOKUP(C6,[1]Planilha2!$C$3:$C$329,[1]Planilha2!$J$3:$J$329,"")</f>
        <v>4</v>
      </c>
      <c r="M6" s="42">
        <v>0.66671314736309994</v>
      </c>
      <c r="N6" s="43">
        <v>0.63322455218981499</v>
      </c>
      <c r="O6" s="43">
        <v>0.60292737910233096</v>
      </c>
      <c r="P6" s="43">
        <v>0.58126692414998404</v>
      </c>
      <c r="Q6" s="67">
        <v>0.76760532549135196</v>
      </c>
      <c r="R6" s="67">
        <v>0.80088566578690001</v>
      </c>
      <c r="S6" s="67">
        <v>0.88212908763280196</v>
      </c>
      <c r="T6" s="49">
        <v>2281.3406258442501</v>
      </c>
      <c r="U6" s="49">
        <v>1348.78271916428</v>
      </c>
      <c r="V6" s="49">
        <v>1083.8734695006799</v>
      </c>
      <c r="W6" s="49">
        <v>952.882394622775</v>
      </c>
      <c r="X6" s="49">
        <v>810.80911907835105</v>
      </c>
      <c r="Y6" s="4"/>
      <c r="Z6" s="69">
        <v>11.394674098787499</v>
      </c>
      <c r="AA6" s="69">
        <v>2.4402925021061499</v>
      </c>
      <c r="AB6" s="69">
        <v>1.67878377835238</v>
      </c>
      <c r="AC6" s="69">
        <v>1.36458861834089</v>
      </c>
      <c r="AD6" s="70">
        <v>2.5606535559956098</v>
      </c>
    </row>
    <row r="7" spans="1:30" ht="25.5" x14ac:dyDescent="0.25">
      <c r="A7" s="2">
        <v>22</v>
      </c>
      <c r="B7" s="3" t="s">
        <v>285</v>
      </c>
      <c r="C7" s="4" t="s">
        <v>286</v>
      </c>
      <c r="D7" s="4">
        <f>_xlfn.XLOOKUP(C7,[1]Planilha2!$C$3:$C$329,[1]Planilha2!$I$3:$I$329)</f>
        <v>29</v>
      </c>
      <c r="E7" s="4">
        <v>81013</v>
      </c>
      <c r="F7" s="4">
        <v>82102</v>
      </c>
      <c r="G7" s="4">
        <v>83191</v>
      </c>
      <c r="H7" s="4">
        <v>84280</v>
      </c>
      <c r="I7" s="4">
        <v>84489</v>
      </c>
      <c r="J7" s="4">
        <f>_xlfn.XLOOKUP(C7,[1]Planilha2!$C$3:$C$329,[1]Planilha2!$D$3:$D$329,"")</f>
        <v>8</v>
      </c>
      <c r="K7" s="4" t="s">
        <v>21</v>
      </c>
      <c r="L7" s="4">
        <f>_xlfn.XLOOKUP(C7,[1]Planilha2!$C$3:$C$329,[1]Planilha2!$J$3:$J$329,"")</f>
        <v>4</v>
      </c>
      <c r="M7" s="42">
        <v>0.51913293139428196</v>
      </c>
      <c r="N7" s="43">
        <v>0.47618459007985597</v>
      </c>
      <c r="O7" s="43">
        <v>0.456317524916943</v>
      </c>
      <c r="P7" s="43">
        <v>0.44548138810969501</v>
      </c>
      <c r="Q7" s="67">
        <v>0.500927866395804</v>
      </c>
      <c r="R7" s="67">
        <v>0.60821817544365797</v>
      </c>
      <c r="S7" s="67">
        <v>0.62004152572593996</v>
      </c>
      <c r="T7" s="49">
        <v>1845.9006152099</v>
      </c>
      <c r="U7" s="49">
        <v>1642.60162817796</v>
      </c>
      <c r="V7" s="49">
        <v>1036.98715754509</v>
      </c>
      <c r="W7" s="49">
        <v>865.88743758898897</v>
      </c>
      <c r="X7" s="49">
        <v>800.41267952041096</v>
      </c>
      <c r="Y7" s="4"/>
      <c r="Z7" s="69">
        <v>6.3605717600878897</v>
      </c>
      <c r="AA7" s="69">
        <v>3.8304913400404401</v>
      </c>
      <c r="AB7" s="69">
        <v>4.3217295140099301</v>
      </c>
      <c r="AC7" s="69">
        <v>2.0577954437588999</v>
      </c>
      <c r="AD7" s="70">
        <v>1.34279018570465</v>
      </c>
    </row>
    <row r="8" spans="1:30" x14ac:dyDescent="0.25">
      <c r="A8" s="2">
        <v>23</v>
      </c>
      <c r="B8" s="3" t="s">
        <v>287</v>
      </c>
      <c r="C8" s="4" t="s">
        <v>288</v>
      </c>
      <c r="D8" s="4">
        <f>_xlfn.XLOOKUP(C8,[1]Planilha2!$C$3:$C$329,[1]Planilha2!$I$3:$I$329)</f>
        <v>29</v>
      </c>
      <c r="E8" s="4">
        <v>229940</v>
      </c>
      <c r="F8" s="4">
        <v>234551.66666666666</v>
      </c>
      <c r="G8" s="4">
        <v>239163.33333333334</v>
      </c>
      <c r="H8" s="4">
        <v>243775</v>
      </c>
      <c r="I8" s="4">
        <v>243031</v>
      </c>
      <c r="J8" s="4">
        <f>_xlfn.XLOOKUP(C8,[1]Planilha2!$C$3:$C$329,[1]Planilha2!$D$3:$D$329,"")</f>
        <v>14</v>
      </c>
      <c r="K8" s="4" t="s">
        <v>21</v>
      </c>
      <c r="L8" s="4">
        <f>_xlfn.XLOOKUP(C8,[1]Planilha2!$C$3:$C$329,[1]Planilha2!$J$3:$J$329,"")</f>
        <v>3</v>
      </c>
      <c r="M8" s="42">
        <v>0.66477407067383898</v>
      </c>
      <c r="N8" s="43">
        <v>0.64063582502892003</v>
      </c>
      <c r="O8" s="43">
        <v>0.62136576146036304</v>
      </c>
      <c r="P8" s="43">
        <v>0.59333856627343795</v>
      </c>
      <c r="Q8" s="67">
        <v>0.81579933504299695</v>
      </c>
      <c r="R8" s="67">
        <v>0.91855455616106196</v>
      </c>
      <c r="S8" s="67">
        <v>0.952535619311767</v>
      </c>
      <c r="T8" s="49">
        <v>1698.7564613377399</v>
      </c>
      <c r="U8" s="49">
        <v>1291.5713079705299</v>
      </c>
      <c r="V8" s="49">
        <v>1115.1193828067301</v>
      </c>
      <c r="W8" s="49">
        <v>917.55857766382906</v>
      </c>
      <c r="X8" s="49">
        <v>862.77229608568496</v>
      </c>
      <c r="Y8" s="4"/>
      <c r="Z8" s="69">
        <v>10.158371749152</v>
      </c>
      <c r="AA8" s="69">
        <v>5.8456757928246104</v>
      </c>
      <c r="AB8" s="69">
        <v>5.6257871189842401</v>
      </c>
      <c r="AC8" s="69">
        <v>3.5784842580248202</v>
      </c>
      <c r="AD8" s="70">
        <v>2.7181676411651199</v>
      </c>
    </row>
    <row r="9" spans="1:30" ht="25.5" x14ac:dyDescent="0.25">
      <c r="A9" s="2">
        <v>24</v>
      </c>
      <c r="B9" s="3" t="s">
        <v>289</v>
      </c>
      <c r="C9" s="4" t="s">
        <v>290</v>
      </c>
      <c r="D9" s="4">
        <f>_xlfn.XLOOKUP(C9,[1]Planilha2!$C$3:$C$329,[1]Planilha2!$I$3:$I$329)</f>
        <v>29</v>
      </c>
      <c r="E9" s="4">
        <v>14515</v>
      </c>
      <c r="F9" s="4">
        <v>14304.666666666668</v>
      </c>
      <c r="G9" s="4">
        <v>14094.333333333332</v>
      </c>
      <c r="H9" s="4">
        <v>13884</v>
      </c>
      <c r="I9" s="4">
        <v>13839</v>
      </c>
      <c r="J9" s="4">
        <f>_xlfn.XLOOKUP(C9,[1]Planilha2!$C$3:$C$329,[1]Planilha2!$D$3:$D$329,"")</f>
        <v>2</v>
      </c>
      <c r="K9" s="4" t="s">
        <v>21</v>
      </c>
      <c r="L9" s="4">
        <f>_xlfn.XLOOKUP(C9,[1]Planilha2!$C$3:$C$329,[1]Planilha2!$J$3:$J$329,"")</f>
        <v>3</v>
      </c>
      <c r="M9" s="42">
        <v>0.55747077410635204</v>
      </c>
      <c r="N9" s="43">
        <v>0.538576030556015</v>
      </c>
      <c r="O9" s="43">
        <v>0.556230913281475</v>
      </c>
      <c r="P9" s="43">
        <v>0.52905350097550397</v>
      </c>
      <c r="Q9" s="67">
        <v>0.41938714376936398</v>
      </c>
      <c r="R9" s="67">
        <v>0.40498692855284601</v>
      </c>
      <c r="S9" s="67">
        <v>0.89732986306553497</v>
      </c>
      <c r="T9" s="49">
        <v>1923.8417209782999</v>
      </c>
      <c r="U9" s="49">
        <v>1424.98902549285</v>
      </c>
      <c r="V9" s="49">
        <v>1277.1972163753801</v>
      </c>
      <c r="W9" s="49">
        <v>826.06478824546195</v>
      </c>
      <c r="X9" s="49">
        <v>856.91595924561</v>
      </c>
      <c r="Y9" s="4"/>
      <c r="Z9" s="69">
        <v>1.4925938684119899</v>
      </c>
      <c r="AA9" s="69">
        <v>1.0207857575616299</v>
      </c>
      <c r="AB9" s="69">
        <v>1.46867535416125E-2</v>
      </c>
      <c r="AC9" s="69">
        <v>2.8810141169691699E-3</v>
      </c>
      <c r="AD9" s="70">
        <v>3.9020160416215E-3</v>
      </c>
    </row>
    <row r="10" spans="1:30" x14ac:dyDescent="0.25">
      <c r="A10" s="2">
        <v>25</v>
      </c>
      <c r="B10" s="3" t="s">
        <v>291</v>
      </c>
      <c r="C10" s="4" t="s">
        <v>292</v>
      </c>
      <c r="D10" s="4">
        <f>_xlfn.XLOOKUP(C10,[1]Planilha2!$C$3:$C$329,[1]Planilha2!$I$3:$I$329)</f>
        <v>28</v>
      </c>
      <c r="E10" s="4">
        <v>66924</v>
      </c>
      <c r="F10" s="4">
        <v>69600</v>
      </c>
      <c r="G10" s="4">
        <v>72276</v>
      </c>
      <c r="H10" s="4">
        <v>74952</v>
      </c>
      <c r="I10" s="4">
        <v>74731</v>
      </c>
      <c r="J10" s="4">
        <f>_xlfn.XLOOKUP(C10,[1]Planilha2!$C$3:$C$329,[1]Planilha2!$D$3:$D$329,"")</f>
        <v>6</v>
      </c>
      <c r="K10" s="4" t="s">
        <v>21</v>
      </c>
      <c r="L10" s="4">
        <f>_xlfn.XLOOKUP(C10,[1]Planilha2!$C$3:$C$329,[1]Planilha2!$J$3:$J$329,"")</f>
        <v>2</v>
      </c>
      <c r="M10" s="42">
        <v>0.614621805076628</v>
      </c>
      <c r="N10" s="43">
        <v>0.57968315669562998</v>
      </c>
      <c r="O10" s="43">
        <v>0.54649047790586003</v>
      </c>
      <c r="P10" s="43">
        <v>0.54931385904109398</v>
      </c>
      <c r="Q10" s="67">
        <v>0.43819274540188502</v>
      </c>
      <c r="R10" s="67">
        <v>0.63653641549984297</v>
      </c>
      <c r="S10" s="67">
        <v>0.66503910288339196</v>
      </c>
      <c r="T10" s="49">
        <v>2037.40759428606</v>
      </c>
      <c r="U10" s="49">
        <v>1463.24302217433</v>
      </c>
      <c r="V10" s="49">
        <v>1289.85042379213</v>
      </c>
      <c r="W10" s="49">
        <v>972.93129509552796</v>
      </c>
      <c r="X10" s="49">
        <v>952.87941657411204</v>
      </c>
      <c r="Y10" s="4"/>
      <c r="Z10" s="69">
        <v>8.6561920984997904</v>
      </c>
      <c r="AA10" s="69">
        <v>6.9288793103448301</v>
      </c>
      <c r="AB10" s="69">
        <v>4.9737948973379797</v>
      </c>
      <c r="AC10" s="69">
        <v>3.0381977799124802</v>
      </c>
      <c r="AD10" s="70">
        <v>3.1923967296035101</v>
      </c>
    </row>
    <row r="11" spans="1:30" x14ac:dyDescent="0.25">
      <c r="A11" s="2">
        <v>26</v>
      </c>
      <c r="B11" s="3" t="s">
        <v>293</v>
      </c>
      <c r="C11" s="4" t="s">
        <v>294</v>
      </c>
      <c r="D11" s="4">
        <f>_xlfn.XLOOKUP(C11,[1]Planilha2!$C$3:$C$329,[1]Planilha2!$I$3:$I$329)</f>
        <v>28</v>
      </c>
      <c r="E11" s="4">
        <v>119983</v>
      </c>
      <c r="F11" s="4">
        <v>118291.66666666667</v>
      </c>
      <c r="G11" s="4">
        <v>116600.33333333333</v>
      </c>
      <c r="H11" s="4">
        <v>114909</v>
      </c>
      <c r="I11" s="4">
        <v>114539</v>
      </c>
      <c r="J11" s="4">
        <f>_xlfn.XLOOKUP(C11,[1]Planilha2!$C$3:$C$329,[1]Planilha2!$D$3:$D$329,"")</f>
        <v>10</v>
      </c>
      <c r="K11" s="4" t="s">
        <v>21</v>
      </c>
      <c r="L11" s="4">
        <f>_xlfn.XLOOKUP(C11,[1]Planilha2!$C$3:$C$329,[1]Planilha2!$J$3:$J$329,"")</f>
        <v>1</v>
      </c>
      <c r="M11" s="42">
        <v>0.69716115787249</v>
      </c>
      <c r="N11" s="43">
        <v>0.67962459941509601</v>
      </c>
      <c r="O11" s="43">
        <v>0.67047744127962094</v>
      </c>
      <c r="P11" s="43">
        <v>0.65182387396432695</v>
      </c>
      <c r="Q11" s="67">
        <v>0.80596904897355903</v>
      </c>
      <c r="R11" s="67">
        <v>0.82235034262337703</v>
      </c>
      <c r="S11" s="67">
        <v>0.93160562005254399</v>
      </c>
      <c r="T11" s="49">
        <v>1880.2780422226499</v>
      </c>
      <c r="U11" s="49">
        <v>1602.4246755900001</v>
      </c>
      <c r="V11" s="49">
        <v>1470.88355742265</v>
      </c>
      <c r="W11" s="49">
        <v>1198.2651928047401</v>
      </c>
      <c r="X11" s="49">
        <v>1080.02920472503</v>
      </c>
      <c r="Y11" s="4"/>
      <c r="Z11" s="69">
        <v>11.136352649958701</v>
      </c>
      <c r="AA11" s="69">
        <v>5.4443733709052502</v>
      </c>
      <c r="AB11" s="69">
        <v>2.8215442494446799</v>
      </c>
      <c r="AC11" s="69">
        <v>3.8596280535032101</v>
      </c>
      <c r="AD11" s="70">
        <v>6.4472625044744598</v>
      </c>
    </row>
    <row r="12" spans="1:30" ht="25.5" x14ac:dyDescent="0.25">
      <c r="A12" s="2">
        <v>27</v>
      </c>
      <c r="B12" s="3" t="s">
        <v>295</v>
      </c>
      <c r="C12" s="4" t="s">
        <v>296</v>
      </c>
      <c r="D12" s="4">
        <f>_xlfn.XLOOKUP(C12,[1]Planilha2!$C$3:$C$329,[1]Planilha2!$I$3:$I$329)</f>
        <v>28</v>
      </c>
      <c r="E12" s="4">
        <v>143680</v>
      </c>
      <c r="F12" s="7">
        <v>147660</v>
      </c>
      <c r="G12" s="4">
        <v>151640</v>
      </c>
      <c r="H12" s="4">
        <v>155620</v>
      </c>
      <c r="I12" s="4">
        <v>155081</v>
      </c>
      <c r="J12" s="4">
        <f>_xlfn.XLOOKUP(C12,[1]Planilha2!$C$3:$C$329,[1]Planilha2!$D$3:$D$329,"")</f>
        <v>8</v>
      </c>
      <c r="K12" s="4" t="s">
        <v>21</v>
      </c>
      <c r="L12" s="4">
        <f>_xlfn.XLOOKUP(C12,[1]Planilha2!$C$3:$C$329,[1]Planilha2!$J$3:$J$329,"")</f>
        <v>36</v>
      </c>
      <c r="M12" s="42">
        <v>0.643924940629374</v>
      </c>
      <c r="N12" s="43">
        <v>0.63602404796447698</v>
      </c>
      <c r="O12" s="43">
        <v>0.61248877843464899</v>
      </c>
      <c r="P12" s="43">
        <v>0.58796990991804299</v>
      </c>
      <c r="Q12" s="67">
        <v>0.368217141915062</v>
      </c>
      <c r="R12" s="67">
        <v>0.90349124549371296</v>
      </c>
      <c r="S12" s="67">
        <v>0.900973337729711</v>
      </c>
      <c r="T12" s="49">
        <v>1990.59889205178</v>
      </c>
      <c r="U12" s="49">
        <v>1716.48104979909</v>
      </c>
      <c r="V12" s="49">
        <v>1427.17290099358</v>
      </c>
      <c r="W12" s="49">
        <v>1169.8605160647701</v>
      </c>
      <c r="X12" s="49">
        <v>1026.14651536939</v>
      </c>
      <c r="Y12" s="4"/>
      <c r="Z12" s="69">
        <v>16.163947661469901</v>
      </c>
      <c r="AA12" s="69">
        <v>14.3745767303264</v>
      </c>
      <c r="AB12" s="69">
        <v>12.9947441308362</v>
      </c>
      <c r="AC12" s="69">
        <v>14.571713147410399</v>
      </c>
      <c r="AD12" s="70">
        <v>8.8775736550576791</v>
      </c>
    </row>
    <row r="13" spans="1:30" x14ac:dyDescent="0.25">
      <c r="A13" s="2">
        <v>28</v>
      </c>
      <c r="B13" s="3" t="s">
        <v>27</v>
      </c>
      <c r="C13" s="4" t="s">
        <v>28</v>
      </c>
      <c r="D13" s="4">
        <f>_xlfn.XLOOKUP(C13,[1]Planilha2!$C$3:$C$329,[1]Planilha2!$I$3:$I$329)</f>
        <v>27</v>
      </c>
      <c r="E13" s="4">
        <v>145788</v>
      </c>
      <c r="F13" s="7">
        <v>146226</v>
      </c>
      <c r="G13" s="4">
        <v>146664</v>
      </c>
      <c r="H13" s="4">
        <v>147102</v>
      </c>
      <c r="I13" s="4">
        <v>146508</v>
      </c>
      <c r="J13" s="4">
        <f>_xlfn.XLOOKUP(C13,[1]Planilha2!$C$3:$C$329,[1]Planilha2!$D$3:$D$329,"")</f>
        <v>10</v>
      </c>
      <c r="K13" s="4" t="s">
        <v>21</v>
      </c>
      <c r="L13" s="4">
        <f>_xlfn.XLOOKUP(C13,[1]Planilha2!$C$3:$C$329,[1]Planilha2!$J$3:$J$329,"")</f>
        <v>2</v>
      </c>
      <c r="M13" s="42">
        <v>0.52408055544157695</v>
      </c>
      <c r="N13" s="43">
        <v>0.53101864579355995</v>
      </c>
      <c r="O13" s="43">
        <v>0.51496867479707997</v>
      </c>
      <c r="P13" s="43">
        <v>0.50601852049034901</v>
      </c>
      <c r="Q13" s="67">
        <v>0.76443516018473101</v>
      </c>
      <c r="R13" s="67">
        <v>0.789759049709995</v>
      </c>
      <c r="S13" s="67">
        <v>0.91171759895634497</v>
      </c>
      <c r="T13" s="49">
        <v>1999.5901294345199</v>
      </c>
      <c r="U13" s="49">
        <v>1470.98405222054</v>
      </c>
      <c r="V13" s="49">
        <v>1409.33571399025</v>
      </c>
      <c r="W13" s="49">
        <v>1240.8728807222201</v>
      </c>
      <c r="X13" s="49">
        <v>1125.3002580746399</v>
      </c>
      <c r="Y13" s="4"/>
      <c r="Z13" s="69">
        <v>4.8090309216121998</v>
      </c>
      <c r="AA13" s="69">
        <v>2.2467892166919698</v>
      </c>
      <c r="AB13" s="69">
        <v>2.3648884525173202</v>
      </c>
      <c r="AC13" s="69">
        <v>2.230887411456</v>
      </c>
      <c r="AD13" s="70">
        <v>1.7440208043246801</v>
      </c>
    </row>
    <row r="14" spans="1:30" x14ac:dyDescent="0.25">
      <c r="A14" s="2">
        <v>29</v>
      </c>
      <c r="B14" s="3" t="s">
        <v>29</v>
      </c>
      <c r="C14" s="4" t="s">
        <v>30</v>
      </c>
      <c r="D14" s="4">
        <f>_xlfn.XLOOKUP(C14,[1]Planilha2!$C$3:$C$329,[1]Planilha2!$I$3:$I$329)</f>
        <v>27</v>
      </c>
      <c r="E14" s="4">
        <v>269765</v>
      </c>
      <c r="F14" s="7">
        <v>273212.33333333331</v>
      </c>
      <c r="G14" s="4">
        <v>276659.66666666669</v>
      </c>
      <c r="H14" s="4">
        <v>280107</v>
      </c>
      <c r="I14" s="4">
        <v>279154</v>
      </c>
      <c r="J14" s="4">
        <f>_xlfn.XLOOKUP(C14,[1]Planilha2!$C$3:$C$329,[1]Planilha2!$D$3:$D$329,"")</f>
        <v>21</v>
      </c>
      <c r="K14" s="4" t="s">
        <v>21</v>
      </c>
      <c r="L14" s="4">
        <f>_xlfn.XLOOKUP(C14,[1]Planilha2!$C$3:$C$329,[1]Planilha2!$J$3:$J$329,"")</f>
        <v>3</v>
      </c>
      <c r="M14" s="42">
        <v>0.66447029611889097</v>
      </c>
      <c r="N14" s="43">
        <v>0.65044136333569902</v>
      </c>
      <c r="O14" s="43">
        <v>0.62029868907239005</v>
      </c>
      <c r="P14" s="43">
        <v>0.61296011341410095</v>
      </c>
      <c r="Q14" s="67">
        <v>0.72726548129530999</v>
      </c>
      <c r="R14" s="67">
        <v>0.81197608782872799</v>
      </c>
      <c r="S14" s="67">
        <v>0.90007772293033905</v>
      </c>
      <c r="T14" s="49">
        <v>2169.1333718977598</v>
      </c>
      <c r="U14" s="49">
        <v>1670.5989980320601</v>
      </c>
      <c r="V14" s="49">
        <v>1465.63040102219</v>
      </c>
      <c r="W14" s="49">
        <v>1248.9781573827099</v>
      </c>
      <c r="X14" s="49">
        <v>1058.5287339604699</v>
      </c>
      <c r="Y14" s="4"/>
      <c r="Z14" s="69">
        <v>14.9582006561266</v>
      </c>
      <c r="AA14" s="69">
        <v>9.3319689081874095</v>
      </c>
      <c r="AB14" s="69">
        <v>6.9743162176392399</v>
      </c>
      <c r="AC14" s="69">
        <v>5.4564577108033703</v>
      </c>
      <c r="AD14" s="70">
        <v>5.3093704550176604</v>
      </c>
    </row>
    <row r="15" spans="1:30" ht="25.5" x14ac:dyDescent="0.25">
      <c r="A15" s="2">
        <v>30</v>
      </c>
      <c r="B15" s="3" t="s">
        <v>297</v>
      </c>
      <c r="C15" s="4" t="s">
        <v>298</v>
      </c>
      <c r="D15" s="4">
        <f>_xlfn.XLOOKUP(C15,[1]Planilha2!$C$3:$C$329,[1]Planilha2!$I$3:$I$329)</f>
        <v>21</v>
      </c>
      <c r="E15" s="4">
        <v>404513</v>
      </c>
      <c r="F15" s="7">
        <v>403326.66666666663</v>
      </c>
      <c r="G15" s="4">
        <v>402140.33333333337</v>
      </c>
      <c r="H15" s="4">
        <v>400954</v>
      </c>
      <c r="I15" s="4">
        <v>398389</v>
      </c>
      <c r="J15" s="4">
        <f>_xlfn.XLOOKUP(C15,[1]Planilha2!$C$3:$C$329,[1]Planilha2!$D$3:$D$329,"")</f>
        <v>19</v>
      </c>
      <c r="K15" s="4" t="s">
        <v>21</v>
      </c>
      <c r="L15" s="4">
        <f>_xlfn.XLOOKUP(C15,[1]Planilha2!$C$3:$C$329,[1]Planilha2!$J$3:$J$329,"")</f>
        <v>20</v>
      </c>
      <c r="M15" s="42">
        <v>0.69097693556918305</v>
      </c>
      <c r="N15" s="43">
        <v>0.66744514850122805</v>
      </c>
      <c r="O15" s="43">
        <v>0.64336016725110601</v>
      </c>
      <c r="P15" s="43">
        <v>0.61019922437617502</v>
      </c>
      <c r="Q15" s="67">
        <v>0.60347131432559598</v>
      </c>
      <c r="R15" s="67">
        <v>0.76060722616731602</v>
      </c>
      <c r="S15" s="67">
        <v>0.83178128107849603</v>
      </c>
      <c r="T15" s="49">
        <v>2171.5431342626798</v>
      </c>
      <c r="U15" s="49">
        <v>1948.2121703086</v>
      </c>
      <c r="V15" s="49">
        <v>1607.5312677249501</v>
      </c>
      <c r="W15" s="49">
        <v>1362.5234902008699</v>
      </c>
      <c r="X15" s="49">
        <v>1161.6536507283099</v>
      </c>
      <c r="Y15" s="4"/>
      <c r="Z15" s="69">
        <v>14.4651173139059</v>
      </c>
      <c r="AA15" s="69">
        <v>10.227124415279601</v>
      </c>
      <c r="AB15" s="69">
        <v>11.174134070942101</v>
      </c>
      <c r="AC15" s="69">
        <v>8.3289629234276195</v>
      </c>
      <c r="AD15" s="70">
        <v>8.5219923240852502</v>
      </c>
    </row>
    <row r="16" spans="1:30" x14ac:dyDescent="0.25">
      <c r="A16" s="2">
        <v>31</v>
      </c>
      <c r="B16" s="3" t="s">
        <v>31</v>
      </c>
      <c r="C16" s="4" t="s">
        <v>32</v>
      </c>
      <c r="D16" s="4">
        <f>_xlfn.XLOOKUP(C16,[1]Planilha2!$C$3:$C$329,[1]Planilha2!$I$3:$I$329)</f>
        <v>19</v>
      </c>
      <c r="E16" s="4">
        <v>222172</v>
      </c>
      <c r="F16" s="7">
        <v>220297.33333333331</v>
      </c>
      <c r="G16" s="4">
        <v>218422.66666666669</v>
      </c>
      <c r="H16" s="4">
        <v>216548</v>
      </c>
      <c r="I16" s="4">
        <v>215323</v>
      </c>
      <c r="J16" s="4">
        <f>_xlfn.XLOOKUP(C16,[1]Planilha2!$C$3:$C$329,[1]Planilha2!$D$3:$D$329,"")</f>
        <v>12</v>
      </c>
      <c r="K16" s="4" t="s">
        <v>21</v>
      </c>
      <c r="L16" s="4">
        <f>_xlfn.XLOOKUP(C16,[1]Planilha2!$C$3:$C$329,[1]Planilha2!$J$3:$J$329,"")</f>
        <v>3</v>
      </c>
      <c r="M16" s="42">
        <v>0.75818059592187503</v>
      </c>
      <c r="N16" s="43">
        <v>0.72932983527350603</v>
      </c>
      <c r="O16" s="43">
        <v>0.71287227127472896</v>
      </c>
      <c r="P16" s="43">
        <v>0.69677621991148198</v>
      </c>
      <c r="Q16" s="67">
        <v>0.92302218084814203</v>
      </c>
      <c r="R16" s="67">
        <v>0.94700630017031195</v>
      </c>
      <c r="S16" s="67">
        <v>0.97906318712343698</v>
      </c>
      <c r="T16" s="49">
        <v>2687.30975856544</v>
      </c>
      <c r="U16" s="49">
        <v>2137.60428510256</v>
      </c>
      <c r="V16" s="49">
        <v>1709.45153495974</v>
      </c>
      <c r="W16" s="49">
        <v>1475.8374903485601</v>
      </c>
      <c r="X16" s="49">
        <v>1538.4030923774999</v>
      </c>
      <c r="Y16" s="4"/>
      <c r="Z16" s="69">
        <v>15.439902417946501</v>
      </c>
      <c r="AA16" s="69">
        <v>13.690447153241401</v>
      </c>
      <c r="AB16" s="69">
        <v>14.649935598869501</v>
      </c>
      <c r="AC16" s="69">
        <v>12.691227810924101</v>
      </c>
      <c r="AD16" s="70">
        <v>11.0409199203058</v>
      </c>
    </row>
    <row r="17" spans="1:30" ht="25.5" x14ac:dyDescent="0.25">
      <c r="A17" s="2">
        <v>32</v>
      </c>
      <c r="B17" s="3" t="s">
        <v>299</v>
      </c>
      <c r="C17" s="4" t="s">
        <v>300</v>
      </c>
      <c r="D17" s="4">
        <f>_xlfn.XLOOKUP(C17,[1]Planilha2!$C$3:$C$329,[1]Planilha2!$I$3:$I$329)</f>
        <v>14</v>
      </c>
      <c r="E17" s="4">
        <v>1657651</v>
      </c>
      <c r="F17" s="7">
        <v>1669884.6666666663</v>
      </c>
      <c r="G17" s="4">
        <v>1682118.3333333337</v>
      </c>
      <c r="H17" s="4">
        <v>1694352</v>
      </c>
      <c r="I17" s="4">
        <v>1686639</v>
      </c>
      <c r="J17" s="4">
        <f>_xlfn.XLOOKUP(C17,[1]Planilha2!$C$3:$C$329,[1]Planilha2!$D$3:$D$329,"")</f>
        <v>85</v>
      </c>
      <c r="K17" s="4" t="s">
        <v>21</v>
      </c>
      <c r="L17" s="4">
        <f>_xlfn.XLOOKUP(C17,[1]Planilha2!$C$3:$C$329,[1]Planilha2!$J$3:$J$329,"")</f>
        <v>3</v>
      </c>
      <c r="M17" s="42">
        <v>0.63432548002317102</v>
      </c>
      <c r="N17" s="43">
        <v>0.61086617241553498</v>
      </c>
      <c r="O17" s="43">
        <v>0.58281704338885898</v>
      </c>
      <c r="P17" s="43">
        <v>0.562662674585374</v>
      </c>
      <c r="Q17" s="67">
        <v>0.46870046364157902</v>
      </c>
      <c r="R17" s="67">
        <v>0.789984571140952</v>
      </c>
      <c r="S17" s="67">
        <v>0.77404287201356203</v>
      </c>
      <c r="T17" s="49">
        <v>1934.11951503061</v>
      </c>
      <c r="U17" s="49">
        <v>1572.7577877234601</v>
      </c>
      <c r="V17" s="49">
        <v>1265.5621963516201</v>
      </c>
      <c r="W17" s="49">
        <v>1097.6196372418499</v>
      </c>
      <c r="X17" s="49">
        <v>972.33063183645095</v>
      </c>
      <c r="Y17" s="4"/>
      <c r="Z17" s="69">
        <v>11.269174874566501</v>
      </c>
      <c r="AA17" s="69">
        <v>9.3198747857636501</v>
      </c>
      <c r="AB17" s="69">
        <v>7.8110652143973196</v>
      </c>
      <c r="AC17" s="69">
        <v>6.8822623634286098</v>
      </c>
      <c r="AD17" s="70">
        <v>5.4056511203642303</v>
      </c>
    </row>
    <row r="18" spans="1:30" x14ac:dyDescent="0.25">
      <c r="A18" s="2">
        <v>33</v>
      </c>
      <c r="B18" s="3" t="s">
        <v>33</v>
      </c>
      <c r="C18" s="4" t="s">
        <v>34</v>
      </c>
      <c r="D18" s="4">
        <f>_xlfn.XLOOKUP(C18,[1]Planilha2!$C$3:$C$329,[1]Planilha2!$I$3:$I$329)</f>
        <v>11</v>
      </c>
      <c r="E18" s="4">
        <v>481897</v>
      </c>
      <c r="F18" s="7">
        <v>480386.66666666669</v>
      </c>
      <c r="G18" s="4">
        <v>478876.33333333331</v>
      </c>
      <c r="H18" s="4">
        <v>477366</v>
      </c>
      <c r="I18" s="4">
        <v>475413</v>
      </c>
      <c r="J18" s="4">
        <f>_xlfn.XLOOKUP(C18,[1]Planilha2!$C$3:$C$329,[1]Planilha2!$D$3:$D$329,"")</f>
        <v>22</v>
      </c>
      <c r="K18" s="4" t="s">
        <v>21</v>
      </c>
      <c r="L18" s="4">
        <f>_xlfn.XLOOKUP(C18,[1]Planilha2!$C$3:$C$329,[1]Planilha2!$J$3:$J$329,"")</f>
        <v>2</v>
      </c>
      <c r="M18" s="42">
        <v>0.716129960517916</v>
      </c>
      <c r="N18" s="43">
        <v>0.699206974312784</v>
      </c>
      <c r="O18" s="43">
        <v>0.67172318095549299</v>
      </c>
      <c r="P18" s="43">
        <v>0.65311831733671599</v>
      </c>
      <c r="Q18" s="67">
        <v>0.841016712108693</v>
      </c>
      <c r="R18" s="67">
        <v>0.875087973791424</v>
      </c>
      <c r="S18" s="67">
        <v>0.92191570544656998</v>
      </c>
      <c r="T18" s="49">
        <v>2255.42736908509</v>
      </c>
      <c r="U18" s="49">
        <v>1823.74673488024</v>
      </c>
      <c r="V18" s="49">
        <v>1536.8933111819399</v>
      </c>
      <c r="W18" s="49">
        <v>1314.9809608560299</v>
      </c>
      <c r="X18" s="49">
        <v>1097.1186657706</v>
      </c>
      <c r="Y18" s="4"/>
      <c r="Z18" s="69">
        <v>15.444941553900501</v>
      </c>
      <c r="AA18" s="69">
        <v>12.2624552443865</v>
      </c>
      <c r="AB18" s="69">
        <v>8.3966187512572805</v>
      </c>
      <c r="AC18" s="69">
        <v>6.8531357490897999</v>
      </c>
      <c r="AD18" s="70">
        <v>8.6757072271898306</v>
      </c>
    </row>
    <row r="19" spans="1:30" ht="25.5" x14ac:dyDescent="0.25">
      <c r="A19" s="2">
        <v>34</v>
      </c>
      <c r="B19" s="3" t="s">
        <v>301</v>
      </c>
      <c r="C19" s="4" t="s">
        <v>302</v>
      </c>
      <c r="D19" s="4">
        <f>_xlfn.XLOOKUP(C19,[1]Planilha2!$C$3:$C$329,[1]Planilha2!$I$3:$I$329)</f>
        <v>11</v>
      </c>
      <c r="E19" s="4">
        <v>627240</v>
      </c>
      <c r="F19" s="7">
        <v>624996.00000000012</v>
      </c>
      <c r="G19" s="4">
        <v>622751.99999999988</v>
      </c>
      <c r="H19" s="4">
        <v>620508</v>
      </c>
      <c r="I19" s="4">
        <v>617634</v>
      </c>
      <c r="J19" s="4">
        <f>_xlfn.XLOOKUP(C19,[1]Planilha2!$C$3:$C$329,[1]Planilha2!$D$3:$D$329,"")</f>
        <v>26</v>
      </c>
      <c r="K19" s="4" t="s">
        <v>21</v>
      </c>
      <c r="L19" s="4">
        <f>_xlfn.XLOOKUP(C19,[1]Planilha2!$C$3:$C$329,[1]Planilha2!$J$3:$J$329,"")</f>
        <v>2</v>
      </c>
      <c r="M19" s="42">
        <v>0.726382843570199</v>
      </c>
      <c r="N19" s="43">
        <v>0.71444444069763502</v>
      </c>
      <c r="O19" s="43">
        <v>0.68188637600159896</v>
      </c>
      <c r="P19" s="43">
        <v>0.66875362722907095</v>
      </c>
      <c r="Q19" s="67">
        <v>0.84826052971327304</v>
      </c>
      <c r="R19" s="67">
        <v>0.87371226164936699</v>
      </c>
      <c r="S19" s="67">
        <v>0.92558601717323596</v>
      </c>
      <c r="T19" s="49">
        <v>2184.3242060614798</v>
      </c>
      <c r="U19" s="49">
        <v>1797.0217352217701</v>
      </c>
      <c r="V19" s="49">
        <v>1511.75973802305</v>
      </c>
      <c r="W19" s="49">
        <v>1309.5688277024601</v>
      </c>
      <c r="X19" s="49">
        <v>1133.43456375459</v>
      </c>
      <c r="Y19" s="4"/>
      <c r="Z19" s="69">
        <v>16.012065557043599</v>
      </c>
      <c r="AA19" s="69">
        <v>14.0721460617348</v>
      </c>
      <c r="AB19" s="69">
        <v>11.2520361235291</v>
      </c>
      <c r="AC19" s="69">
        <v>9.1354857632778295</v>
      </c>
      <c r="AD19" s="70">
        <v>10.028992898706999</v>
      </c>
    </row>
    <row r="20" spans="1:30" ht="25.5" x14ac:dyDescent="0.25">
      <c r="A20" s="2">
        <v>35</v>
      </c>
      <c r="B20" s="3" t="s">
        <v>303</v>
      </c>
      <c r="C20" s="4" t="s">
        <v>304</v>
      </c>
      <c r="D20" s="4">
        <f>_xlfn.XLOOKUP(C20,[1]Planilha2!$C$3:$C$329,[1]Planilha2!$I$3:$I$329)</f>
        <v>10</v>
      </c>
      <c r="E20" s="4">
        <v>659595</v>
      </c>
      <c r="F20" s="7">
        <v>670799.6666666664</v>
      </c>
      <c r="G20" s="4">
        <v>682004.3333333336</v>
      </c>
      <c r="H20" s="4">
        <v>693209</v>
      </c>
      <c r="I20" s="4">
        <v>692191</v>
      </c>
      <c r="J20" s="4">
        <f>_xlfn.XLOOKUP(C20,[1]Planilha2!$C$3:$C$329,[1]Planilha2!$D$3:$D$329,"")</f>
        <v>51</v>
      </c>
      <c r="K20" s="4" t="s">
        <v>21</v>
      </c>
      <c r="L20" s="4">
        <f>_xlfn.XLOOKUP(C20,[1]Planilha2!$C$3:$C$329,[1]Planilha2!$J$3:$J$329,"")</f>
        <v>4</v>
      </c>
      <c r="M20" s="42">
        <v>0.63271857698199996</v>
      </c>
      <c r="N20" s="43">
        <v>0.60909485692417398</v>
      </c>
      <c r="O20" s="43">
        <v>0.584184579830902</v>
      </c>
      <c r="P20" s="43">
        <v>0.56323691842280499</v>
      </c>
      <c r="Q20" s="67">
        <v>0.77064166816144397</v>
      </c>
      <c r="R20" s="67">
        <v>0.80602841858775998</v>
      </c>
      <c r="S20" s="67">
        <v>0.83986032385913401</v>
      </c>
      <c r="T20" s="49">
        <v>2105.3893425207898</v>
      </c>
      <c r="U20" s="49">
        <v>1635.8225227651201</v>
      </c>
      <c r="V20" s="49">
        <v>1377.78144439942</v>
      </c>
      <c r="W20" s="49">
        <v>1168.1872988232999</v>
      </c>
      <c r="X20" s="49">
        <v>1056.80362777037</v>
      </c>
      <c r="Y20" s="4"/>
      <c r="Z20" s="69">
        <v>8.9765568265375002</v>
      </c>
      <c r="AA20" s="69">
        <v>6.5060914858335801</v>
      </c>
      <c r="AB20" s="69">
        <v>6.0332534544013097</v>
      </c>
      <c r="AC20" s="69">
        <v>5.0040420710060003</v>
      </c>
      <c r="AD20" s="70">
        <v>4.3903763556590603</v>
      </c>
    </row>
    <row r="21" spans="1:30" ht="25.5" x14ac:dyDescent="0.25">
      <c r="A21" s="2">
        <v>36</v>
      </c>
      <c r="B21" s="3" t="s">
        <v>35</v>
      </c>
      <c r="C21" s="4" t="s">
        <v>36</v>
      </c>
      <c r="D21" s="4">
        <f>_xlfn.XLOOKUP(C21,[1]Planilha2!$C$3:$C$329,[1]Planilha2!$I$3:$I$329)</f>
        <v>10</v>
      </c>
      <c r="E21" s="4">
        <v>741869</v>
      </c>
      <c r="F21" s="7">
        <v>732635</v>
      </c>
      <c r="G21" s="4">
        <v>723401</v>
      </c>
      <c r="H21" s="4">
        <v>714167</v>
      </c>
      <c r="I21" s="4">
        <v>710130</v>
      </c>
      <c r="J21" s="4">
        <f>_xlfn.XLOOKUP(C21,[1]Planilha2!$C$3:$C$329,[1]Planilha2!$D$3:$D$329,"")</f>
        <v>33</v>
      </c>
      <c r="K21" s="4" t="s">
        <v>21</v>
      </c>
      <c r="L21" s="4">
        <f>_xlfn.XLOOKUP(C21,[1]Planilha2!$C$3:$C$329,[1]Planilha2!$J$3:$J$329,"")</f>
        <v>3</v>
      </c>
      <c r="M21" s="42">
        <v>0.72014026898341899</v>
      </c>
      <c r="N21" s="43">
        <v>0.70657689409700397</v>
      </c>
      <c r="O21" s="43">
        <v>0.68091030571280897</v>
      </c>
      <c r="P21" s="43">
        <v>0.65298745990170803</v>
      </c>
      <c r="Q21" s="67">
        <v>0.74286126256391705</v>
      </c>
      <c r="R21" s="67">
        <v>0.82005461111241695</v>
      </c>
      <c r="S21" s="67">
        <v>0.88223314325894797</v>
      </c>
      <c r="T21" s="49">
        <v>2160.5564291000201</v>
      </c>
      <c r="U21" s="49">
        <v>1948.13502072201</v>
      </c>
      <c r="V21" s="49">
        <v>1650.53370011008</v>
      </c>
      <c r="W21" s="49">
        <v>1369.57633921758</v>
      </c>
      <c r="X21" s="49">
        <v>1188.1848882880599</v>
      </c>
      <c r="Y21" s="4"/>
      <c r="Z21" s="69">
        <v>15.036549579508</v>
      </c>
      <c r="AA21" s="69">
        <v>11.4430910344169</v>
      </c>
      <c r="AB21" s="69">
        <v>11.339539204396999</v>
      </c>
      <c r="AC21" s="69">
        <v>11.441906444851099</v>
      </c>
      <c r="AD21" s="70">
        <v>9.7204441440299707</v>
      </c>
    </row>
    <row r="22" spans="1:30" x14ac:dyDescent="0.25">
      <c r="A22" s="2">
        <v>37</v>
      </c>
      <c r="B22" s="3" t="s">
        <v>37</v>
      </c>
      <c r="C22" s="4" t="s">
        <v>38</v>
      </c>
      <c r="D22" s="4">
        <f>_xlfn.XLOOKUP(C22,[1]Planilha2!$C$3:$C$329,[1]Planilha2!$I$3:$I$329)</f>
        <v>10</v>
      </c>
      <c r="E22" s="4">
        <v>684595</v>
      </c>
      <c r="F22" s="7">
        <v>688660.66666666651</v>
      </c>
      <c r="G22" s="4">
        <v>692726.33333333349</v>
      </c>
      <c r="H22" s="4">
        <v>696792</v>
      </c>
      <c r="I22" s="4">
        <v>692272</v>
      </c>
      <c r="J22" s="4">
        <f>_xlfn.XLOOKUP(C22,[1]Planilha2!$C$3:$C$329,[1]Planilha2!$D$3:$D$329,"")</f>
        <v>17</v>
      </c>
      <c r="K22" s="4" t="s">
        <v>21</v>
      </c>
      <c r="L22" s="4">
        <f>_xlfn.XLOOKUP(C22,[1]Planilha2!$C$3:$C$329,[1]Planilha2!$J$3:$J$329,"")</f>
        <v>21</v>
      </c>
      <c r="M22" s="42">
        <v>0.72124587542389096</v>
      </c>
      <c r="N22" s="43">
        <v>0.69254276248581104</v>
      </c>
      <c r="O22" s="43">
        <v>0.67192903004052895</v>
      </c>
      <c r="P22" s="43">
        <v>0.67184266343287002</v>
      </c>
      <c r="Q22" s="67">
        <v>0.90729024867443997</v>
      </c>
      <c r="R22" s="67">
        <v>0.94095576478253296</v>
      </c>
      <c r="S22" s="67">
        <v>0.98273727782832898</v>
      </c>
      <c r="T22" s="49">
        <v>2029.5979039870299</v>
      </c>
      <c r="U22" s="49">
        <v>1538.4237346453201</v>
      </c>
      <c r="V22" s="49">
        <v>1365.48284904717</v>
      </c>
      <c r="W22" s="49">
        <v>1378.9160787293799</v>
      </c>
      <c r="X22" s="49">
        <v>1212.49314675445</v>
      </c>
      <c r="Y22" s="4"/>
      <c r="Z22" s="69">
        <v>13.7456116389982</v>
      </c>
      <c r="AA22" s="69">
        <v>11.525022967286301</v>
      </c>
      <c r="AB22" s="69">
        <v>11.814195023624</v>
      </c>
      <c r="AC22" s="69">
        <v>10.4510643061344</v>
      </c>
      <c r="AD22" s="70">
        <v>8.2462168049552798</v>
      </c>
    </row>
    <row r="23" spans="1:30" ht="25.5" x14ac:dyDescent="0.25">
      <c r="A23" s="2">
        <v>38</v>
      </c>
      <c r="B23" s="3" t="s">
        <v>305</v>
      </c>
      <c r="C23" s="4" t="s">
        <v>306</v>
      </c>
      <c r="D23" s="4">
        <f>_xlfn.XLOOKUP(C23,[1]Planilha2!$C$3:$C$329,[1]Planilha2!$I$3:$I$329)</f>
        <v>9</v>
      </c>
      <c r="E23" s="4">
        <v>253919</v>
      </c>
      <c r="F23" s="7">
        <v>252364.33333333331</v>
      </c>
      <c r="G23" s="4">
        <v>250809.66666666669</v>
      </c>
      <c r="H23" s="4">
        <v>249255</v>
      </c>
      <c r="I23" s="4">
        <v>248704</v>
      </c>
      <c r="J23" s="4">
        <f>_xlfn.XLOOKUP(C23,[1]Planilha2!$C$3:$C$329,[1]Planilha2!$D$3:$D$329,"")</f>
        <v>19</v>
      </c>
      <c r="K23" s="4" t="s">
        <v>21</v>
      </c>
      <c r="L23" s="4">
        <f>_xlfn.XLOOKUP(C23,[1]Planilha2!$C$3:$C$329,[1]Planilha2!$J$3:$J$329,"")</f>
        <v>20</v>
      </c>
      <c r="M23" s="42">
        <v>0.64901147613305099</v>
      </c>
      <c r="N23" s="43">
        <v>0.62978004914749397</v>
      </c>
      <c r="O23" s="43">
        <v>0.58797051052135396</v>
      </c>
      <c r="P23" s="43">
        <v>0.58734498962622195</v>
      </c>
      <c r="Q23" s="67">
        <v>0.66100903686593704</v>
      </c>
      <c r="R23" s="67">
        <v>0.76664320314607703</v>
      </c>
      <c r="S23" s="67">
        <v>0.77902787917531102</v>
      </c>
      <c r="T23" s="49">
        <v>2344.1659363025201</v>
      </c>
      <c r="U23" s="49">
        <v>1971.70960007555</v>
      </c>
      <c r="V23" s="49">
        <v>1493.8692743900101</v>
      </c>
      <c r="W23" s="49">
        <v>1218.88954103228</v>
      </c>
      <c r="X23" s="49">
        <v>1117.4450223558899</v>
      </c>
      <c r="Y23" s="4"/>
      <c r="Z23" s="69">
        <v>14.348343369342199</v>
      </c>
      <c r="AA23" s="69">
        <v>11.698479579127</v>
      </c>
      <c r="AB23" s="69">
        <v>8.5416883187649599</v>
      </c>
      <c r="AC23" s="69">
        <v>4.3071834065515198</v>
      </c>
      <c r="AD23" s="70">
        <v>4.1714045612454997</v>
      </c>
    </row>
    <row r="24" spans="1:30" x14ac:dyDescent="0.25">
      <c r="A24" s="2">
        <v>39</v>
      </c>
      <c r="B24" s="3" t="s">
        <v>39</v>
      </c>
      <c r="C24" s="4" t="s">
        <v>40</v>
      </c>
      <c r="D24" s="4">
        <f>_xlfn.XLOOKUP(C24,[1]Planilha2!$C$3:$C$329,[1]Planilha2!$I$3:$I$329)</f>
        <v>6</v>
      </c>
      <c r="E24" s="4">
        <v>33627</v>
      </c>
      <c r="F24" s="7">
        <v>30911</v>
      </c>
      <c r="G24" s="4">
        <v>28195</v>
      </c>
      <c r="H24" s="4">
        <v>25479</v>
      </c>
      <c r="I24" s="4">
        <v>25559</v>
      </c>
      <c r="J24" s="4">
        <f>_xlfn.XLOOKUP(C24,[1]Planilha2!$C$3:$C$329,[1]Planilha2!$D$3:$D$329,"")</f>
        <v>3</v>
      </c>
      <c r="K24" s="4" t="s">
        <v>21</v>
      </c>
      <c r="L24" s="4">
        <f>_xlfn.XLOOKUP(C24,[1]Planilha2!$C$3:$C$329,[1]Planilha2!$J$3:$J$329,"")</f>
        <v>4</v>
      </c>
      <c r="M24" s="42">
        <v>0.64229388567176704</v>
      </c>
      <c r="N24" s="43">
        <v>0.65978764674587698</v>
      </c>
      <c r="O24" s="43">
        <v>0.64130044350249205</v>
      </c>
      <c r="P24" s="43">
        <v>0.583639367737392</v>
      </c>
      <c r="Q24" s="67">
        <v>0.58345369391736102</v>
      </c>
      <c r="R24" s="67">
        <v>0.64852874623160095</v>
      </c>
      <c r="S24" s="67">
        <v>0.79824167405568403</v>
      </c>
      <c r="T24" s="49">
        <v>4637.2651455675496</v>
      </c>
      <c r="U24" s="49">
        <v>4561.9329005855498</v>
      </c>
      <c r="V24" s="49">
        <v>3660.3694644440502</v>
      </c>
      <c r="W24" s="49">
        <v>2306.82168530947</v>
      </c>
      <c r="X24" s="49">
        <v>2348.3117426346898</v>
      </c>
      <c r="Y24" s="4"/>
      <c r="Z24" s="69">
        <v>32.211556189966402</v>
      </c>
      <c r="AA24" s="69">
        <v>2.6832519167933699</v>
      </c>
      <c r="AB24" s="69">
        <v>0.65766979960986005</v>
      </c>
      <c r="AC24" s="69">
        <v>0.14580635032772099</v>
      </c>
      <c r="AD24" s="70">
        <v>0.42845964239602502</v>
      </c>
    </row>
    <row r="25" spans="1:30" x14ac:dyDescent="0.25">
      <c r="A25" s="2">
        <v>40</v>
      </c>
      <c r="B25" s="3" t="s">
        <v>307</v>
      </c>
      <c r="C25" s="4" t="s">
        <v>308</v>
      </c>
      <c r="D25" s="4">
        <f>_xlfn.XLOOKUP(C25,[1]Planilha2!$C$3:$C$329,[1]Planilha2!$I$3:$I$329)</f>
        <v>2</v>
      </c>
      <c r="E25" s="4">
        <v>244590</v>
      </c>
      <c r="F25" s="7">
        <v>243832.66666666669</v>
      </c>
      <c r="G25" s="4">
        <v>243075.33333333331</v>
      </c>
      <c r="H25" s="4">
        <v>242318</v>
      </c>
      <c r="I25" s="4">
        <v>240967</v>
      </c>
      <c r="J25" s="4">
        <f>_xlfn.XLOOKUP(C25,[1]Planilha2!$C$3:$C$329,[1]Planilha2!$D$3:$D$329,"")</f>
        <v>11</v>
      </c>
      <c r="K25" s="4" t="s">
        <v>21</v>
      </c>
      <c r="L25" s="4">
        <f>_xlfn.XLOOKUP(C25,[1]Planilha2!$C$3:$C$329,[1]Planilha2!$J$3:$J$329,"")</f>
        <v>44</v>
      </c>
      <c r="M25" s="42">
        <v>0.74699199683389395</v>
      </c>
      <c r="N25" s="43">
        <v>0.73267957930737504</v>
      </c>
      <c r="O25" s="43">
        <v>0.70191738046699004</v>
      </c>
      <c r="P25" s="43">
        <v>0.67474365784526502</v>
      </c>
      <c r="Q25" s="67">
        <v>0.90883020586210606</v>
      </c>
      <c r="R25" s="67">
        <v>0.904010487146646</v>
      </c>
      <c r="S25" s="67">
        <v>0.956312579639234</v>
      </c>
      <c r="T25" s="49">
        <v>2545.59147021546</v>
      </c>
      <c r="U25" s="49">
        <v>2048.68764398536</v>
      </c>
      <c r="V25" s="49">
        <v>1609.5906422288799</v>
      </c>
      <c r="W25" s="49">
        <v>1382.1433655774599</v>
      </c>
      <c r="X25" s="49">
        <v>1463.0598197678501</v>
      </c>
      <c r="Y25" s="4"/>
      <c r="Z25" s="69">
        <v>15.970289055153501</v>
      </c>
      <c r="AA25" s="69">
        <v>14.9354598372108</v>
      </c>
      <c r="AB25" s="69">
        <v>17.067581243674798</v>
      </c>
      <c r="AC25" s="69">
        <v>17.062496389042501</v>
      </c>
      <c r="AD25" s="70">
        <v>14.9274174472023</v>
      </c>
    </row>
    <row r="26" spans="1:30" ht="25.5" x14ac:dyDescent="0.25">
      <c r="A26" s="2">
        <v>41</v>
      </c>
      <c r="B26" s="3" t="s">
        <v>41</v>
      </c>
      <c r="C26" s="4" t="s">
        <v>42</v>
      </c>
      <c r="D26" s="4">
        <f>_xlfn.XLOOKUP(C26,[1]Planilha2!$C$3:$C$329,[1]Planilha2!$I$3:$I$329)</f>
        <v>30</v>
      </c>
      <c r="E26" s="4">
        <v>181291</v>
      </c>
      <c r="F26" s="7">
        <v>204108.99999999997</v>
      </c>
      <c r="G26" s="4">
        <v>203766.00000000003</v>
      </c>
      <c r="H26" s="4">
        <v>203423</v>
      </c>
      <c r="I26" s="4">
        <v>179367</v>
      </c>
      <c r="J26" s="4">
        <f>_xlfn.XLOOKUP(C26,[1]Planilha2!$C$3:$C$329,[1]Planilha2!$D$3:$D$329,"")</f>
        <v>15</v>
      </c>
      <c r="K26" s="4" t="s">
        <v>21</v>
      </c>
      <c r="L26" s="4">
        <f>_xlfn.XLOOKUP(C26,[1]Planilha2!$C$3:$C$329,[1]Planilha2!$J$3:$J$329,"")</f>
        <v>3</v>
      </c>
      <c r="M26" s="42">
        <v>0.682177482855574</v>
      </c>
      <c r="N26" s="43">
        <v>0.68772381229332502</v>
      </c>
      <c r="O26" s="43">
        <v>0.64258933115008898</v>
      </c>
      <c r="P26" s="43">
        <v>0.63239537205840501</v>
      </c>
      <c r="Q26" s="67">
        <v>0.77389036337888295</v>
      </c>
      <c r="R26" s="67">
        <v>0.83255164740007104</v>
      </c>
      <c r="S26" s="67">
        <v>0.95092060537913703</v>
      </c>
      <c r="T26" s="49">
        <v>1625.06787645277</v>
      </c>
      <c r="U26" s="49">
        <v>1356.5361722697</v>
      </c>
      <c r="V26" s="49">
        <v>1161.45389283083</v>
      </c>
      <c r="W26" s="49">
        <v>976.906168461368</v>
      </c>
      <c r="X26" s="49">
        <v>850.94157804947395</v>
      </c>
      <c r="Y26" s="4"/>
      <c r="Z26" s="69">
        <v>15.604039913729901</v>
      </c>
      <c r="AA26" s="69">
        <v>14.5039908464795</v>
      </c>
      <c r="AB26" s="69">
        <v>9.1464408957720593</v>
      </c>
      <c r="AC26" s="69">
        <v>5.9894649200710504</v>
      </c>
      <c r="AD26" s="70">
        <v>4.9261458350755696</v>
      </c>
    </row>
    <row r="27" spans="1:30" x14ac:dyDescent="0.25">
      <c r="A27" s="2">
        <v>42</v>
      </c>
      <c r="B27" s="3" t="s">
        <v>309</v>
      </c>
      <c r="C27" s="4" t="s">
        <v>310</v>
      </c>
      <c r="D27" s="4">
        <f>_xlfn.XLOOKUP(C27,[1]Planilha2!$C$3:$C$329,[1]Planilha2!$I$3:$I$329)</f>
        <v>13</v>
      </c>
      <c r="E27" s="4">
        <v>6466015</v>
      </c>
      <c r="F27" s="7">
        <v>6490074.3333333349</v>
      </c>
      <c r="G27" s="4">
        <v>6514133.666666666</v>
      </c>
      <c r="H27" s="4">
        <v>6538193</v>
      </c>
      <c r="I27" s="4">
        <v>6495157</v>
      </c>
      <c r="J27" s="4">
        <f>_xlfn.XLOOKUP(C27,[1]Planilha2!$C$3:$C$329,[1]Planilha2!$D$3:$D$329,"")</f>
        <v>87</v>
      </c>
      <c r="K27" s="4" t="s">
        <v>21</v>
      </c>
      <c r="L27" s="4">
        <f>_xlfn.XLOOKUP(C27,[1]Planilha2!$C$3:$C$329,[1]Planilha2!$J$3:$J$329,"")</f>
        <v>4</v>
      </c>
      <c r="M27" s="42">
        <v>0.72303668813140898</v>
      </c>
      <c r="N27" s="43">
        <v>0.71424930459670699</v>
      </c>
      <c r="O27" s="43">
        <v>0.69396569715822098</v>
      </c>
      <c r="P27" s="43">
        <v>0.67716867090356703</v>
      </c>
      <c r="Q27" s="67">
        <v>0.84869831239262805</v>
      </c>
      <c r="R27" s="67">
        <v>0.94639501551012095</v>
      </c>
      <c r="S27" s="67">
        <v>0.96454696422409902</v>
      </c>
      <c r="T27" s="49">
        <v>2176.9806853958698</v>
      </c>
      <c r="U27" s="49">
        <v>1833.52270095006</v>
      </c>
      <c r="V27" s="49">
        <v>1577.0094643181301</v>
      </c>
      <c r="W27" s="49">
        <v>1519.2645196815099</v>
      </c>
      <c r="X27" s="49">
        <v>1361.8215281432001</v>
      </c>
      <c r="Y27" s="4"/>
      <c r="Z27" s="69">
        <v>12.035840622083301</v>
      </c>
      <c r="AA27" s="69">
        <v>11.0775799023976</v>
      </c>
      <c r="AB27" s="69">
        <v>10.7216082097589</v>
      </c>
      <c r="AC27" s="69">
        <v>9.3007291158275702</v>
      </c>
      <c r="AD27" s="70">
        <v>8.2653460108816503</v>
      </c>
    </row>
    <row r="28" spans="1:30" x14ac:dyDescent="0.25">
      <c r="A28" s="2">
        <v>52</v>
      </c>
      <c r="B28" s="3" t="s">
        <v>311</v>
      </c>
      <c r="C28" s="4" t="s">
        <v>312</v>
      </c>
      <c r="D28" s="4">
        <f>_xlfn.XLOOKUP(C28,[1]Planilha2!$C$3:$C$329,[1]Planilha2!$I$3:$I$329)</f>
        <v>26</v>
      </c>
      <c r="E28" s="4">
        <v>918430</v>
      </c>
      <c r="F28" s="7">
        <v>919726</v>
      </c>
      <c r="G28" s="4">
        <v>921022</v>
      </c>
      <c r="H28" s="4">
        <v>922318</v>
      </c>
      <c r="I28" s="4">
        <v>918097</v>
      </c>
      <c r="J28" s="4">
        <f>_xlfn.XLOOKUP(C28,[1]Planilha2!$C$3:$C$329,[1]Planilha2!$D$3:$D$329,"")</f>
        <v>12</v>
      </c>
      <c r="K28" s="4" t="s">
        <v>21</v>
      </c>
      <c r="L28" s="4">
        <f>_xlfn.XLOOKUP(C28,[1]Planilha2!$C$3:$C$329,[1]Planilha2!$J$3:$J$329,"")</f>
        <v>7</v>
      </c>
      <c r="M28" s="42">
        <v>0.69433022584987303</v>
      </c>
      <c r="N28" s="43">
        <v>0.66122363349264901</v>
      </c>
      <c r="O28" s="43">
        <v>0.64450576287137396</v>
      </c>
      <c r="P28" s="43">
        <v>0.63417547938834395</v>
      </c>
      <c r="Q28" s="67">
        <v>0.85103135766572302</v>
      </c>
      <c r="R28" s="67">
        <v>0.91756832721332005</v>
      </c>
      <c r="S28" s="67">
        <v>0.97223030568216595</v>
      </c>
      <c r="T28" s="49">
        <v>2217.1664820944402</v>
      </c>
      <c r="U28" s="49">
        <v>1930.7113341545901</v>
      </c>
      <c r="V28" s="49">
        <v>1777.40486512085</v>
      </c>
      <c r="W28" s="49">
        <v>1488.5693672464399</v>
      </c>
      <c r="X28" s="49">
        <v>1296.44652751289</v>
      </c>
      <c r="Y28" s="4"/>
      <c r="Z28" s="69">
        <v>18.352791176246399</v>
      </c>
      <c r="AA28" s="69">
        <v>16.429664921944099</v>
      </c>
      <c r="AB28" s="69">
        <v>14.5589844759409</v>
      </c>
      <c r="AC28" s="69">
        <v>11.165112249788001</v>
      </c>
      <c r="AD28" s="70">
        <v>9.6378040664548497</v>
      </c>
    </row>
    <row r="29" spans="1:30" ht="25.5" x14ac:dyDescent="0.25">
      <c r="A29" s="2">
        <v>53</v>
      </c>
      <c r="B29" s="3" t="s">
        <v>43</v>
      </c>
      <c r="C29" s="4" t="s">
        <v>44</v>
      </c>
      <c r="D29" s="4">
        <f>_xlfn.XLOOKUP(C29,[1]Planilha2!$C$3:$C$329,[1]Planilha2!$I$3:$I$329)</f>
        <v>18</v>
      </c>
      <c r="E29" s="4">
        <v>3411903</v>
      </c>
      <c r="F29" s="7">
        <v>3443825.6666666665</v>
      </c>
      <c r="G29" s="4">
        <v>3475748.3333333335</v>
      </c>
      <c r="H29" s="4">
        <v>3507671</v>
      </c>
      <c r="I29" s="4">
        <v>3479924</v>
      </c>
      <c r="J29" s="4">
        <f>_xlfn.XLOOKUP(C29,[1]Planilha2!$C$3:$C$329,[1]Planilha2!$D$3:$D$329,"")</f>
        <v>17</v>
      </c>
      <c r="K29" s="4" t="s">
        <v>21</v>
      </c>
      <c r="L29" s="4">
        <f>_xlfn.XLOOKUP(C29,[1]Planilha2!$C$3:$C$329,[1]Planilha2!$J$3:$J$329,"")</f>
        <v>26</v>
      </c>
      <c r="M29" s="42">
        <v>0.59879649634800503</v>
      </c>
      <c r="N29" s="43">
        <v>0.58487978574398103</v>
      </c>
      <c r="O29" s="43">
        <v>0.56946280363808299</v>
      </c>
      <c r="P29" s="43">
        <v>0.55150971667771997</v>
      </c>
      <c r="Q29" s="67">
        <v>0.71193285327044697</v>
      </c>
      <c r="R29" s="67">
        <v>0.73115632195272995</v>
      </c>
      <c r="S29" s="67">
        <v>0.97656443111291602</v>
      </c>
      <c r="T29" s="49">
        <v>2018.64425464909</v>
      </c>
      <c r="U29" s="49">
        <v>1698.2709457399001</v>
      </c>
      <c r="V29" s="49">
        <v>1382.9202953138599</v>
      </c>
      <c r="W29" s="49">
        <v>1153.0198013781801</v>
      </c>
      <c r="X29" s="49">
        <v>1021.90292251785</v>
      </c>
      <c r="Y29" s="4"/>
      <c r="Z29" s="69">
        <v>21.022509432419401</v>
      </c>
      <c r="AA29" s="69">
        <v>18.246891417364601</v>
      </c>
      <c r="AB29" s="69">
        <v>16.245635352386898</v>
      </c>
      <c r="AC29" s="69">
        <v>13.4323221875712</v>
      </c>
      <c r="AD29" s="70">
        <v>11.330609231695901</v>
      </c>
    </row>
    <row r="30" spans="1:30" x14ac:dyDescent="0.25">
      <c r="A30" s="2">
        <v>71</v>
      </c>
      <c r="B30" s="3" t="s">
        <v>46</v>
      </c>
      <c r="C30" s="4" t="s">
        <v>47</v>
      </c>
      <c r="D30" s="4">
        <f>_xlfn.XLOOKUP(C30,[1]Planilha2!$C$3:$C$329,[1]Planilha2!$I$3:$I$329)</f>
        <v>26</v>
      </c>
      <c r="E30" s="4">
        <v>144913</v>
      </c>
      <c r="F30" s="7">
        <v>145325.99999999997</v>
      </c>
      <c r="G30" s="4">
        <v>145739.00000000003</v>
      </c>
      <c r="H30" s="4">
        <v>146152</v>
      </c>
      <c r="I30" s="4">
        <v>145349</v>
      </c>
      <c r="J30" s="4">
        <f>_xlfn.XLOOKUP(C30,[1]Planilha2!$C$3:$C$329,[1]Planilha2!$D$3:$D$329,"")</f>
        <v>11</v>
      </c>
      <c r="K30" s="4" t="s">
        <v>21</v>
      </c>
      <c r="L30" s="4">
        <f>_xlfn.XLOOKUP(C30,[1]Planilha2!$C$3:$C$329,[1]Planilha2!$J$3:$J$329,"")</f>
        <v>25</v>
      </c>
      <c r="M30" s="42">
        <v>0.76293707641211295</v>
      </c>
      <c r="N30" s="43">
        <v>0.72018322160391701</v>
      </c>
      <c r="O30" s="43">
        <v>0.69467455936285505</v>
      </c>
      <c r="P30" s="43">
        <v>0.68944848674569503</v>
      </c>
      <c r="Q30" s="67">
        <v>0.88967042132396501</v>
      </c>
      <c r="R30" s="67">
        <v>0.93462576523785701</v>
      </c>
      <c r="S30" s="67">
        <v>0.959074400126253</v>
      </c>
      <c r="T30" s="49">
        <v>1823.2505080979599</v>
      </c>
      <c r="U30" s="49">
        <v>1645.39456323484</v>
      </c>
      <c r="V30" s="49">
        <v>1314.41057381117</v>
      </c>
      <c r="W30" s="49">
        <v>1169.1541763369601</v>
      </c>
      <c r="X30" s="49">
        <v>1092.11560423532</v>
      </c>
      <c r="Y30" s="4"/>
      <c r="Z30" s="69">
        <v>17.7766314961391</v>
      </c>
      <c r="AA30" s="69">
        <v>19.124781525673299</v>
      </c>
      <c r="AB30" s="69">
        <v>17.7286381819554</v>
      </c>
      <c r="AC30" s="69">
        <v>13.8563413432591</v>
      </c>
      <c r="AD30" s="70">
        <v>13.827436033271599</v>
      </c>
    </row>
    <row r="31" spans="1:30" x14ac:dyDescent="0.25">
      <c r="A31" s="2">
        <v>72</v>
      </c>
      <c r="B31" s="3" t="s">
        <v>313</v>
      </c>
      <c r="C31" s="4" t="s">
        <v>314</v>
      </c>
      <c r="D31" s="4">
        <f>_xlfn.XLOOKUP(C31,[1]Planilha2!$C$3:$C$329,[1]Planilha2!$I$3:$I$329)</f>
        <v>26</v>
      </c>
      <c r="E31" s="4">
        <v>72929</v>
      </c>
      <c r="F31" s="7">
        <v>74167.333333333328</v>
      </c>
      <c r="G31" s="4">
        <v>75405.666666666672</v>
      </c>
      <c r="H31" s="4">
        <v>76644</v>
      </c>
      <c r="I31" s="4">
        <v>76375</v>
      </c>
      <c r="J31" s="4">
        <f>_xlfn.XLOOKUP(C31,[1]Planilha2!$C$3:$C$329,[1]Planilha2!$D$3:$D$329,"")</f>
        <v>6</v>
      </c>
      <c r="K31" s="4" t="s">
        <v>21</v>
      </c>
      <c r="L31" s="4">
        <f>_xlfn.XLOOKUP(C31,[1]Planilha2!$C$3:$C$329,[1]Planilha2!$J$3:$J$329,"")</f>
        <v>2</v>
      </c>
      <c r="M31" s="42">
        <v>0.77166365021437999</v>
      </c>
      <c r="N31" s="43">
        <v>0.73448019379622198</v>
      </c>
      <c r="O31" s="43">
        <v>0.73656294948071599</v>
      </c>
      <c r="P31" s="43">
        <v>0.71516030114566298</v>
      </c>
      <c r="Q31" s="67">
        <v>0.93724105173351202</v>
      </c>
      <c r="R31" s="67">
        <v>0.93738232626195195</v>
      </c>
      <c r="S31" s="67">
        <v>0.963607591825548</v>
      </c>
      <c r="T31" s="49">
        <v>1386.49196286799</v>
      </c>
      <c r="U31" s="49">
        <v>1271.85357219261</v>
      </c>
      <c r="V31" s="49">
        <v>1136.6284753135301</v>
      </c>
      <c r="W31" s="49">
        <v>928.08542364699099</v>
      </c>
      <c r="X31" s="49">
        <v>755.54390389525395</v>
      </c>
      <c r="Y31" s="4"/>
      <c r="Z31" s="69">
        <v>13.844204637387</v>
      </c>
      <c r="AA31" s="69">
        <v>13.4996224753036</v>
      </c>
      <c r="AB31" s="69">
        <v>12.9926574925846</v>
      </c>
      <c r="AC31" s="69">
        <v>11.5162961223318</v>
      </c>
      <c r="AD31" s="70">
        <v>11.095201309328999</v>
      </c>
    </row>
    <row r="32" spans="1:30" x14ac:dyDescent="0.25">
      <c r="A32" s="2">
        <v>73</v>
      </c>
      <c r="B32" s="3" t="s">
        <v>49</v>
      </c>
      <c r="C32" s="4" t="s">
        <v>50</v>
      </c>
      <c r="D32" s="4">
        <f>_xlfn.XLOOKUP(C32,[1]Planilha2!$C$3:$C$329,[1]Planilha2!$I$3:$I$329)</f>
        <v>23</v>
      </c>
      <c r="E32" s="4">
        <v>156029</v>
      </c>
      <c r="F32" s="7">
        <v>156616.99999999997</v>
      </c>
      <c r="G32" s="4">
        <v>157205.00000000003</v>
      </c>
      <c r="H32" s="4">
        <v>157793</v>
      </c>
      <c r="I32" s="4">
        <v>157579</v>
      </c>
      <c r="J32" s="4">
        <f>_xlfn.XLOOKUP(C32,[1]Planilha2!$C$3:$C$329,[1]Planilha2!$D$3:$D$329,"")</f>
        <v>16</v>
      </c>
      <c r="K32" s="4" t="s">
        <v>21</v>
      </c>
      <c r="L32" s="4">
        <f>_xlfn.XLOOKUP(C32,[1]Planilha2!$C$3:$C$329,[1]Planilha2!$J$3:$J$329,"")</f>
        <v>3</v>
      </c>
      <c r="M32" s="42">
        <v>0.69895180557240499</v>
      </c>
      <c r="N32" s="43">
        <v>0.65878188161954099</v>
      </c>
      <c r="O32" s="43">
        <v>0.64871903950111898</v>
      </c>
      <c r="P32" s="43">
        <v>0.62859739939966597</v>
      </c>
      <c r="Q32" s="67">
        <v>0.66292270814117404</v>
      </c>
      <c r="R32" s="67">
        <v>0.71904695482544001</v>
      </c>
      <c r="S32" s="67">
        <v>0.93183842053369803</v>
      </c>
      <c r="T32" s="49">
        <v>1659.3198957886</v>
      </c>
      <c r="U32" s="49">
        <v>1568.1934323647299</v>
      </c>
      <c r="V32" s="49">
        <v>1384.1494051503901</v>
      </c>
      <c r="W32" s="49">
        <v>1079.5765063089</v>
      </c>
      <c r="X32" s="49">
        <v>917.82557149112495</v>
      </c>
      <c r="Y32" s="4"/>
      <c r="Z32" s="69">
        <v>11.5686763358094</v>
      </c>
      <c r="AA32" s="69">
        <v>7.7012712540784198</v>
      </c>
      <c r="AB32" s="69">
        <v>6.7035590471041004</v>
      </c>
      <c r="AC32" s="69">
        <v>7.7847496403515999</v>
      </c>
      <c r="AD32" s="70">
        <v>4.5688448333851603</v>
      </c>
    </row>
    <row r="33" spans="1:30" x14ac:dyDescent="0.25">
      <c r="A33" s="2">
        <v>74</v>
      </c>
      <c r="B33" s="3" t="s">
        <v>51</v>
      </c>
      <c r="C33" s="4" t="s">
        <v>52</v>
      </c>
      <c r="D33" s="4">
        <f>_xlfn.XLOOKUP(C33,[1]Planilha2!$C$3:$C$329,[1]Planilha2!$I$3:$I$329)</f>
        <v>23</v>
      </c>
      <c r="E33" s="4">
        <v>296540</v>
      </c>
      <c r="F33" s="7">
        <v>296131.66666666663</v>
      </c>
      <c r="G33" s="4">
        <v>295723.33333333337</v>
      </c>
      <c r="H33" s="4">
        <v>295315</v>
      </c>
      <c r="I33" s="4">
        <v>292667</v>
      </c>
      <c r="J33" s="4">
        <f>_xlfn.XLOOKUP(C33,[1]Planilha2!$C$3:$C$329,[1]Planilha2!$D$3:$D$329,"")</f>
        <v>6</v>
      </c>
      <c r="K33" s="4" t="s">
        <v>21</v>
      </c>
      <c r="L33" s="4">
        <f>_xlfn.XLOOKUP(C33,[1]Planilha2!$C$3:$C$329,[1]Planilha2!$J$3:$J$329,"")</f>
        <v>31</v>
      </c>
      <c r="M33" s="42">
        <v>0.74886153985558201</v>
      </c>
      <c r="N33" s="43">
        <v>0.73403488170249198</v>
      </c>
      <c r="O33" s="43">
        <v>0.72180663528774403</v>
      </c>
      <c r="P33" s="43">
        <v>0.70937415492693101</v>
      </c>
      <c r="Q33" s="67">
        <v>0.88930051500839702</v>
      </c>
      <c r="R33" s="67">
        <v>0.92660761116809598</v>
      </c>
      <c r="S33" s="67">
        <v>0.99328962701624302</v>
      </c>
      <c r="T33" s="49">
        <v>1661.88173700007</v>
      </c>
      <c r="U33" s="49">
        <v>1461.9365600436699</v>
      </c>
      <c r="V33" s="49">
        <v>1253.4625087863701</v>
      </c>
      <c r="W33" s="49">
        <v>1113.3872334964401</v>
      </c>
      <c r="X33" s="49">
        <v>1012.64984945347</v>
      </c>
      <c r="Y33" s="4"/>
      <c r="Z33" s="69">
        <v>19.071959937951</v>
      </c>
      <c r="AA33" s="69">
        <v>15.7552552637059</v>
      </c>
      <c r="AB33" s="69">
        <v>13.2250233889784</v>
      </c>
      <c r="AC33" s="69">
        <v>10.8701285068486</v>
      </c>
      <c r="AD33" s="70">
        <v>9.5187089764134694</v>
      </c>
    </row>
    <row r="34" spans="1:30" x14ac:dyDescent="0.25">
      <c r="A34" s="2">
        <v>75</v>
      </c>
      <c r="B34" s="3" t="s">
        <v>53</v>
      </c>
      <c r="C34" s="4" t="s">
        <v>54</v>
      </c>
      <c r="D34" s="4">
        <f>_xlfn.XLOOKUP(C34,[1]Planilha2!$C$3:$C$329,[1]Planilha2!$I$3:$I$329)</f>
        <v>23</v>
      </c>
      <c r="E34" s="4">
        <v>240384</v>
      </c>
      <c r="F34" s="7">
        <v>243568.99999999997</v>
      </c>
      <c r="G34" s="4">
        <v>246754.00000000003</v>
      </c>
      <c r="H34" s="4">
        <v>249939</v>
      </c>
      <c r="I34" s="4">
        <v>248721</v>
      </c>
      <c r="J34" s="4">
        <f>_xlfn.XLOOKUP(C34,[1]Planilha2!$C$3:$C$329,[1]Planilha2!$D$3:$D$329,"")</f>
        <v>12</v>
      </c>
      <c r="K34" s="4" t="s">
        <v>21</v>
      </c>
      <c r="L34" s="4">
        <f>_xlfn.XLOOKUP(C34,[1]Planilha2!$C$3:$C$329,[1]Planilha2!$J$3:$J$329,"")</f>
        <v>3</v>
      </c>
      <c r="M34" s="42">
        <v>0.80308569276057296</v>
      </c>
      <c r="N34" s="43">
        <v>0.77511901705071995</v>
      </c>
      <c r="O34" s="43">
        <v>0.76374664338098497</v>
      </c>
      <c r="P34" s="43">
        <v>0.74834568050144501</v>
      </c>
      <c r="Q34" s="67">
        <v>0.94234574245334701</v>
      </c>
      <c r="R34" s="67">
        <v>0.94395542686238099</v>
      </c>
      <c r="S34" s="67">
        <v>0.973148847435097</v>
      </c>
      <c r="T34" s="49">
        <v>1879.0972760250299</v>
      </c>
      <c r="U34" s="49">
        <v>1520.79301383455</v>
      </c>
      <c r="V34" s="49">
        <v>1230.8447037670401</v>
      </c>
      <c r="W34" s="49">
        <v>1143.32853588276</v>
      </c>
      <c r="X34" s="49">
        <v>1044.4846364802299</v>
      </c>
      <c r="Y34" s="4"/>
      <c r="Z34" s="69">
        <v>21.423605564430201</v>
      </c>
      <c r="AA34" s="69">
        <v>19.616925799260201</v>
      </c>
      <c r="AB34" s="69">
        <v>16.752457913549499</v>
      </c>
      <c r="AC34" s="69">
        <v>13.507699878770399</v>
      </c>
      <c r="AD34" s="70">
        <v>12.361316495189399</v>
      </c>
    </row>
    <row r="35" spans="1:30" x14ac:dyDescent="0.25">
      <c r="A35" s="2">
        <v>76</v>
      </c>
      <c r="B35" s="3" t="s">
        <v>55</v>
      </c>
      <c r="C35" s="4" t="s">
        <v>56</v>
      </c>
      <c r="D35" s="4">
        <f>_xlfn.XLOOKUP(C35,[1]Planilha2!$C$3:$C$329,[1]Planilha2!$I$3:$I$329)</f>
        <v>17</v>
      </c>
      <c r="E35" s="4">
        <v>505119</v>
      </c>
      <c r="F35" s="7">
        <v>503634</v>
      </c>
      <c r="G35" s="4">
        <v>502149</v>
      </c>
      <c r="H35" s="4">
        <v>500664</v>
      </c>
      <c r="I35" s="4">
        <v>497103</v>
      </c>
      <c r="J35" s="4">
        <f>_xlfn.XLOOKUP(C35,[1]Planilha2!$C$3:$C$329,[1]Planilha2!$D$3:$D$329,"")</f>
        <v>6</v>
      </c>
      <c r="K35" s="4" t="s">
        <v>21</v>
      </c>
      <c r="L35" s="4">
        <f>_xlfn.XLOOKUP(C35,[1]Planilha2!$C$3:$C$329,[1]Planilha2!$J$3:$J$329,"")</f>
        <v>3</v>
      </c>
      <c r="M35" s="42">
        <v>0.81049005825659104</v>
      </c>
      <c r="N35" s="43">
        <v>0.78832706102504801</v>
      </c>
      <c r="O35" s="43">
        <v>0.79673503127846201</v>
      </c>
      <c r="P35" s="43">
        <v>0.78599363592655802</v>
      </c>
      <c r="Q35" s="67">
        <v>0.95112228800614995</v>
      </c>
      <c r="R35" s="67">
        <v>0.95568936736572896</v>
      </c>
      <c r="S35" s="67">
        <v>0.99050318265428505</v>
      </c>
      <c r="T35" s="49">
        <v>1712.73794909714</v>
      </c>
      <c r="U35" s="49">
        <v>1323.76582221084</v>
      </c>
      <c r="V35" s="49">
        <v>1141.13740700469</v>
      </c>
      <c r="W35" s="49">
        <v>1121.4379922662699</v>
      </c>
      <c r="X35" s="49">
        <v>1057.9959501552</v>
      </c>
      <c r="Y35" s="4"/>
      <c r="Z35" s="69">
        <v>14.2995195191628</v>
      </c>
      <c r="AA35" s="69">
        <v>13.867560569778799</v>
      </c>
      <c r="AB35" s="69">
        <v>13.631324567010999</v>
      </c>
      <c r="AC35" s="69">
        <v>11.2929249956058</v>
      </c>
      <c r="AD35" s="70">
        <v>9.9026600121101698</v>
      </c>
    </row>
    <row r="36" spans="1:30" ht="25.5" x14ac:dyDescent="0.25">
      <c r="A36" s="2">
        <v>77</v>
      </c>
      <c r="B36" s="3" t="s">
        <v>315</v>
      </c>
      <c r="C36" s="4" t="s">
        <v>316</v>
      </c>
      <c r="D36" s="4">
        <f>_xlfn.XLOOKUP(C36,[1]Planilha2!$C$3:$C$329,[1]Planilha2!$I$3:$I$329)</f>
        <v>11</v>
      </c>
      <c r="E36" s="4">
        <v>1777336</v>
      </c>
      <c r="F36" s="7">
        <v>1801066.6666666665</v>
      </c>
      <c r="G36" s="4">
        <v>1824797.3333333335</v>
      </c>
      <c r="H36" s="4">
        <v>1848528</v>
      </c>
      <c r="I36" s="4">
        <v>1830320</v>
      </c>
      <c r="J36" s="4">
        <f>_xlfn.XLOOKUP(C36,[1]Planilha2!$C$3:$C$329,[1]Planilha2!$D$3:$D$329,"")</f>
        <v>37</v>
      </c>
      <c r="K36" s="4" t="s">
        <v>21</v>
      </c>
      <c r="L36" s="4">
        <f>_xlfn.XLOOKUP(C36,[1]Planilha2!$C$3:$C$329,[1]Planilha2!$J$3:$J$329,"")</f>
        <v>4</v>
      </c>
      <c r="M36" s="42">
        <v>0.78452352528131497</v>
      </c>
      <c r="N36" s="43">
        <v>0.76272818152225796</v>
      </c>
      <c r="O36" s="43">
        <v>0.74908672040672397</v>
      </c>
      <c r="P36" s="43">
        <v>0.73824149110537995</v>
      </c>
      <c r="Q36" s="67">
        <v>0.93572732798455105</v>
      </c>
      <c r="R36" s="67">
        <v>0.95797628545781899</v>
      </c>
      <c r="S36" s="67">
        <v>0.97876504720524204</v>
      </c>
      <c r="T36" s="49">
        <v>1625.0091531933199</v>
      </c>
      <c r="U36" s="49">
        <v>1322.4996001980301</v>
      </c>
      <c r="V36" s="49">
        <v>1158.62463334924</v>
      </c>
      <c r="W36" s="49">
        <v>1067.6397449916899</v>
      </c>
      <c r="X36" s="49">
        <v>976.18223760325998</v>
      </c>
      <c r="Y36" s="4"/>
      <c r="Z36" s="69">
        <v>15.349532108729001</v>
      </c>
      <c r="AA36" s="69">
        <v>15.0557464095351</v>
      </c>
      <c r="AB36" s="69">
        <v>15.568121172177699</v>
      </c>
      <c r="AC36" s="69">
        <v>11.9903328486233</v>
      </c>
      <c r="AD36" s="70">
        <v>10.9228867083352</v>
      </c>
    </row>
    <row r="37" spans="1:30" x14ac:dyDescent="0.25">
      <c r="A37" s="2">
        <v>78</v>
      </c>
      <c r="B37" s="3" t="s">
        <v>317</v>
      </c>
      <c r="C37" s="4" t="s">
        <v>318</v>
      </c>
      <c r="D37" s="4">
        <f>_xlfn.XLOOKUP(C37,[1]Planilha2!$C$3:$C$329,[1]Planilha2!$I$3:$I$329)</f>
        <v>11</v>
      </c>
      <c r="E37" s="4">
        <v>537775</v>
      </c>
      <c r="F37" s="7">
        <v>540854.33333333337</v>
      </c>
      <c r="G37" s="4">
        <v>543933.66666666663</v>
      </c>
      <c r="H37" s="4">
        <v>547013</v>
      </c>
      <c r="I37" s="4">
        <v>544546</v>
      </c>
      <c r="J37" s="4">
        <f>_xlfn.XLOOKUP(C37,[1]Planilha2!$C$3:$C$329,[1]Planilha2!$D$3:$D$329,"")</f>
        <v>27</v>
      </c>
      <c r="K37" s="4" t="s">
        <v>21</v>
      </c>
      <c r="L37" s="4">
        <f>_xlfn.XLOOKUP(C37,[1]Planilha2!$C$3:$C$329,[1]Planilha2!$J$3:$J$329,"")</f>
        <v>32</v>
      </c>
      <c r="M37" s="42">
        <v>0.76293781461798404</v>
      </c>
      <c r="N37" s="43">
        <v>0.73826791116073598</v>
      </c>
      <c r="O37" s="43">
        <v>0.72311676139323899</v>
      </c>
      <c r="P37" s="43">
        <v>0.71705603769011295</v>
      </c>
      <c r="Q37" s="67">
        <v>0.91684353036920596</v>
      </c>
      <c r="R37" s="67">
        <v>0.92944859838914196</v>
      </c>
      <c r="S37" s="67">
        <v>0.96192504410770696</v>
      </c>
      <c r="T37" s="49">
        <v>1450.28152416903</v>
      </c>
      <c r="U37" s="49">
        <v>1300.7710943612001</v>
      </c>
      <c r="V37" s="49">
        <v>1160.5446887579999</v>
      </c>
      <c r="W37" s="49">
        <v>974.23459362026097</v>
      </c>
      <c r="X37" s="49">
        <v>906.06381571070199</v>
      </c>
      <c r="Y37" s="4"/>
      <c r="Z37" s="69">
        <v>11.3349151596857</v>
      </c>
      <c r="AA37" s="69">
        <v>11.6101168336761</v>
      </c>
      <c r="AB37" s="69">
        <v>10.6439192033833</v>
      </c>
      <c r="AC37" s="69">
        <v>7.7347576748632996</v>
      </c>
      <c r="AD37" s="70">
        <v>8.2249029466748507</v>
      </c>
    </row>
    <row r="38" spans="1:30" ht="25.5" x14ac:dyDescent="0.25">
      <c r="A38" s="2">
        <v>79</v>
      </c>
      <c r="B38" s="3" t="s">
        <v>57</v>
      </c>
      <c r="C38" s="4" t="s">
        <v>58</v>
      </c>
      <c r="D38" s="4">
        <f>_xlfn.XLOOKUP(C38,[1]Planilha2!$C$3:$C$329,[1]Planilha2!$I$3:$I$329)</f>
        <v>11</v>
      </c>
      <c r="E38" s="4">
        <v>2570822</v>
      </c>
      <c r="F38" s="7">
        <v>2524064.0000000005</v>
      </c>
      <c r="G38" s="4">
        <v>2477305.9999999995</v>
      </c>
      <c r="H38" s="4">
        <v>2430548</v>
      </c>
      <c r="I38" s="4">
        <v>2408835</v>
      </c>
      <c r="J38" s="4">
        <f>_xlfn.XLOOKUP(C38,[1]Planilha2!$C$3:$C$329,[1]Planilha2!$D$3:$D$329,"")</f>
        <v>12</v>
      </c>
      <c r="K38" s="4" t="s">
        <v>21</v>
      </c>
      <c r="L38" s="4">
        <f>_xlfn.XLOOKUP(C38,[1]Planilha2!$C$3:$C$329,[1]Planilha2!$J$3:$J$329,"")</f>
        <v>41</v>
      </c>
      <c r="M38" s="42">
        <v>0.75646136839900502</v>
      </c>
      <c r="N38" s="43">
        <v>0.73124819738323299</v>
      </c>
      <c r="O38" s="43">
        <v>0.72324392388054004</v>
      </c>
      <c r="P38" s="43">
        <v>0.70842936801399903</v>
      </c>
      <c r="Q38" s="67">
        <v>0.84670888286173296</v>
      </c>
      <c r="R38" s="67">
        <v>0.96973550282712995</v>
      </c>
      <c r="S38" s="67">
        <v>0.99558749417041503</v>
      </c>
      <c r="T38" s="49">
        <v>1729.21269993022</v>
      </c>
      <c r="U38" s="49">
        <v>1600.1374108831401</v>
      </c>
      <c r="V38" s="49">
        <v>1544.5147657536099</v>
      </c>
      <c r="W38" s="49">
        <v>1373.22112908694</v>
      </c>
      <c r="X38" s="49">
        <v>1193.89217435814</v>
      </c>
      <c r="Y38" s="4"/>
      <c r="Z38" s="69">
        <v>19.985790926015099</v>
      </c>
      <c r="AA38" s="69">
        <v>18.354989810084099</v>
      </c>
      <c r="AB38" s="69">
        <v>15.843110620972899</v>
      </c>
      <c r="AC38" s="69">
        <v>14.292028793506599</v>
      </c>
      <c r="AD38" s="70">
        <v>12.2252200752646</v>
      </c>
    </row>
    <row r="39" spans="1:30" x14ac:dyDescent="0.25">
      <c r="A39" s="2">
        <v>80</v>
      </c>
      <c r="B39" s="3" t="s">
        <v>319</v>
      </c>
      <c r="C39" s="4" t="s">
        <v>320</v>
      </c>
      <c r="D39" s="4">
        <f>_xlfn.XLOOKUP(C39,[1]Planilha2!$C$3:$C$329,[1]Planilha2!$I$3:$I$329)</f>
        <v>10</v>
      </c>
      <c r="E39" s="4">
        <v>280069</v>
      </c>
      <c r="F39" s="7">
        <v>278938</v>
      </c>
      <c r="G39" s="4">
        <v>277807</v>
      </c>
      <c r="H39" s="4">
        <v>276676</v>
      </c>
      <c r="I39" s="4">
        <v>275022</v>
      </c>
      <c r="J39" s="4">
        <f>_xlfn.XLOOKUP(C39,[1]Planilha2!$C$3:$C$329,[1]Planilha2!$D$3:$D$329,"")</f>
        <v>21</v>
      </c>
      <c r="K39" s="4" t="s">
        <v>21</v>
      </c>
      <c r="L39" s="4">
        <f>_xlfn.XLOOKUP(C39,[1]Planilha2!$C$3:$C$329,[1]Planilha2!$J$3:$J$329,"")</f>
        <v>12</v>
      </c>
      <c r="M39" s="42">
        <v>0.80587963729096301</v>
      </c>
      <c r="N39" s="43">
        <v>0.79152586399910696</v>
      </c>
      <c r="O39" s="43">
        <v>0.77140535210860295</v>
      </c>
      <c r="P39" s="43">
        <v>0.77656072786904295</v>
      </c>
      <c r="Q39" s="67">
        <v>0.93660396666270695</v>
      </c>
      <c r="R39" s="67">
        <v>0.93468052484878605</v>
      </c>
      <c r="S39" s="67">
        <v>0.96889101582513504</v>
      </c>
      <c r="T39" s="49">
        <v>1752.13783639032</v>
      </c>
      <c r="U39" s="49">
        <v>1558.10372570249</v>
      </c>
      <c r="V39" s="49">
        <v>1384.70150393379</v>
      </c>
      <c r="W39" s="49">
        <v>1213.3181729170601</v>
      </c>
      <c r="X39" s="49">
        <v>1065.65826402979</v>
      </c>
      <c r="Y39" s="4"/>
      <c r="Z39" s="69">
        <v>20.603679807475999</v>
      </c>
      <c r="AA39" s="69">
        <v>18.380819393557001</v>
      </c>
      <c r="AB39" s="69">
        <v>16.429262041633201</v>
      </c>
      <c r="AC39" s="69">
        <v>14.211543466003601</v>
      </c>
      <c r="AD39" s="70">
        <v>13.2679203845511</v>
      </c>
    </row>
    <row r="40" spans="1:30" ht="25.5" x14ac:dyDescent="0.25">
      <c r="A40" s="2">
        <v>81</v>
      </c>
      <c r="B40" s="3" t="s">
        <v>59</v>
      </c>
      <c r="C40" s="4" t="s">
        <v>60</v>
      </c>
      <c r="D40" s="4">
        <f>_xlfn.XLOOKUP(C40,[1]Planilha2!$C$3:$C$329,[1]Planilha2!$I$3:$I$329)</f>
        <v>8</v>
      </c>
      <c r="E40" s="4">
        <v>335730</v>
      </c>
      <c r="F40" s="7">
        <v>343428.66666666669</v>
      </c>
      <c r="G40" s="4">
        <v>351127.33333333331</v>
      </c>
      <c r="H40" s="4">
        <v>358826</v>
      </c>
      <c r="I40" s="4">
        <v>356301</v>
      </c>
      <c r="J40" s="4">
        <f>_xlfn.XLOOKUP(C40,[1]Planilha2!$C$3:$C$329,[1]Planilha2!$D$3:$D$329,"")</f>
        <v>22</v>
      </c>
      <c r="K40" s="4" t="s">
        <v>21</v>
      </c>
      <c r="L40" s="4">
        <f>_xlfn.XLOOKUP(C40,[1]Planilha2!$C$3:$C$329,[1]Planilha2!$J$3:$J$329,"")</f>
        <v>4</v>
      </c>
      <c r="M40" s="42">
        <v>0.74847003084580399</v>
      </c>
      <c r="N40" s="43">
        <v>0.71332644083532804</v>
      </c>
      <c r="O40" s="43">
        <v>0.69010145195721595</v>
      </c>
      <c r="P40" s="43">
        <v>0.68864351573529103</v>
      </c>
      <c r="Q40" s="67">
        <v>0.84137302032880801</v>
      </c>
      <c r="R40" s="67">
        <v>0.94129609078188203</v>
      </c>
      <c r="S40" s="67">
        <v>0.91450849520876598</v>
      </c>
      <c r="T40" s="49">
        <v>1750.7372626813201</v>
      </c>
      <c r="U40" s="49">
        <v>1430.3926680940999</v>
      </c>
      <c r="V40" s="49">
        <v>1199.3045960629699</v>
      </c>
      <c r="W40" s="49">
        <v>1015.31906910313</v>
      </c>
      <c r="X40" s="49">
        <v>952.51552631061895</v>
      </c>
      <c r="Y40" s="4"/>
      <c r="Z40" s="69">
        <v>14.6410180800048</v>
      </c>
      <c r="AA40" s="69">
        <v>14.9409251411744</v>
      </c>
      <c r="AB40" s="69">
        <v>15.212344619520699</v>
      </c>
      <c r="AC40" s="69">
        <v>10.0722996661334</v>
      </c>
      <c r="AD40" s="70">
        <v>7.7865961644789099</v>
      </c>
    </row>
    <row r="41" spans="1:30" ht="25.5" x14ac:dyDescent="0.25">
      <c r="A41" s="2">
        <v>82</v>
      </c>
      <c r="B41" s="3" t="s">
        <v>61</v>
      </c>
      <c r="C41" s="4" t="s">
        <v>62</v>
      </c>
      <c r="D41" s="4">
        <f>_xlfn.XLOOKUP(C41,[1]Planilha2!$C$3:$C$329,[1]Planilha2!$I$3:$I$329)</f>
        <v>6</v>
      </c>
      <c r="E41" s="4">
        <v>208035</v>
      </c>
      <c r="F41" s="7">
        <v>212304</v>
      </c>
      <c r="G41" s="4">
        <v>216573</v>
      </c>
      <c r="H41" s="4">
        <v>220842</v>
      </c>
      <c r="I41" s="4">
        <v>219130</v>
      </c>
      <c r="J41" s="4">
        <f>_xlfn.XLOOKUP(C41,[1]Planilha2!$C$3:$C$329,[1]Planilha2!$D$3:$D$329,"")</f>
        <v>8</v>
      </c>
      <c r="K41" s="4" t="s">
        <v>21</v>
      </c>
      <c r="L41" s="4">
        <f>_xlfn.XLOOKUP(C41,[1]Planilha2!$C$3:$C$329,[1]Planilha2!$J$3:$J$329,"")</f>
        <v>26</v>
      </c>
      <c r="M41" s="42">
        <v>0.666619120066823</v>
      </c>
      <c r="N41" s="43">
        <v>0.649491767825783</v>
      </c>
      <c r="O41" s="43">
        <v>0.61243139439056005</v>
      </c>
      <c r="P41" s="43">
        <v>0.60743064710445804</v>
      </c>
      <c r="Q41" s="67">
        <v>0.68374087720999399</v>
      </c>
      <c r="R41" s="67">
        <v>0.87678168300449899</v>
      </c>
      <c r="S41" s="67">
        <v>0.84644448553913298</v>
      </c>
      <c r="T41" s="49">
        <v>1638.21035359435</v>
      </c>
      <c r="U41" s="49">
        <v>1369.3973311540699</v>
      </c>
      <c r="V41" s="49">
        <v>1174.7980894509799</v>
      </c>
      <c r="W41" s="49">
        <v>1011.89355367186</v>
      </c>
      <c r="X41" s="49">
        <v>904.32632524072505</v>
      </c>
      <c r="Y41" s="4"/>
      <c r="Z41" s="69">
        <v>10.047871752349399</v>
      </c>
      <c r="AA41" s="69">
        <v>10.132710641344501</v>
      </c>
      <c r="AB41" s="69">
        <v>8.96365197877852</v>
      </c>
      <c r="AC41" s="69">
        <v>6.8455592686173796</v>
      </c>
      <c r="AD41" s="70">
        <v>6.3101674804910299</v>
      </c>
    </row>
    <row r="42" spans="1:30" ht="25.5" x14ac:dyDescent="0.25">
      <c r="A42" s="2">
        <v>83</v>
      </c>
      <c r="B42" s="3" t="s">
        <v>321</v>
      </c>
      <c r="C42" s="4" t="s">
        <v>322</v>
      </c>
      <c r="D42" s="4">
        <f>_xlfn.XLOOKUP(C42,[1]Planilha2!$C$3:$C$329,[1]Planilha2!$I$3:$I$329)</f>
        <v>35</v>
      </c>
      <c r="E42" s="4">
        <v>495503</v>
      </c>
      <c r="F42" s="7">
        <v>489512.33333333331</v>
      </c>
      <c r="G42" s="4">
        <v>483521.66666666669</v>
      </c>
      <c r="H42" s="4">
        <v>477531</v>
      </c>
      <c r="I42" s="4">
        <v>475104</v>
      </c>
      <c r="J42" s="4">
        <f>_xlfn.XLOOKUP(C42,[1]Planilha2!$C$3:$C$329,[1]Planilha2!$D$3:$D$329,"")</f>
        <v>20</v>
      </c>
      <c r="K42" s="4" t="s">
        <v>21</v>
      </c>
      <c r="L42" s="4">
        <f>_xlfn.XLOOKUP(C42,[1]Planilha2!$C$3:$C$329,[1]Planilha2!$J$3:$J$329,"")</f>
        <v>4</v>
      </c>
      <c r="M42" s="42">
        <v>0.67672977582451099</v>
      </c>
      <c r="N42" s="43">
        <v>0.66886342266634002</v>
      </c>
      <c r="O42" s="43">
        <v>0.64360074780485499</v>
      </c>
      <c r="P42" s="43">
        <v>0.63634425031151098</v>
      </c>
      <c r="Q42" s="67">
        <v>0.68242554466707805</v>
      </c>
      <c r="R42" s="67">
        <v>0.82384141786131604</v>
      </c>
      <c r="S42" s="67">
        <v>0.94993715435020198</v>
      </c>
      <c r="T42" s="49">
        <v>1561.7723005309799</v>
      </c>
      <c r="U42" s="49">
        <v>1472.10460098724</v>
      </c>
      <c r="V42" s="49">
        <v>1294.8364927390401</v>
      </c>
      <c r="W42" s="49">
        <v>1121.1884972912801</v>
      </c>
      <c r="X42" s="49">
        <v>1028.10379245386</v>
      </c>
      <c r="Y42" s="4"/>
      <c r="Z42" s="69">
        <v>16.811147460257601</v>
      </c>
      <c r="AA42" s="69">
        <v>16.0200274150396</v>
      </c>
      <c r="AB42" s="69">
        <v>13.6458745385419</v>
      </c>
      <c r="AC42" s="69">
        <v>12.5818889244887</v>
      </c>
      <c r="AD42" s="70">
        <v>12.4119582238836</v>
      </c>
    </row>
    <row r="43" spans="1:30" x14ac:dyDescent="0.25">
      <c r="A43" s="2">
        <v>118</v>
      </c>
      <c r="B43" s="3" t="s">
        <v>323</v>
      </c>
      <c r="C43" s="4" t="s">
        <v>324</v>
      </c>
      <c r="D43" s="4">
        <f>_xlfn.XLOOKUP(C43,[1]Planilha2!$C$3:$C$329,[1]Planilha2!$I$3:$I$329)</f>
        <v>26</v>
      </c>
      <c r="E43" s="4">
        <v>455718</v>
      </c>
      <c r="F43" s="7">
        <v>458312</v>
      </c>
      <c r="G43" s="4">
        <v>460906</v>
      </c>
      <c r="H43" s="4">
        <v>463500</v>
      </c>
      <c r="I43" s="4">
        <v>459612</v>
      </c>
      <c r="J43" s="4">
        <f>_xlfn.XLOOKUP(C43,[1]Planilha2!$C$3:$C$329,[1]Planilha2!$D$3:$D$329,"")</f>
        <v>14</v>
      </c>
      <c r="K43" s="4" t="s">
        <v>21</v>
      </c>
      <c r="L43" s="4">
        <f>_xlfn.XLOOKUP(C43,[1]Planilha2!$C$3:$C$329,[1]Planilha2!$J$3:$J$329,"")</f>
        <v>39</v>
      </c>
      <c r="M43" s="42">
        <v>0.68076952214503095</v>
      </c>
      <c r="N43" s="43">
        <v>0.64428652154669297</v>
      </c>
      <c r="O43" s="43">
        <v>0.61409086407767</v>
      </c>
      <c r="P43" s="43">
        <v>0.59586908718658305</v>
      </c>
      <c r="Q43" s="67">
        <v>0.59994981109669498</v>
      </c>
      <c r="R43" s="67">
        <v>0.73020136528200297</v>
      </c>
      <c r="S43" s="67">
        <v>0.84466033124614004</v>
      </c>
      <c r="T43" s="49">
        <v>1232.7317851171099</v>
      </c>
      <c r="U43" s="49">
        <v>1089.52947824481</v>
      </c>
      <c r="V43" s="49">
        <v>954.23446089513504</v>
      </c>
      <c r="W43" s="49">
        <v>756.05830884573902</v>
      </c>
      <c r="X43" s="49">
        <v>679.45018726665103</v>
      </c>
      <c r="Y43" s="4"/>
      <c r="Z43" s="69">
        <v>11.9131217112337</v>
      </c>
      <c r="AA43" s="69">
        <v>10.947099355897301</v>
      </c>
      <c r="AB43" s="69">
        <v>10.871268761960099</v>
      </c>
      <c r="AC43" s="69">
        <v>8.0890981661272896</v>
      </c>
      <c r="AD43" s="70">
        <v>7.2391016770667402</v>
      </c>
    </row>
    <row r="44" spans="1:30" x14ac:dyDescent="0.25">
      <c r="A44" s="2">
        <v>119</v>
      </c>
      <c r="B44" s="3" t="s">
        <v>63</v>
      </c>
      <c r="C44" s="4" t="s">
        <v>64</v>
      </c>
      <c r="D44" s="4">
        <f>_xlfn.XLOOKUP(C44,[1]Planilha2!$C$3:$C$329,[1]Planilha2!$I$3:$I$329)</f>
        <v>31</v>
      </c>
      <c r="E44" s="4">
        <v>410727</v>
      </c>
      <c r="F44" s="7">
        <v>412471.66666666663</v>
      </c>
      <c r="G44" s="4">
        <v>414216.33333333337</v>
      </c>
      <c r="H44" s="4">
        <v>415961</v>
      </c>
      <c r="I44" s="4">
        <v>413585</v>
      </c>
      <c r="J44" s="4">
        <f>_xlfn.XLOOKUP(C44,[1]Planilha2!$C$3:$C$329,[1]Planilha2!$D$3:$D$329,"")</f>
        <v>16</v>
      </c>
      <c r="K44" s="4" t="s">
        <v>21</v>
      </c>
      <c r="L44" s="4">
        <f>_xlfn.XLOOKUP(C44,[1]Planilha2!$C$3:$C$329,[1]Planilha2!$J$3:$J$329,"")</f>
        <v>17</v>
      </c>
      <c r="M44" s="42">
        <v>0.70896922067374402</v>
      </c>
      <c r="N44" s="43">
        <v>0.680531078526599</v>
      </c>
      <c r="O44" s="43">
        <v>0.65174380386622799</v>
      </c>
      <c r="P44" s="43">
        <v>0.63899641500537996</v>
      </c>
      <c r="Q44" s="67">
        <v>0.66836259506908202</v>
      </c>
      <c r="R44" s="67">
        <v>0.71483375249165304</v>
      </c>
      <c r="S44" s="67">
        <v>0.80492028416713002</v>
      </c>
      <c r="T44" s="49">
        <v>1764.42551741181</v>
      </c>
      <c r="U44" s="49">
        <v>1448.3255283716501</v>
      </c>
      <c r="V44" s="49">
        <v>1145.6988772935899</v>
      </c>
      <c r="W44" s="49">
        <v>925.47419609049905</v>
      </c>
      <c r="X44" s="49">
        <v>855.35997158987902</v>
      </c>
      <c r="Y44" s="4"/>
      <c r="Z44" s="69">
        <v>12.834086875223701</v>
      </c>
      <c r="AA44" s="69">
        <v>11.139860919739901</v>
      </c>
      <c r="AB44" s="69">
        <v>10.137702601458701</v>
      </c>
      <c r="AC44" s="69">
        <v>7.9000675544101497</v>
      </c>
      <c r="AD44" s="70">
        <v>7.1104198653239399</v>
      </c>
    </row>
    <row r="45" spans="1:30" x14ac:dyDescent="0.25">
      <c r="A45" s="2">
        <v>120</v>
      </c>
      <c r="B45" s="3" t="s">
        <v>66</v>
      </c>
      <c r="C45" s="4" t="s">
        <v>67</v>
      </c>
      <c r="D45" s="4">
        <f>_xlfn.XLOOKUP(C45,[1]Planilha2!$C$3:$C$329,[1]Planilha2!$I$3:$I$329)</f>
        <v>26</v>
      </c>
      <c r="E45" s="4">
        <v>440989</v>
      </c>
      <c r="F45" s="7">
        <v>435525.33333333326</v>
      </c>
      <c r="G45" s="4">
        <v>430061.66666666674</v>
      </c>
      <c r="H45" s="4">
        <v>424598</v>
      </c>
      <c r="I45" s="4">
        <v>421471</v>
      </c>
      <c r="J45" s="4">
        <f>_xlfn.XLOOKUP(C45,[1]Planilha2!$C$3:$C$329,[1]Planilha2!$D$3:$D$329,"")</f>
        <v>17</v>
      </c>
      <c r="K45" s="4" t="s">
        <v>21</v>
      </c>
      <c r="L45" s="4">
        <f>_xlfn.XLOOKUP(C45,[1]Planilha2!$C$3:$C$329,[1]Planilha2!$J$3:$J$329,"")</f>
        <v>1</v>
      </c>
      <c r="M45" s="42">
        <v>0.651274687733435</v>
      </c>
      <c r="N45" s="43">
        <v>0.63130986780965503</v>
      </c>
      <c r="O45" s="43">
        <v>0.59044635231442399</v>
      </c>
      <c r="P45" s="43">
        <v>0.57281798842624998</v>
      </c>
      <c r="Q45" s="67">
        <v>0.39767494808884002</v>
      </c>
      <c r="R45" s="67">
        <v>0.46251153555497898</v>
      </c>
      <c r="S45" s="67">
        <v>0.76356485038967303</v>
      </c>
      <c r="T45" s="49">
        <v>1361.2708149636401</v>
      </c>
      <c r="U45" s="49">
        <v>1223.2734828437101</v>
      </c>
      <c r="V45" s="49">
        <v>1046.9626343663899</v>
      </c>
      <c r="W45" s="49">
        <v>829.24578898157802</v>
      </c>
      <c r="X45" s="49">
        <v>785.58885619651198</v>
      </c>
      <c r="Y45" s="4"/>
      <c r="Z45" s="69">
        <v>11.019583254911099</v>
      </c>
      <c r="AA45" s="69">
        <v>9.7618753137972796</v>
      </c>
      <c r="AB45" s="69">
        <v>8.5344783887582008</v>
      </c>
      <c r="AC45" s="69">
        <v>6.3434684101196899</v>
      </c>
      <c r="AD45" s="70">
        <v>5.8157904102536104</v>
      </c>
    </row>
    <row r="46" spans="1:30" x14ac:dyDescent="0.25">
      <c r="A46" s="2">
        <v>121</v>
      </c>
      <c r="B46" s="3" t="s">
        <v>68</v>
      </c>
      <c r="C46" s="4" t="s">
        <v>69</v>
      </c>
      <c r="D46" s="4">
        <f>_xlfn.XLOOKUP(C46,[1]Planilha2!$C$3:$C$329,[1]Planilha2!$I$3:$I$329)</f>
        <v>19</v>
      </c>
      <c r="E46" s="4">
        <v>318635</v>
      </c>
      <c r="F46" s="7">
        <v>311015.33333333337</v>
      </c>
      <c r="G46" s="4">
        <v>303395.66666666663</v>
      </c>
      <c r="H46" s="4">
        <v>295776</v>
      </c>
      <c r="I46" s="4">
        <v>292307</v>
      </c>
      <c r="J46" s="4">
        <f>_xlfn.XLOOKUP(C46,[1]Planilha2!$C$3:$C$329,[1]Planilha2!$D$3:$D$329,"")</f>
        <v>8</v>
      </c>
      <c r="K46" s="4" t="s">
        <v>21</v>
      </c>
      <c r="L46" s="4">
        <f>_xlfn.XLOOKUP(C46,[1]Planilha2!$C$3:$C$329,[1]Planilha2!$J$3:$J$329,"")</f>
        <v>6</v>
      </c>
      <c r="M46" s="42">
        <v>0.681071964833459</v>
      </c>
      <c r="N46" s="43">
        <v>0.64845549727693297</v>
      </c>
      <c r="O46" s="43">
        <v>0.61956240026236098</v>
      </c>
      <c r="P46" s="43">
        <v>0.604055425289165</v>
      </c>
      <c r="Q46" s="67">
        <v>0.53901149434127305</v>
      </c>
      <c r="R46" s="67">
        <v>0.83756124620545003</v>
      </c>
      <c r="S46" s="67">
        <v>0.97265669010873601</v>
      </c>
      <c r="T46" s="49">
        <v>1557.02394310104</v>
      </c>
      <c r="U46" s="49">
        <v>1409.18783118946</v>
      </c>
      <c r="V46" s="49">
        <v>1256.4700033839199</v>
      </c>
      <c r="W46" s="49">
        <v>1043.2534662717701</v>
      </c>
      <c r="X46" s="49">
        <v>1119.4588940737001</v>
      </c>
      <c r="Y46" s="4"/>
      <c r="Z46" s="69">
        <v>10.549145574089501</v>
      </c>
      <c r="AA46" s="69">
        <v>10.1839866416018</v>
      </c>
      <c r="AB46" s="69">
        <v>6.1834007736871701</v>
      </c>
      <c r="AC46" s="69">
        <v>4.4723642215730797</v>
      </c>
      <c r="AD46" s="70">
        <v>3.37370299034919</v>
      </c>
    </row>
    <row r="47" spans="1:30" x14ac:dyDescent="0.25">
      <c r="A47" s="2">
        <v>133</v>
      </c>
      <c r="B47" s="3" t="s">
        <v>325</v>
      </c>
      <c r="C47" s="4" t="s">
        <v>326</v>
      </c>
      <c r="D47" s="4">
        <f>_xlfn.XLOOKUP(C47,[1]Planilha2!$C$3:$C$329,[1]Planilha2!$I$3:$I$329)</f>
        <v>28</v>
      </c>
      <c r="E47" s="4">
        <v>150705</v>
      </c>
      <c r="F47" s="7">
        <v>152528.66666666666</v>
      </c>
      <c r="G47" s="4">
        <v>154352.33333333334</v>
      </c>
      <c r="H47" s="4">
        <v>156176</v>
      </c>
      <c r="I47" s="4">
        <v>155784</v>
      </c>
      <c r="J47" s="4">
        <f>_xlfn.XLOOKUP(C47,[1]Planilha2!$C$3:$C$329,[1]Planilha2!$D$3:$D$329,"")</f>
        <v>9</v>
      </c>
      <c r="K47" s="4" t="s">
        <v>21</v>
      </c>
      <c r="L47" s="4">
        <f>_xlfn.XLOOKUP(C47,[1]Planilha2!$C$3:$C$329,[1]Planilha2!$J$3:$J$329,"")</f>
        <v>1</v>
      </c>
      <c r="M47" s="42">
        <v>0.50759968377528997</v>
      </c>
      <c r="N47" s="43">
        <v>0.48434920733300701</v>
      </c>
      <c r="O47" s="43">
        <v>0.47655108723491402</v>
      </c>
      <c r="P47" s="43">
        <v>0.44721393211112798</v>
      </c>
      <c r="Q47" s="67">
        <v>0.20088819583766099</v>
      </c>
      <c r="R47" s="67">
        <v>0.73417362290171595</v>
      </c>
      <c r="S47" s="67">
        <v>0.59305103345808396</v>
      </c>
      <c r="T47" s="49">
        <v>1468.88220337746</v>
      </c>
      <c r="U47" s="49">
        <v>1236.6891810064101</v>
      </c>
      <c r="V47" s="49">
        <v>998.80319282507298</v>
      </c>
      <c r="W47" s="49">
        <v>820.11702079704901</v>
      </c>
      <c r="X47" s="49">
        <v>705.08320835259099</v>
      </c>
      <c r="Y47" s="4"/>
      <c r="Z47" s="69">
        <v>15.045864437145401</v>
      </c>
      <c r="AA47" s="69">
        <v>10.8293741504329</v>
      </c>
      <c r="AB47" s="69">
        <v>10.8422462029513</v>
      </c>
      <c r="AC47" s="69">
        <v>4.0770733019157896</v>
      </c>
      <c r="AD47" s="70">
        <v>4.1126431469213802</v>
      </c>
    </row>
    <row r="48" spans="1:30" ht="25.5" x14ac:dyDescent="0.25">
      <c r="A48" s="2">
        <v>134</v>
      </c>
      <c r="B48" s="3" t="s">
        <v>327</v>
      </c>
      <c r="C48" s="4" t="s">
        <v>328</v>
      </c>
      <c r="D48" s="4">
        <f>_xlfn.XLOOKUP(C48,[1]Planilha2!$C$3:$C$329,[1]Planilha2!$I$3:$I$329)</f>
        <v>24</v>
      </c>
      <c r="E48" s="4">
        <v>38584</v>
      </c>
      <c r="F48" s="7">
        <v>38052.333333333336</v>
      </c>
      <c r="G48" s="4">
        <v>37520.666666666664</v>
      </c>
      <c r="H48" s="4">
        <v>36989</v>
      </c>
      <c r="I48" s="4">
        <v>37066</v>
      </c>
      <c r="J48" s="4">
        <f>_xlfn.XLOOKUP(C48,[1]Planilha2!$C$3:$C$329,[1]Planilha2!$D$3:$D$329,"")</f>
        <v>3</v>
      </c>
      <c r="K48" s="4" t="s">
        <v>21</v>
      </c>
      <c r="L48" s="4">
        <f>_xlfn.XLOOKUP(C48,[1]Planilha2!$C$3:$C$329,[1]Planilha2!$J$3:$J$329,"")</f>
        <v>1</v>
      </c>
      <c r="M48" s="42">
        <v>0.44743659871930802</v>
      </c>
      <c r="N48" s="43">
        <v>0.44890726710612799</v>
      </c>
      <c r="O48" s="43">
        <v>0.43110313606748002</v>
      </c>
      <c r="P48" s="43">
        <v>0.42378108509145801</v>
      </c>
      <c r="Q48" s="67">
        <v>0.158051663083456</v>
      </c>
      <c r="R48" s="67">
        <v>0.73139749915602104</v>
      </c>
      <c r="S48" s="67">
        <v>0.56107344841065399</v>
      </c>
      <c r="T48" s="49">
        <v>1793.12053986108</v>
      </c>
      <c r="U48" s="49">
        <v>1546.57652215808</v>
      </c>
      <c r="V48" s="49">
        <v>1243.59597492937</v>
      </c>
      <c r="W48" s="49">
        <v>936.34991700235196</v>
      </c>
      <c r="X48" s="49">
        <v>851.25918685587897</v>
      </c>
      <c r="Y48" s="4"/>
      <c r="Z48" s="69">
        <v>12.430463404519999</v>
      </c>
      <c r="AA48" s="69">
        <v>11.2812267316065</v>
      </c>
      <c r="AB48" s="69">
        <v>27.012872905598702</v>
      </c>
      <c r="AC48" s="69">
        <v>7.1789991619129996</v>
      </c>
      <c r="AD48" s="70">
        <v>6.8961851831867502</v>
      </c>
    </row>
    <row r="49" spans="1:30" ht="25.5" x14ac:dyDescent="0.25">
      <c r="A49" s="2">
        <v>135</v>
      </c>
      <c r="B49" s="3" t="s">
        <v>329</v>
      </c>
      <c r="C49" s="4" t="s">
        <v>330</v>
      </c>
      <c r="D49" s="4">
        <f>_xlfn.XLOOKUP(C49,[1]Planilha2!$C$3:$C$329,[1]Planilha2!$I$3:$I$329)</f>
        <v>14</v>
      </c>
      <c r="E49" s="4">
        <v>273833</v>
      </c>
      <c r="F49" s="7">
        <v>275868.33333333337</v>
      </c>
      <c r="G49" s="4">
        <v>277903.66666666663</v>
      </c>
      <c r="H49" s="4">
        <v>279939</v>
      </c>
      <c r="I49" s="4">
        <v>279182</v>
      </c>
      <c r="J49" s="4">
        <f>_xlfn.XLOOKUP(C49,[1]Planilha2!$C$3:$C$329,[1]Planilha2!$D$3:$D$329,"")</f>
        <v>15</v>
      </c>
      <c r="K49" s="4" t="s">
        <v>21</v>
      </c>
      <c r="L49" s="4">
        <f>_xlfn.XLOOKUP(C49,[1]Planilha2!$C$3:$C$329,[1]Planilha2!$J$3:$J$329,"")</f>
        <v>8</v>
      </c>
      <c r="M49" s="42">
        <v>0.64024026498148301</v>
      </c>
      <c r="N49" s="43">
        <v>0.62329113937563496</v>
      </c>
      <c r="O49" s="43">
        <v>0.584880680076731</v>
      </c>
      <c r="P49" s="43">
        <v>0.57692677035052398</v>
      </c>
      <c r="Q49" s="67">
        <v>0.24301597687927801</v>
      </c>
      <c r="R49" s="67">
        <v>0.81679396637443902</v>
      </c>
      <c r="S49" s="67">
        <v>0.72428621320817399</v>
      </c>
      <c r="T49" s="49">
        <v>1899.5796634445101</v>
      </c>
      <c r="U49" s="49">
        <v>1583.9603193673299</v>
      </c>
      <c r="V49" s="49">
        <v>1335.3942848541001</v>
      </c>
      <c r="W49" s="49">
        <v>1055.8430653820999</v>
      </c>
      <c r="X49" s="49">
        <v>903.56560379967198</v>
      </c>
      <c r="Y49" s="4"/>
      <c r="Z49" s="69">
        <v>9.8526583720734902</v>
      </c>
      <c r="AA49" s="69">
        <v>7.4355544009521397</v>
      </c>
      <c r="AB49" s="69">
        <v>4.9907150079583902</v>
      </c>
      <c r="AC49" s="69">
        <v>4.2247811130282003</v>
      </c>
      <c r="AD49" s="70">
        <v>4.0226554720576502</v>
      </c>
    </row>
    <row r="50" spans="1:30" x14ac:dyDescent="0.25">
      <c r="A50" s="2">
        <v>136</v>
      </c>
      <c r="B50" s="3" t="s">
        <v>331</v>
      </c>
      <c r="C50" s="4" t="s">
        <v>332</v>
      </c>
      <c r="D50" s="4">
        <f>_xlfn.XLOOKUP(C50,[1]Planilha2!$C$3:$C$329,[1]Planilha2!$I$3:$I$329)</f>
        <v>29</v>
      </c>
      <c r="E50" s="4">
        <v>223070</v>
      </c>
      <c r="F50" s="7">
        <v>226002</v>
      </c>
      <c r="G50" s="4">
        <v>228934</v>
      </c>
      <c r="H50" s="4">
        <v>231866</v>
      </c>
      <c r="I50" s="4">
        <v>231263</v>
      </c>
      <c r="J50" s="4">
        <f>_xlfn.XLOOKUP(C50,[1]Planilha2!$C$3:$C$329,[1]Planilha2!$D$3:$D$329,"")</f>
        <v>15</v>
      </c>
      <c r="K50" s="4" t="s">
        <v>21</v>
      </c>
      <c r="L50" s="4">
        <f>_xlfn.XLOOKUP(C50,[1]Planilha2!$C$3:$C$329,[1]Planilha2!$J$3:$J$329,"")</f>
        <v>1</v>
      </c>
      <c r="M50" s="42">
        <v>0.55510012433518297</v>
      </c>
      <c r="N50" s="43">
        <v>0.52360587170683803</v>
      </c>
      <c r="O50" s="43">
        <v>0.50558655818446896</v>
      </c>
      <c r="P50" s="43">
        <v>0.473255021771749</v>
      </c>
      <c r="Q50" s="67">
        <v>0.25026335887198897</v>
      </c>
      <c r="R50" s="67">
        <v>0.64058546975693098</v>
      </c>
      <c r="S50" s="67">
        <v>0.67679884056831496</v>
      </c>
      <c r="T50" s="49">
        <v>1718.5271969337</v>
      </c>
      <c r="U50" s="49">
        <v>1402.8830711232599</v>
      </c>
      <c r="V50" s="49">
        <v>1146.91052552264</v>
      </c>
      <c r="W50" s="49">
        <v>943.00546091276897</v>
      </c>
      <c r="X50" s="49">
        <v>893.19700073077001</v>
      </c>
      <c r="Y50" s="4"/>
      <c r="Z50" s="69">
        <v>6.1704218406778102</v>
      </c>
      <c r="AA50" s="69">
        <v>5.0341634144830598</v>
      </c>
      <c r="AB50" s="69">
        <v>4.12194344221479</v>
      </c>
      <c r="AC50" s="69">
        <v>5.1049916762267902</v>
      </c>
      <c r="AD50" s="70">
        <v>2.8398662994080301</v>
      </c>
    </row>
    <row r="51" spans="1:30" ht="25.5" x14ac:dyDescent="0.25">
      <c r="A51" s="2">
        <v>137</v>
      </c>
      <c r="B51" s="3" t="s">
        <v>333</v>
      </c>
      <c r="C51" s="4" t="s">
        <v>334</v>
      </c>
      <c r="D51" s="4">
        <f>_xlfn.XLOOKUP(C51,[1]Planilha2!$C$3:$C$329,[1]Planilha2!$I$3:$I$329)</f>
        <v>10</v>
      </c>
      <c r="E51" s="4">
        <v>269539</v>
      </c>
      <c r="F51" s="7">
        <v>280120.00000000006</v>
      </c>
      <c r="G51" s="4">
        <v>290700.99999999994</v>
      </c>
      <c r="H51" s="4">
        <v>301282</v>
      </c>
      <c r="I51" s="4">
        <v>301199</v>
      </c>
      <c r="J51" s="4">
        <f>_xlfn.XLOOKUP(C51,[1]Planilha2!$C$3:$C$329,[1]Planilha2!$D$3:$D$329,"")</f>
        <v>19</v>
      </c>
      <c r="K51" s="4" t="s">
        <v>21</v>
      </c>
      <c r="L51" s="4">
        <f>_xlfn.XLOOKUP(C51,[1]Planilha2!$C$3:$C$329,[1]Planilha2!$J$3:$J$329,"")</f>
        <v>32</v>
      </c>
      <c r="M51" s="42">
        <v>0.55445490539768705</v>
      </c>
      <c r="N51" s="43">
        <v>0.54461724727469096</v>
      </c>
      <c r="O51" s="43">
        <v>0.50224419812667198</v>
      </c>
      <c r="P51" s="43">
        <v>0.48622972055020097</v>
      </c>
      <c r="Q51" s="67">
        <v>0.499472309922108</v>
      </c>
      <c r="R51" s="67">
        <v>0.67145290177880401</v>
      </c>
      <c r="S51" s="67">
        <v>0.66679679051671703</v>
      </c>
      <c r="T51" s="49">
        <v>1641.0692127298801</v>
      </c>
      <c r="U51" s="49">
        <v>1354.5214928959001</v>
      </c>
      <c r="V51" s="49">
        <v>1142.62984959345</v>
      </c>
      <c r="W51" s="49">
        <v>896.28348065931596</v>
      </c>
      <c r="X51" s="49">
        <v>811.18122825773003</v>
      </c>
      <c r="Y51" s="4"/>
      <c r="Z51" s="69">
        <v>8.8024330430846707</v>
      </c>
      <c r="AA51" s="69">
        <v>7.1024061116664301</v>
      </c>
      <c r="AB51" s="69">
        <v>5.6478409087000099</v>
      </c>
      <c r="AC51" s="69">
        <v>5.7325827629928101</v>
      </c>
      <c r="AD51" s="70">
        <v>7.4455227274990996</v>
      </c>
    </row>
    <row r="52" spans="1:30" x14ac:dyDescent="0.25">
      <c r="A52" s="2">
        <v>138</v>
      </c>
      <c r="B52" s="3" t="s">
        <v>335</v>
      </c>
      <c r="C52" s="4" t="s">
        <v>336</v>
      </c>
      <c r="D52" s="4">
        <f>_xlfn.XLOOKUP(C52,[1]Planilha2!$C$3:$C$329,[1]Planilha2!$I$3:$I$329)</f>
        <v>7</v>
      </c>
      <c r="E52" s="4">
        <v>49142</v>
      </c>
      <c r="F52" s="7">
        <v>50287.999999999993</v>
      </c>
      <c r="G52" s="4">
        <v>51434.000000000007</v>
      </c>
      <c r="H52" s="4">
        <v>52580</v>
      </c>
      <c r="I52" s="4">
        <v>52411</v>
      </c>
      <c r="J52" s="4">
        <f>_xlfn.XLOOKUP(C52,[1]Planilha2!$C$3:$C$329,[1]Planilha2!$D$3:$D$329,"")</f>
        <v>5</v>
      </c>
      <c r="K52" s="4" t="s">
        <v>21</v>
      </c>
      <c r="L52" s="4">
        <f>_xlfn.XLOOKUP(C52,[1]Planilha2!$C$3:$C$329,[1]Planilha2!$J$3:$J$329,"")</f>
        <v>23</v>
      </c>
      <c r="M52" s="42">
        <v>0.55637776540460304</v>
      </c>
      <c r="N52" s="43">
        <v>0.54901587600938395</v>
      </c>
      <c r="O52" s="43">
        <v>0.53385613731456805</v>
      </c>
      <c r="P52" s="43">
        <v>0.49441070195188003</v>
      </c>
      <c r="Q52" s="67">
        <v>0.21124012909748399</v>
      </c>
      <c r="R52" s="67">
        <v>0.600362731526487</v>
      </c>
      <c r="S52" s="67">
        <v>0.47935695843216503</v>
      </c>
      <c r="T52" s="49">
        <v>1787.62089109112</v>
      </c>
      <c r="U52" s="49">
        <v>1328.5932001670401</v>
      </c>
      <c r="V52" s="49">
        <v>1191.8935065002399</v>
      </c>
      <c r="W52" s="49">
        <v>1035.67099087105</v>
      </c>
      <c r="X52" s="49">
        <v>900.77422812005102</v>
      </c>
      <c r="Y52" s="4"/>
      <c r="Z52" s="69">
        <v>6.5239713483374704</v>
      </c>
      <c r="AA52" s="69">
        <v>4.6372892141266302</v>
      </c>
      <c r="AB52" s="69">
        <v>4.7195434926313302</v>
      </c>
      <c r="AC52" s="69">
        <v>3.28729554963865</v>
      </c>
      <c r="AD52" s="70">
        <v>2.3865791532311902</v>
      </c>
    </row>
    <row r="53" spans="1:30" x14ac:dyDescent="0.25">
      <c r="A53" s="2">
        <v>139</v>
      </c>
      <c r="B53" s="3" t="s">
        <v>337</v>
      </c>
      <c r="C53" s="4" t="s">
        <v>338</v>
      </c>
      <c r="D53" s="4">
        <f>_xlfn.XLOOKUP(C53,[1]Planilha2!$C$3:$C$329,[1]Planilha2!$I$3:$I$329)</f>
        <v>19</v>
      </c>
      <c r="E53" s="4">
        <v>68502</v>
      </c>
      <c r="F53" s="7">
        <v>69410.666666666657</v>
      </c>
      <c r="G53" s="4">
        <v>70319.333333333343</v>
      </c>
      <c r="H53" s="4">
        <v>71228</v>
      </c>
      <c r="I53" s="4">
        <v>71150</v>
      </c>
      <c r="J53" s="4">
        <f>_xlfn.XLOOKUP(C53,[1]Planilha2!$C$3:$C$329,[1]Planilha2!$D$3:$D$329,"")</f>
        <v>6</v>
      </c>
      <c r="K53" s="4" t="s">
        <v>21</v>
      </c>
      <c r="L53" s="4">
        <f>_xlfn.XLOOKUP(C53,[1]Planilha2!$C$3:$C$329,[1]Planilha2!$J$3:$J$329,"")</f>
        <v>2</v>
      </c>
      <c r="M53" s="42">
        <v>0.61920017288409102</v>
      </c>
      <c r="N53" s="43">
        <v>0.58052662615307304</v>
      </c>
      <c r="O53" s="43">
        <v>0.53193324254506602</v>
      </c>
      <c r="P53" s="43">
        <v>0.53272807589599402</v>
      </c>
      <c r="Q53" s="67">
        <v>0.58043357161141096</v>
      </c>
      <c r="R53" s="67">
        <v>0.83986698821566397</v>
      </c>
      <c r="S53" s="67">
        <v>0.78942254809014101</v>
      </c>
      <c r="T53" s="49">
        <v>2228.4585947855498</v>
      </c>
      <c r="U53" s="49">
        <v>1016.12080587998</v>
      </c>
      <c r="V53" s="49">
        <v>819.13702518984803</v>
      </c>
      <c r="W53" s="49">
        <v>1140.91822864604</v>
      </c>
      <c r="X53" s="49">
        <v>949.57807617709102</v>
      </c>
      <c r="Y53" s="4"/>
      <c r="Z53" s="69">
        <v>11.765554290385699</v>
      </c>
      <c r="AA53" s="69">
        <v>8.0882381190210904</v>
      </c>
      <c r="AB53" s="69">
        <v>5.8182150001422102</v>
      </c>
      <c r="AC53" s="69">
        <v>4.3654742516987701</v>
      </c>
      <c r="AD53" s="70">
        <v>5.4737877723120203</v>
      </c>
    </row>
    <row r="54" spans="1:30" x14ac:dyDescent="0.25">
      <c r="A54" s="2">
        <v>140</v>
      </c>
      <c r="B54" s="3" t="s">
        <v>339</v>
      </c>
      <c r="C54" s="4" t="s">
        <v>340</v>
      </c>
      <c r="D54" s="4">
        <f>_xlfn.XLOOKUP(C54,[1]Planilha2!$C$3:$C$329,[1]Planilha2!$I$3:$I$329)</f>
        <v>28</v>
      </c>
      <c r="E54" s="4">
        <v>164148</v>
      </c>
      <c r="F54" s="7">
        <v>165733.33333333334</v>
      </c>
      <c r="G54" s="4">
        <v>167318.66666666666</v>
      </c>
      <c r="H54" s="4">
        <v>168904</v>
      </c>
      <c r="I54" s="4">
        <v>168391</v>
      </c>
      <c r="J54" s="4">
        <f>_xlfn.XLOOKUP(C54,[1]Planilha2!$C$3:$C$329,[1]Planilha2!$D$3:$D$329,"")</f>
        <v>14</v>
      </c>
      <c r="K54" s="4" t="s">
        <v>21</v>
      </c>
      <c r="L54" s="4">
        <f>_xlfn.XLOOKUP(C54,[1]Planilha2!$C$3:$C$329,[1]Planilha2!$J$3:$J$329,"")</f>
        <v>1</v>
      </c>
      <c r="M54" s="42">
        <v>0.583385917337088</v>
      </c>
      <c r="N54" s="43">
        <v>0.56118490027014301</v>
      </c>
      <c r="O54" s="43">
        <v>0.52570703535736296</v>
      </c>
      <c r="P54" s="43">
        <v>0.50393378684133905</v>
      </c>
      <c r="Q54" s="67">
        <v>0.27866800835132999</v>
      </c>
      <c r="R54" s="67">
        <v>0.691197005315207</v>
      </c>
      <c r="S54" s="67">
        <v>0.68799281670106505</v>
      </c>
      <c r="T54" s="49">
        <v>1468.7317562809201</v>
      </c>
      <c r="U54" s="49">
        <v>1565.2626978881699</v>
      </c>
      <c r="V54" s="49">
        <v>1356.8250980564001</v>
      </c>
      <c r="W54" s="49">
        <v>1041.8683253801</v>
      </c>
      <c r="X54" s="49">
        <v>939.82111353932203</v>
      </c>
      <c r="Y54" s="4"/>
      <c r="Z54" s="69">
        <v>7.7762872529668297</v>
      </c>
      <c r="AA54" s="69">
        <v>5.07573813354787</v>
      </c>
      <c r="AB54" s="69">
        <v>4.4392715696196499</v>
      </c>
      <c r="AC54" s="69">
        <v>3.75999976317908</v>
      </c>
      <c r="AD54" s="70">
        <v>4.7509130535479898</v>
      </c>
    </row>
    <row r="55" spans="1:30" x14ac:dyDescent="0.25">
      <c r="A55" s="2">
        <v>141</v>
      </c>
      <c r="B55" s="3" t="s">
        <v>341</v>
      </c>
      <c r="C55" s="4" t="s">
        <v>342</v>
      </c>
      <c r="D55" s="4">
        <f>_xlfn.XLOOKUP(C55,[1]Planilha2!$C$3:$C$329,[1]Planilha2!$I$3:$I$329)</f>
        <v>7</v>
      </c>
      <c r="E55" s="4">
        <v>129251</v>
      </c>
      <c r="F55" s="7">
        <v>130701.66666666667</v>
      </c>
      <c r="G55" s="4">
        <v>132152.33333333331</v>
      </c>
      <c r="H55" s="4">
        <v>133603</v>
      </c>
      <c r="I55" s="4">
        <v>133092</v>
      </c>
      <c r="J55" s="4">
        <f>_xlfn.XLOOKUP(C55,[1]Planilha2!$C$3:$C$329,[1]Planilha2!$D$3:$D$329,"")</f>
        <v>9</v>
      </c>
      <c r="K55" s="4" t="s">
        <v>21</v>
      </c>
      <c r="L55" s="4">
        <f>_xlfn.XLOOKUP(C55,[1]Planilha2!$C$3:$C$329,[1]Planilha2!$J$3:$J$329,"")</f>
        <v>1</v>
      </c>
      <c r="M55" s="42">
        <v>0.53842325423037196</v>
      </c>
      <c r="N55" s="43">
        <v>0.49618204193645199</v>
      </c>
      <c r="O55" s="43">
        <v>0.47757000965547203</v>
      </c>
      <c r="P55" s="43">
        <v>0.47407586932347601</v>
      </c>
      <c r="Q55" s="67">
        <v>0.655568646536699</v>
      </c>
      <c r="R55" s="67">
        <v>0.77923984568313798</v>
      </c>
      <c r="S55" s="67">
        <v>0.78118394731332796</v>
      </c>
      <c r="T55" s="49">
        <v>1814.29566780915</v>
      </c>
      <c r="U55" s="49">
        <v>1521.5142377424399</v>
      </c>
      <c r="V55" s="49">
        <v>1256.83372706246</v>
      </c>
      <c r="W55" s="49">
        <v>956.72737984925504</v>
      </c>
      <c r="X55" s="49">
        <v>897.09702837135205</v>
      </c>
      <c r="Y55" s="4"/>
      <c r="Z55" s="69">
        <v>7.8346473141406996</v>
      </c>
      <c r="AA55" s="69">
        <v>7.9592252075337004</v>
      </c>
      <c r="AB55" s="69">
        <v>4.0414874753125796</v>
      </c>
      <c r="AC55" s="69">
        <v>3.7823851260825001</v>
      </c>
      <c r="AD55" s="70">
        <v>3.2127024915096301</v>
      </c>
    </row>
    <row r="56" spans="1:30" ht="25.5" x14ac:dyDescent="0.25">
      <c r="A56" s="2">
        <v>142</v>
      </c>
      <c r="B56" s="3" t="s">
        <v>343</v>
      </c>
      <c r="C56" s="4" t="s">
        <v>344</v>
      </c>
      <c r="D56" s="4">
        <f>_xlfn.XLOOKUP(C56,[1]Planilha2!$C$3:$C$329,[1]Planilha2!$I$3:$I$329)</f>
        <v>19</v>
      </c>
      <c r="E56" s="4">
        <v>150286</v>
      </c>
      <c r="F56" s="7">
        <v>152393.00000000003</v>
      </c>
      <c r="G56" s="4">
        <v>154499.99999999997</v>
      </c>
      <c r="H56" s="4">
        <v>156607</v>
      </c>
      <c r="I56" s="4">
        <v>156475</v>
      </c>
      <c r="J56" s="4">
        <f>_xlfn.XLOOKUP(C56,[1]Planilha2!$C$3:$C$329,[1]Planilha2!$D$3:$D$329,"")</f>
        <v>14</v>
      </c>
      <c r="K56" s="4" t="s">
        <v>21</v>
      </c>
      <c r="L56" s="4">
        <f>_xlfn.XLOOKUP(C56,[1]Planilha2!$C$3:$C$329,[1]Planilha2!$J$3:$J$329,"")</f>
        <v>49</v>
      </c>
      <c r="M56" s="42">
        <v>0.53837811710511596</v>
      </c>
      <c r="N56" s="43">
        <v>0.49471714800431499</v>
      </c>
      <c r="O56" s="43">
        <v>0.481368449047616</v>
      </c>
      <c r="P56" s="43">
        <v>0.47268214347339799</v>
      </c>
      <c r="Q56" s="67">
        <v>0.65760265372168303</v>
      </c>
      <c r="R56" s="67">
        <v>0.77628150528586903</v>
      </c>
      <c r="S56" s="67">
        <v>0.78254362394821997</v>
      </c>
      <c r="T56" s="49">
        <v>1751.79368397589</v>
      </c>
      <c r="U56" s="49">
        <v>1516.9906093237</v>
      </c>
      <c r="V56" s="49">
        <v>1320.9184066666701</v>
      </c>
      <c r="W56" s="49">
        <v>993.46293920450603</v>
      </c>
      <c r="X56" s="49">
        <v>966.96098399105301</v>
      </c>
      <c r="Y56" s="4"/>
      <c r="Z56" s="69">
        <v>9.5725150712641192</v>
      </c>
      <c r="AA56" s="69">
        <v>8.4403745578865195</v>
      </c>
      <c r="AB56" s="69">
        <v>5.3824271844660201</v>
      </c>
      <c r="AC56" s="69">
        <v>4.9109235219370797</v>
      </c>
      <c r="AD56" s="70">
        <v>3.6723693880811599</v>
      </c>
    </row>
    <row r="57" spans="1:30" ht="25.5" x14ac:dyDescent="0.25">
      <c r="A57" s="2">
        <v>143</v>
      </c>
      <c r="B57" s="3" t="s">
        <v>345</v>
      </c>
      <c r="C57" s="4" t="s">
        <v>346</v>
      </c>
      <c r="D57" s="4">
        <f>_xlfn.XLOOKUP(C57,[1]Planilha2!$C$3:$C$329,[1]Planilha2!$I$3:$I$329)</f>
        <v>29</v>
      </c>
      <c r="E57" s="4">
        <v>150033</v>
      </c>
      <c r="F57" s="7">
        <v>155078</v>
      </c>
      <c r="G57" s="4">
        <v>160123</v>
      </c>
      <c r="H57" s="4">
        <v>165168</v>
      </c>
      <c r="I57" s="4">
        <v>165361</v>
      </c>
      <c r="J57" s="4">
        <f>_xlfn.XLOOKUP(C57,[1]Planilha2!$C$3:$C$329,[1]Planilha2!$D$3:$D$329,"")</f>
        <v>11</v>
      </c>
      <c r="K57" s="4" t="s">
        <v>21</v>
      </c>
      <c r="L57" s="4">
        <f>_xlfn.XLOOKUP(C57,[1]Planilha2!$C$3:$C$329,[1]Planilha2!$J$3:$J$329,"")</f>
        <v>1</v>
      </c>
      <c r="M57" s="42">
        <v>0.58008183709703098</v>
      </c>
      <c r="N57" s="43">
        <v>0.58199831421261605</v>
      </c>
      <c r="O57" s="43">
        <v>0.51974346846846797</v>
      </c>
      <c r="P57" s="43">
        <v>0.50100678878332905</v>
      </c>
      <c r="Q57" s="67">
        <v>0.49509531006372198</v>
      </c>
      <c r="R57" s="67">
        <v>0.71334804389958595</v>
      </c>
      <c r="S57" s="67">
        <v>0.68630724193276404</v>
      </c>
      <c r="T57" s="49">
        <v>1823.29050955456</v>
      </c>
      <c r="U57" s="49">
        <v>1467.99681278668</v>
      </c>
      <c r="V57" s="49">
        <v>1243.04436955757</v>
      </c>
      <c r="W57" s="49">
        <v>978.48788348832704</v>
      </c>
      <c r="X57" s="49">
        <v>854.63380851591398</v>
      </c>
      <c r="Y57" s="4"/>
      <c r="Z57" s="69">
        <v>8.5828917638119595</v>
      </c>
      <c r="AA57" s="69">
        <v>7.5761810185842</v>
      </c>
      <c r="AB57" s="69">
        <v>6.4931271584969101</v>
      </c>
      <c r="AC57" s="69">
        <v>7.4406483095999203</v>
      </c>
      <c r="AD57" s="70">
        <v>11.172156675395</v>
      </c>
    </row>
    <row r="58" spans="1:30" ht="25.5" x14ac:dyDescent="0.25">
      <c r="A58" s="2">
        <v>144</v>
      </c>
      <c r="B58" s="3" t="s">
        <v>347</v>
      </c>
      <c r="C58" s="4" t="s">
        <v>348</v>
      </c>
      <c r="D58" s="4">
        <f>_xlfn.XLOOKUP(C58,[1]Planilha2!$C$3:$C$329,[1]Planilha2!$I$3:$I$329)</f>
        <v>10</v>
      </c>
      <c r="E58" s="4">
        <v>113015</v>
      </c>
      <c r="F58" s="7">
        <v>112995.99999999999</v>
      </c>
      <c r="G58" s="4">
        <v>112977.00000000001</v>
      </c>
      <c r="H58" s="4">
        <v>112958</v>
      </c>
      <c r="I58" s="4">
        <v>111620</v>
      </c>
      <c r="J58" s="4">
        <f>_xlfn.XLOOKUP(C58,[1]Planilha2!$C$3:$C$329,[1]Planilha2!$D$3:$D$329,"")</f>
        <v>10</v>
      </c>
      <c r="K58" s="4" t="s">
        <v>21</v>
      </c>
      <c r="L58" s="4">
        <f>_xlfn.XLOOKUP(C58,[1]Planilha2!$C$3:$C$329,[1]Planilha2!$J$3:$J$329,"")</f>
        <v>2</v>
      </c>
      <c r="M58" s="42">
        <v>0.69680454086870303</v>
      </c>
      <c r="N58" s="43">
        <v>0.68040839757944804</v>
      </c>
      <c r="O58" s="43">
        <v>0.64591473379486197</v>
      </c>
      <c r="P58" s="43">
        <v>0.63340856746102803</v>
      </c>
      <c r="Q58" s="67">
        <v>0.86923909763344198</v>
      </c>
      <c r="R58" s="67">
        <v>0.86354489674889601</v>
      </c>
      <c r="S58" s="67">
        <v>0.93156210113562898</v>
      </c>
      <c r="T58" s="49">
        <v>2397.7080574260099</v>
      </c>
      <c r="U58" s="49">
        <v>2030.6280796665401</v>
      </c>
      <c r="V58" s="49">
        <v>1852.39627487601</v>
      </c>
      <c r="W58" s="49">
        <v>1581.3409937321801</v>
      </c>
      <c r="X58" s="49">
        <v>1375.35062954668</v>
      </c>
      <c r="Y58" s="4"/>
      <c r="Z58" s="69">
        <v>15.910011945317001</v>
      </c>
      <c r="AA58" s="69">
        <v>14.013726149598201</v>
      </c>
      <c r="AB58" s="69">
        <v>10.7528877559149</v>
      </c>
      <c r="AC58" s="69">
        <v>8.1017457816179501</v>
      </c>
      <c r="AD58" s="70">
        <v>6.8301290091381501</v>
      </c>
    </row>
    <row r="59" spans="1:30" x14ac:dyDescent="0.25">
      <c r="A59" s="2">
        <v>145</v>
      </c>
      <c r="B59" s="3" t="s">
        <v>349</v>
      </c>
      <c r="C59" s="4" t="s">
        <v>350</v>
      </c>
      <c r="D59" s="4">
        <f>_xlfn.XLOOKUP(C59,[1]Planilha2!$C$3:$C$329,[1]Planilha2!$I$3:$I$329)</f>
        <v>28</v>
      </c>
      <c r="E59" s="4">
        <v>469117</v>
      </c>
      <c r="F59" s="7">
        <v>467376.99999999994</v>
      </c>
      <c r="G59" s="4">
        <v>465637.00000000006</v>
      </c>
      <c r="H59" s="4">
        <v>463897</v>
      </c>
      <c r="I59" s="4">
        <v>461882</v>
      </c>
      <c r="J59" s="4">
        <f>_xlfn.XLOOKUP(C59,[1]Planilha2!$C$3:$C$329,[1]Planilha2!$D$3:$D$329,"")</f>
        <v>20</v>
      </c>
      <c r="K59" s="4" t="s">
        <v>21</v>
      </c>
      <c r="L59" s="4">
        <f>_xlfn.XLOOKUP(C59,[1]Planilha2!$C$3:$C$329,[1]Planilha2!$J$3:$J$329,"")</f>
        <v>1</v>
      </c>
      <c r="M59" s="42">
        <v>0.73613425749805095</v>
      </c>
      <c r="N59" s="43">
        <v>0.71233778300836603</v>
      </c>
      <c r="O59" s="43">
        <v>0.69114243894657601</v>
      </c>
      <c r="P59" s="43">
        <v>0.66980501102013101</v>
      </c>
      <c r="Q59" s="67">
        <v>0.87124009775855404</v>
      </c>
      <c r="R59" s="67">
        <v>0.87260792298149303</v>
      </c>
      <c r="S59" s="67">
        <v>0.95496147664382303</v>
      </c>
      <c r="T59" s="49">
        <v>2089.4016024573798</v>
      </c>
      <c r="U59" s="49">
        <v>1673.3636595867299</v>
      </c>
      <c r="V59" s="49">
        <v>1423.6175902330201</v>
      </c>
      <c r="W59" s="49">
        <v>1175.2150712334801</v>
      </c>
      <c r="X59" s="49">
        <v>1047.2734394715501</v>
      </c>
      <c r="Y59" s="4"/>
      <c r="Z59" s="69">
        <v>17.683486209197302</v>
      </c>
      <c r="AA59" s="69">
        <v>12.9564933661691</v>
      </c>
      <c r="AB59" s="69">
        <v>8.7736992549990607</v>
      </c>
      <c r="AC59" s="69">
        <v>7.5434827127573598</v>
      </c>
      <c r="AD59" s="70">
        <v>7.1916788270597296</v>
      </c>
    </row>
    <row r="60" spans="1:30" ht="25.5" x14ac:dyDescent="0.25">
      <c r="A60" s="2">
        <v>146</v>
      </c>
      <c r="B60" s="3" t="s">
        <v>351</v>
      </c>
      <c r="C60" s="4" t="s">
        <v>352</v>
      </c>
      <c r="D60" s="4">
        <f>_xlfn.XLOOKUP(C60,[1]Planilha2!$C$3:$C$329,[1]Planilha2!$I$3:$I$329)</f>
        <v>28</v>
      </c>
      <c r="E60" s="4">
        <v>48741</v>
      </c>
      <c r="F60" s="7">
        <v>49409.999999999993</v>
      </c>
      <c r="G60" s="4">
        <v>50079.000000000007</v>
      </c>
      <c r="H60" s="4">
        <v>50748</v>
      </c>
      <c r="I60" s="4">
        <v>50600</v>
      </c>
      <c r="J60" s="4">
        <f>_xlfn.XLOOKUP(C60,[1]Planilha2!$C$3:$C$329,[1]Planilha2!$D$3:$D$329,"")</f>
        <v>5</v>
      </c>
      <c r="K60" s="4" t="s">
        <v>21</v>
      </c>
      <c r="L60" s="4">
        <f>_xlfn.XLOOKUP(C60,[1]Planilha2!$C$3:$C$329,[1]Planilha2!$J$3:$J$329,"")</f>
        <v>2</v>
      </c>
      <c r="M60" s="42">
        <v>0.68805573298252698</v>
      </c>
      <c r="N60" s="43">
        <v>0.68481205229071396</v>
      </c>
      <c r="O60" s="43">
        <v>0.64175422479703603</v>
      </c>
      <c r="P60" s="43">
        <v>0.62578469762845801</v>
      </c>
      <c r="Q60" s="67">
        <v>0.79995604078888705</v>
      </c>
      <c r="R60" s="67">
        <v>0.79111846881926595</v>
      </c>
      <c r="S60" s="67">
        <v>0.95107459613810197</v>
      </c>
      <c r="T60" s="49">
        <v>2246.8171293161799</v>
      </c>
      <c r="U60" s="49">
        <v>1824.17839324024</v>
      </c>
      <c r="V60" s="49">
        <v>1613.7381508549799</v>
      </c>
      <c r="W60" s="49">
        <v>1426.57978245448</v>
      </c>
      <c r="X60" s="49">
        <v>1162.6568685770801</v>
      </c>
      <c r="Y60" s="4"/>
      <c r="Z60" s="69">
        <v>25.252826162778799</v>
      </c>
      <c r="AA60" s="69">
        <v>13.040680024286599</v>
      </c>
      <c r="AB60" s="69">
        <v>7.6864154635675597</v>
      </c>
      <c r="AC60" s="69">
        <v>3.08209190509971</v>
      </c>
      <c r="AD60" s="70">
        <v>2.6630434782608701</v>
      </c>
    </row>
    <row r="61" spans="1:30" x14ac:dyDescent="0.25">
      <c r="A61" s="2">
        <v>147</v>
      </c>
      <c r="B61" s="3" t="s">
        <v>353</v>
      </c>
      <c r="C61" s="4" t="s">
        <v>354</v>
      </c>
      <c r="D61" s="4">
        <f>_xlfn.XLOOKUP(C61,[1]Planilha2!$C$3:$C$329,[1]Planilha2!$I$3:$I$329)</f>
        <v>28</v>
      </c>
      <c r="E61" s="4">
        <v>130404</v>
      </c>
      <c r="F61" s="7">
        <v>129520.66666666667</v>
      </c>
      <c r="G61" s="4">
        <v>128637.33333333333</v>
      </c>
      <c r="H61" s="4">
        <v>127754</v>
      </c>
      <c r="I61" s="4">
        <v>127349</v>
      </c>
      <c r="J61" s="4">
        <f>_xlfn.XLOOKUP(C61,[1]Planilha2!$C$3:$C$329,[1]Planilha2!$D$3:$D$329,"")</f>
        <v>7</v>
      </c>
      <c r="K61" s="4" t="s">
        <v>21</v>
      </c>
      <c r="L61" s="4">
        <f>_xlfn.XLOOKUP(C61,[1]Planilha2!$C$3:$C$329,[1]Planilha2!$J$3:$J$329,"")</f>
        <v>1</v>
      </c>
      <c r="M61" s="42">
        <v>0.74854649862827505</v>
      </c>
      <c r="N61" s="43">
        <v>0.73066918520284396</v>
      </c>
      <c r="O61" s="43">
        <v>0.69101469464752596</v>
      </c>
      <c r="P61" s="43">
        <v>0.67132732569553</v>
      </c>
      <c r="Q61" s="67">
        <v>0.87797310941354501</v>
      </c>
      <c r="R61" s="67">
        <v>0.87816997450195899</v>
      </c>
      <c r="S61" s="67">
        <v>0.96485848017164499</v>
      </c>
      <c r="T61" s="49">
        <v>2573.3917633661499</v>
      </c>
      <c r="U61" s="49">
        <v>2181.1747736011198</v>
      </c>
      <c r="V61" s="49">
        <v>1853.9097368312</v>
      </c>
      <c r="W61" s="49">
        <v>1585.2091533728899</v>
      </c>
      <c r="X61" s="49">
        <v>1398.94662533667</v>
      </c>
      <c r="Y61" s="4"/>
      <c r="Z61" s="69">
        <v>20.277276770651198</v>
      </c>
      <c r="AA61" s="69">
        <v>16.367001919899501</v>
      </c>
      <c r="AB61" s="69">
        <v>12.7867311718734</v>
      </c>
      <c r="AC61" s="69">
        <v>10.3069727758035</v>
      </c>
      <c r="AD61" s="70">
        <v>8.2612662839912403</v>
      </c>
    </row>
    <row r="62" spans="1:30" x14ac:dyDescent="0.25">
      <c r="A62" s="2">
        <v>148</v>
      </c>
      <c r="B62" s="3" t="s">
        <v>355</v>
      </c>
      <c r="C62" s="4" t="s">
        <v>356</v>
      </c>
      <c r="D62" s="4">
        <f>_xlfn.XLOOKUP(C62,[1]Planilha2!$C$3:$C$329,[1]Planilha2!$I$3:$I$329)</f>
        <v>6</v>
      </c>
      <c r="E62" s="4">
        <v>246904</v>
      </c>
      <c r="F62" s="7">
        <v>246744.33333333328</v>
      </c>
      <c r="G62" s="4">
        <v>246584.66666666672</v>
      </c>
      <c r="H62" s="4">
        <v>246425</v>
      </c>
      <c r="I62" s="4">
        <v>245930</v>
      </c>
      <c r="J62" s="4">
        <f>_xlfn.XLOOKUP(C62,[1]Planilha2!$C$3:$C$329,[1]Planilha2!$D$3:$D$329,"")</f>
        <v>16</v>
      </c>
      <c r="K62" s="4" t="s">
        <v>21</v>
      </c>
      <c r="L62" s="4">
        <f>_xlfn.XLOOKUP(C62,[1]Planilha2!$C$3:$C$329,[1]Planilha2!$J$3:$J$329,"")</f>
        <v>48</v>
      </c>
      <c r="M62" s="42">
        <v>0.719200953348473</v>
      </c>
      <c r="N62" s="43">
        <v>0.70121523533498997</v>
      </c>
      <c r="O62" s="43">
        <v>0.67891313178451895</v>
      </c>
      <c r="P62" s="43">
        <v>0.65775606066767001</v>
      </c>
      <c r="Q62" s="67">
        <v>0.78928408754802304</v>
      </c>
      <c r="R62" s="67">
        <v>0.79695463708205705</v>
      </c>
      <c r="S62" s="67">
        <v>0.93703484766557499</v>
      </c>
      <c r="T62" s="49">
        <v>1660.7367088018</v>
      </c>
      <c r="U62" s="49">
        <v>1462.21564523603</v>
      </c>
      <c r="V62" s="49">
        <v>1324.6153125768799</v>
      </c>
      <c r="W62" s="49">
        <v>1060.9276063305299</v>
      </c>
      <c r="X62" s="49">
        <v>954.73826698654102</v>
      </c>
      <c r="Y62" s="4"/>
      <c r="Z62" s="69">
        <v>12.2464075106114</v>
      </c>
      <c r="AA62" s="69">
        <v>8.3025695963298105</v>
      </c>
      <c r="AB62" s="69">
        <v>5.7388604860534702</v>
      </c>
      <c r="AC62" s="69">
        <v>4.9941361469006802</v>
      </c>
      <c r="AD62" s="70">
        <v>5.6958606107428897</v>
      </c>
    </row>
    <row r="63" spans="1:30" ht="25.5" x14ac:dyDescent="0.25">
      <c r="A63" s="2">
        <v>149</v>
      </c>
      <c r="B63" s="3" t="s">
        <v>357</v>
      </c>
      <c r="C63" s="4" t="s">
        <v>358</v>
      </c>
      <c r="D63" s="4">
        <f>_xlfn.XLOOKUP(C63,[1]Planilha2!$C$3:$C$329,[1]Planilha2!$I$3:$I$329)</f>
        <v>29</v>
      </c>
      <c r="E63" s="4">
        <v>30934</v>
      </c>
      <c r="F63" s="7">
        <v>31067.666666666668</v>
      </c>
      <c r="G63" s="4">
        <v>31201.333333333332</v>
      </c>
      <c r="H63" s="4">
        <v>31335</v>
      </c>
      <c r="I63" s="4">
        <v>31367</v>
      </c>
      <c r="J63" s="4">
        <f>_xlfn.XLOOKUP(C63,[1]Planilha2!$C$3:$C$329,[1]Planilha2!$D$3:$D$329,"")</f>
        <v>4</v>
      </c>
      <c r="K63" s="4" t="s">
        <v>21</v>
      </c>
      <c r="L63" s="4">
        <f>_xlfn.XLOOKUP(C63,[1]Planilha2!$C$3:$C$329,[1]Planilha2!$J$3:$J$329,"")</f>
        <v>4</v>
      </c>
      <c r="M63" s="42">
        <v>0.67119327274873097</v>
      </c>
      <c r="N63" s="43">
        <v>0.62848368552625999</v>
      </c>
      <c r="O63" s="43">
        <v>0.62015767033668401</v>
      </c>
      <c r="P63" s="43">
        <v>0.55392711129531003</v>
      </c>
      <c r="Q63" s="67">
        <v>0.64860871009785903</v>
      </c>
      <c r="R63" s="67">
        <v>0.853559890602966</v>
      </c>
      <c r="S63" s="67">
        <v>0.89737376928336399</v>
      </c>
      <c r="T63" s="49">
        <v>2115.8534628563998</v>
      </c>
      <c r="U63" s="49">
        <v>1303.6362778022201</v>
      </c>
      <c r="V63" s="49">
        <v>1384.81829462416</v>
      </c>
      <c r="W63" s="49">
        <v>1173.42528642093</v>
      </c>
      <c r="X63" s="49">
        <v>1008.23275831288</v>
      </c>
      <c r="Y63" s="4"/>
      <c r="Z63" s="69">
        <v>20.884819292687698</v>
      </c>
      <c r="AA63" s="69">
        <v>6.7329806980461999</v>
      </c>
      <c r="AB63" s="69">
        <v>20.629887611640498</v>
      </c>
      <c r="AC63" s="69">
        <v>1.66223073240785</v>
      </c>
      <c r="AD63" s="70">
        <v>1.72027927439666</v>
      </c>
    </row>
    <row r="64" spans="1:30" x14ac:dyDescent="0.25">
      <c r="A64" s="2">
        <v>150</v>
      </c>
      <c r="B64" s="3" t="s">
        <v>359</v>
      </c>
      <c r="C64" s="4" t="s">
        <v>360</v>
      </c>
      <c r="D64" s="4">
        <f>_xlfn.XLOOKUP(C64,[1]Planilha2!$C$3:$C$329,[1]Planilha2!$I$3:$I$329)</f>
        <v>31</v>
      </c>
      <c r="E64" s="4">
        <v>176808</v>
      </c>
      <c r="F64" s="7">
        <v>175954.66666666666</v>
      </c>
      <c r="G64" s="4">
        <v>175101.33333333334</v>
      </c>
      <c r="H64" s="4">
        <v>174248</v>
      </c>
      <c r="I64" s="4">
        <v>173284</v>
      </c>
      <c r="J64" s="4">
        <f>_xlfn.XLOOKUP(C64,[1]Planilha2!$C$3:$C$329,[1]Planilha2!$D$3:$D$329,"")</f>
        <v>14</v>
      </c>
      <c r="K64" s="4" t="s">
        <v>21</v>
      </c>
      <c r="L64" s="4">
        <f>_xlfn.XLOOKUP(C64,[1]Planilha2!$C$3:$C$329,[1]Planilha2!$J$3:$J$329,"")</f>
        <v>1</v>
      </c>
      <c r="M64" s="42">
        <v>0.72086986193413505</v>
      </c>
      <c r="N64" s="43">
        <v>0.71517209653838498</v>
      </c>
      <c r="O64" s="43">
        <v>0.68151911872733095</v>
      </c>
      <c r="P64" s="43">
        <v>0.67613891588375197</v>
      </c>
      <c r="Q64" s="67">
        <v>0.87207779362045601</v>
      </c>
      <c r="R64" s="67">
        <v>0.918737422330688</v>
      </c>
      <c r="S64" s="67">
        <v>0.94936394240287503</v>
      </c>
      <c r="T64" s="49">
        <v>1788.38710143206</v>
      </c>
      <c r="U64" s="49">
        <v>1466.4152968567701</v>
      </c>
      <c r="V64" s="49">
        <v>1419.9470968620101</v>
      </c>
      <c r="W64" s="49">
        <v>1113.0153553555899</v>
      </c>
      <c r="X64" s="49">
        <v>887.21445395997296</v>
      </c>
      <c r="Y64" s="4"/>
      <c r="Z64" s="69">
        <v>13.5726607393331</v>
      </c>
      <c r="AA64" s="69">
        <v>4.9647219738417503</v>
      </c>
      <c r="AB64" s="69">
        <v>4.2105904390600504</v>
      </c>
      <c r="AC64" s="69">
        <v>3.3865754556723799</v>
      </c>
      <c r="AD64" s="70">
        <v>5.7363114886544597</v>
      </c>
    </row>
    <row r="65" spans="1:30" x14ac:dyDescent="0.25">
      <c r="A65" s="2">
        <v>151</v>
      </c>
      <c r="B65" s="3" t="s">
        <v>361</v>
      </c>
      <c r="C65" s="4" t="s">
        <v>362</v>
      </c>
      <c r="D65" s="4">
        <f>_xlfn.XLOOKUP(C65,[1]Planilha2!$C$3:$C$329,[1]Planilha2!$I$3:$I$329)</f>
        <v>28</v>
      </c>
      <c r="E65" s="4">
        <v>59980</v>
      </c>
      <c r="F65" s="7">
        <v>59251.666666666664</v>
      </c>
      <c r="G65" s="4">
        <v>58523.333333333336</v>
      </c>
      <c r="H65" s="4">
        <v>57795</v>
      </c>
      <c r="I65" s="4">
        <v>57901</v>
      </c>
      <c r="J65" s="4">
        <f>_xlfn.XLOOKUP(C65,[1]Planilha2!$C$3:$C$329,[1]Planilha2!$D$3:$D$329,"")</f>
        <v>5</v>
      </c>
      <c r="K65" s="4" t="s">
        <v>21</v>
      </c>
      <c r="L65" s="4">
        <f>_xlfn.XLOOKUP(C65,[1]Planilha2!$C$3:$C$329,[1]Planilha2!$J$3:$J$329,"")</f>
        <v>1</v>
      </c>
      <c r="M65" s="42">
        <v>0.60255052572360801</v>
      </c>
      <c r="N65" s="43">
        <v>0.55412186079626402</v>
      </c>
      <c r="O65" s="43">
        <v>0.53180762176658902</v>
      </c>
      <c r="P65" s="43">
        <v>0.51349393447436098</v>
      </c>
      <c r="Q65" s="67">
        <v>0.68568733211824295</v>
      </c>
      <c r="R65" s="67">
        <v>0.72719753032978296</v>
      </c>
      <c r="S65" s="67">
        <v>0.80511075354559403</v>
      </c>
      <c r="T65" s="49">
        <v>1687.63341913971</v>
      </c>
      <c r="U65" s="49">
        <v>1161.0819730528001</v>
      </c>
      <c r="V65" s="49">
        <v>1158.8119339294899</v>
      </c>
      <c r="W65" s="49">
        <v>1164.32063465698</v>
      </c>
      <c r="X65" s="49">
        <v>916.26073781109096</v>
      </c>
      <c r="Y65" s="4"/>
      <c r="Z65" s="69">
        <v>2.6166888962987702</v>
      </c>
      <c r="AA65" s="69">
        <v>1.0047481083513801</v>
      </c>
      <c r="AB65" s="69">
        <v>0.58872244688728104</v>
      </c>
      <c r="AC65" s="69">
        <v>0.73494246907171901</v>
      </c>
      <c r="AD65" s="70">
        <v>0.75756895390407797</v>
      </c>
    </row>
    <row r="66" spans="1:30" x14ac:dyDescent="0.25">
      <c r="A66" s="2">
        <v>152</v>
      </c>
      <c r="B66" s="3" t="s">
        <v>70</v>
      </c>
      <c r="C66" s="4" t="s">
        <v>71</v>
      </c>
      <c r="D66" s="4">
        <f>_xlfn.XLOOKUP(C66,[1]Planilha2!$C$3:$C$329,[1]Planilha2!$I$3:$I$329)</f>
        <v>29</v>
      </c>
      <c r="E66" s="4">
        <v>368774</v>
      </c>
      <c r="F66" s="7">
        <v>366492.33333333337</v>
      </c>
      <c r="G66" s="4">
        <v>364210.66666666663</v>
      </c>
      <c r="H66" s="4">
        <v>361929</v>
      </c>
      <c r="I66" s="4">
        <v>358827</v>
      </c>
      <c r="J66" s="4">
        <f>_xlfn.XLOOKUP(C66,[1]Planilha2!$C$3:$C$329,[1]Planilha2!$D$3:$D$329,"")</f>
        <v>10</v>
      </c>
      <c r="K66" s="4" t="s">
        <v>21</v>
      </c>
      <c r="L66" s="4">
        <f>_xlfn.XLOOKUP(C66,[1]Planilha2!$C$3:$C$329,[1]Planilha2!$J$3:$J$329,"")</f>
        <v>1</v>
      </c>
      <c r="M66" s="42">
        <v>0.77885758137732797</v>
      </c>
      <c r="N66" s="43">
        <v>0.76983161942904799</v>
      </c>
      <c r="O66" s="43">
        <v>0.73416605190520801</v>
      </c>
      <c r="P66" s="43">
        <v>0.71164230868914502</v>
      </c>
      <c r="Q66" s="67">
        <v>0.84992466539511902</v>
      </c>
      <c r="R66" s="67">
        <v>0.91913871266812597</v>
      </c>
      <c r="S66" s="67">
        <v>0.96979795411446901</v>
      </c>
      <c r="T66" s="49">
        <v>1941.4016006551401</v>
      </c>
      <c r="U66" s="49">
        <v>1591.6830922884201</v>
      </c>
      <c r="V66" s="49">
        <v>1376.6617665874701</v>
      </c>
      <c r="W66" s="49">
        <v>1144.77888654957</v>
      </c>
      <c r="X66" s="49">
        <v>1036.1580901938801</v>
      </c>
      <c r="Y66" s="4"/>
      <c r="Z66" s="69">
        <v>11.2466063225715</v>
      </c>
      <c r="AA66" s="69">
        <v>9.2002060979902307</v>
      </c>
      <c r="AB66" s="69">
        <v>9.4035027346810303</v>
      </c>
      <c r="AC66" s="69">
        <v>8.7458672833622106</v>
      </c>
      <c r="AD66" s="70">
        <v>5.7198092674185599</v>
      </c>
    </row>
    <row r="67" spans="1:30" x14ac:dyDescent="0.25">
      <c r="A67" s="2">
        <v>153</v>
      </c>
      <c r="B67" s="3" t="s">
        <v>363</v>
      </c>
      <c r="C67" s="4" t="s">
        <v>364</v>
      </c>
      <c r="D67" s="4">
        <f>_xlfn.XLOOKUP(C67,[1]Planilha2!$C$3:$C$329,[1]Planilha2!$I$3:$I$329)</f>
        <v>28</v>
      </c>
      <c r="E67" s="4">
        <v>432456</v>
      </c>
      <c r="F67" s="7">
        <v>426917.66666666669</v>
      </c>
      <c r="G67" s="4">
        <v>421379.33333333331</v>
      </c>
      <c r="H67" s="4">
        <v>415841</v>
      </c>
      <c r="I67" s="4">
        <v>410548</v>
      </c>
      <c r="J67" s="4">
        <f>_xlfn.XLOOKUP(C67,[1]Planilha2!$C$3:$C$329,[1]Planilha2!$D$3:$D$329,"")</f>
        <v>15</v>
      </c>
      <c r="K67" s="4" t="s">
        <v>21</v>
      </c>
      <c r="L67" s="4">
        <f>_xlfn.XLOOKUP(C67,[1]Planilha2!$C$3:$C$329,[1]Planilha2!$J$3:$J$329,"")</f>
        <v>4</v>
      </c>
      <c r="M67" s="42">
        <v>0.75741158927599594</v>
      </c>
      <c r="N67" s="43">
        <v>0.74646998539716403</v>
      </c>
      <c r="O67" s="43">
        <v>0.72050663258312697</v>
      </c>
      <c r="P67" s="43">
        <v>0.68736674055165303</v>
      </c>
      <c r="Q67" s="67">
        <v>0.88275673984960501</v>
      </c>
      <c r="R67" s="67">
        <v>0.91344847184405498</v>
      </c>
      <c r="S67" s="67">
        <v>0.97302528212900796</v>
      </c>
      <c r="T67" s="49">
        <v>1751.7659000915701</v>
      </c>
      <c r="U67" s="49">
        <v>1470.24863381151</v>
      </c>
      <c r="V67" s="49">
        <v>1096.1630417881599</v>
      </c>
      <c r="W67" s="49">
        <v>1082.84978775542</v>
      </c>
      <c r="X67" s="49">
        <v>952.86772815846098</v>
      </c>
      <c r="Y67" s="4"/>
      <c r="Z67" s="69">
        <v>9.6258093308914692</v>
      </c>
      <c r="AA67" s="69">
        <v>8.4618423692936897</v>
      </c>
      <c r="AB67" s="69">
        <v>10.966031398470699</v>
      </c>
      <c r="AC67" s="69">
        <v>8.3509201834355</v>
      </c>
      <c r="AD67" s="70">
        <v>6.4295015442774002</v>
      </c>
    </row>
    <row r="68" spans="1:30" ht="25.5" x14ac:dyDescent="0.25">
      <c r="A68" s="2">
        <v>154</v>
      </c>
      <c r="B68" s="3" t="s">
        <v>365</v>
      </c>
      <c r="C68" s="4" t="s">
        <v>366</v>
      </c>
      <c r="D68" s="4">
        <f>_xlfn.XLOOKUP(C68,[1]Planilha2!$C$3:$C$329,[1]Planilha2!$I$3:$I$329)</f>
        <v>28</v>
      </c>
      <c r="E68" s="4">
        <v>372623</v>
      </c>
      <c r="F68" s="7">
        <v>375634.66666666669</v>
      </c>
      <c r="G68" s="4">
        <v>378646.33333333331</v>
      </c>
      <c r="H68" s="4">
        <v>381658</v>
      </c>
      <c r="I68" s="4">
        <v>378885</v>
      </c>
      <c r="J68" s="4">
        <f>_xlfn.XLOOKUP(C68,[1]Planilha2!$C$3:$C$329,[1]Planilha2!$D$3:$D$329,"")</f>
        <v>14</v>
      </c>
      <c r="K68" s="4" t="s">
        <v>21</v>
      </c>
      <c r="L68" s="4">
        <f>_xlfn.XLOOKUP(C68,[1]Planilha2!$C$3:$C$329,[1]Planilha2!$J$3:$J$329,"")</f>
        <v>1</v>
      </c>
      <c r="M68" s="42">
        <v>0.711333899338364</v>
      </c>
      <c r="N68" s="43">
        <v>0.70280097197120595</v>
      </c>
      <c r="O68" s="43">
        <v>0.67344178531564902</v>
      </c>
      <c r="P68" s="43">
        <v>0.64832819245945295</v>
      </c>
      <c r="Q68" s="67">
        <v>0.848180820008821</v>
      </c>
      <c r="R68" s="67">
        <v>0.91667918981565</v>
      </c>
      <c r="S68" s="67">
        <v>0.93725054399928198</v>
      </c>
      <c r="T68" s="49">
        <v>2048.6876067768198</v>
      </c>
      <c r="U68" s="49">
        <v>1631.40876146504</v>
      </c>
      <c r="V68" s="49">
        <v>1321.57749316645</v>
      </c>
      <c r="W68" s="49">
        <v>1115.0983674389099</v>
      </c>
      <c r="X68" s="49">
        <v>1073.9138360980201</v>
      </c>
      <c r="Y68" s="4"/>
      <c r="Z68" s="69">
        <v>11.4417279663359</v>
      </c>
      <c r="AA68" s="69">
        <v>7.0118741259237698</v>
      </c>
      <c r="AB68" s="69">
        <v>6.3932852028145897</v>
      </c>
      <c r="AC68" s="69">
        <v>6.3675856394992403</v>
      </c>
      <c r="AD68" s="70">
        <v>5.42450083798514</v>
      </c>
    </row>
    <row r="69" spans="1:30" x14ac:dyDescent="0.25">
      <c r="A69" s="2">
        <v>155</v>
      </c>
      <c r="B69" s="3" t="s">
        <v>367</v>
      </c>
      <c r="C69" s="4" t="s">
        <v>368</v>
      </c>
      <c r="D69" s="4">
        <f>_xlfn.XLOOKUP(C69,[1]Planilha2!$C$3:$C$329,[1]Planilha2!$I$3:$I$329)</f>
        <v>29</v>
      </c>
      <c r="E69" s="4">
        <v>184320</v>
      </c>
      <c r="F69" s="7">
        <v>185305</v>
      </c>
      <c r="G69" s="4">
        <v>186290</v>
      </c>
      <c r="H69" s="4">
        <v>187275</v>
      </c>
      <c r="I69" s="4">
        <v>186507</v>
      </c>
      <c r="J69" s="4">
        <f>_xlfn.XLOOKUP(C69,[1]Planilha2!$C$3:$C$329,[1]Planilha2!$D$3:$D$329,"")</f>
        <v>11</v>
      </c>
      <c r="K69" s="4" t="s">
        <v>21</v>
      </c>
      <c r="L69" s="4">
        <f>_xlfn.XLOOKUP(C69,[1]Planilha2!$C$3:$C$329,[1]Planilha2!$J$3:$J$329,"")</f>
        <v>1</v>
      </c>
      <c r="M69" s="42">
        <v>0.68598809080524903</v>
      </c>
      <c r="N69" s="43">
        <v>0.65079773543042196</v>
      </c>
      <c r="O69" s="43">
        <v>0.61530324229074895</v>
      </c>
      <c r="P69" s="43">
        <v>0.60457369535727901</v>
      </c>
      <c r="Q69" s="67">
        <v>0.69475867965716498</v>
      </c>
      <c r="R69" s="67">
        <v>0.855100709288385</v>
      </c>
      <c r="S69" s="67">
        <v>0.88934216168339697</v>
      </c>
      <c r="T69" s="49">
        <v>2001.29210823568</v>
      </c>
      <c r="U69" s="49">
        <v>1626.3171504996301</v>
      </c>
      <c r="V69" s="49">
        <v>1362.90854710398</v>
      </c>
      <c r="W69" s="49">
        <v>989.808554265118</v>
      </c>
      <c r="X69" s="49">
        <v>1071.7299078855001</v>
      </c>
      <c r="Y69" s="4"/>
      <c r="Z69" s="69">
        <v>14.103873697916701</v>
      </c>
      <c r="AA69" s="69">
        <v>11.022525026307999</v>
      </c>
      <c r="AB69" s="69">
        <v>8.7840732191744095</v>
      </c>
      <c r="AC69" s="69">
        <v>7.7738352689894503</v>
      </c>
      <c r="AD69" s="70">
        <v>6.6002670141067101</v>
      </c>
    </row>
    <row r="70" spans="1:30" x14ac:dyDescent="0.25">
      <c r="A70" s="2">
        <v>156</v>
      </c>
      <c r="B70" s="3" t="s">
        <v>369</v>
      </c>
      <c r="C70" s="4" t="s">
        <v>370</v>
      </c>
      <c r="D70" s="4">
        <f>_xlfn.XLOOKUP(C70,[1]Planilha2!$C$3:$C$329,[1]Planilha2!$I$3:$I$329)</f>
        <v>28</v>
      </c>
      <c r="E70" s="4">
        <v>89797</v>
      </c>
      <c r="F70" s="7">
        <v>91947.000000000015</v>
      </c>
      <c r="G70" s="4">
        <v>94096.999999999985</v>
      </c>
      <c r="H70" s="4">
        <v>96247</v>
      </c>
      <c r="I70" s="4">
        <v>95856</v>
      </c>
      <c r="J70" s="4">
        <f>_xlfn.XLOOKUP(C70,[1]Planilha2!$C$3:$C$329,[1]Planilha2!$D$3:$D$329,"")</f>
        <v>9</v>
      </c>
      <c r="K70" s="4" t="s">
        <v>21</v>
      </c>
      <c r="L70" s="4">
        <f>_xlfn.XLOOKUP(C70,[1]Planilha2!$C$3:$C$329,[1]Planilha2!$J$3:$J$329,"")</f>
        <v>10</v>
      </c>
      <c r="M70" s="42">
        <v>0.62697285791452295</v>
      </c>
      <c r="N70" s="43">
        <v>0.60614493306552497</v>
      </c>
      <c r="O70" s="43">
        <v>0.57830647812399305</v>
      </c>
      <c r="P70" s="43">
        <v>0.56068909197129002</v>
      </c>
      <c r="Q70" s="67">
        <v>0.54169217757562205</v>
      </c>
      <c r="R70" s="67">
        <v>0.76099149459245996</v>
      </c>
      <c r="S70" s="67">
        <v>0.78513830515319305</v>
      </c>
      <c r="T70" s="49">
        <v>1800.1658033119099</v>
      </c>
      <c r="U70" s="49">
        <v>1502.94459021683</v>
      </c>
      <c r="V70" s="49">
        <v>1257.3597172421401</v>
      </c>
      <c r="W70" s="49">
        <v>987.29764813448696</v>
      </c>
      <c r="X70" s="49">
        <v>941.41493751043197</v>
      </c>
      <c r="Y70" s="4"/>
      <c r="Z70" s="69">
        <v>8.3969174916756693</v>
      </c>
      <c r="AA70" s="69">
        <v>5.7280716064689399</v>
      </c>
      <c r="AB70" s="69">
        <v>4.5285503257277098</v>
      </c>
      <c r="AC70" s="69">
        <v>2.4082205159641301</v>
      </c>
      <c r="AD70" s="70">
        <v>1.8881134201301999</v>
      </c>
    </row>
    <row r="71" spans="1:30" x14ac:dyDescent="0.25">
      <c r="A71" s="2">
        <v>157</v>
      </c>
      <c r="B71" s="3" t="s">
        <v>72</v>
      </c>
      <c r="C71" s="4" t="s">
        <v>73</v>
      </c>
      <c r="D71" s="4">
        <f>_xlfn.XLOOKUP(C71,[1]Planilha2!$C$3:$C$329,[1]Planilha2!$I$3:$I$329)</f>
        <v>29</v>
      </c>
      <c r="E71" s="4">
        <v>270752</v>
      </c>
      <c r="F71" s="7">
        <v>274237.00000000006</v>
      </c>
      <c r="G71" s="4">
        <v>277721.99999999994</v>
      </c>
      <c r="H71" s="4">
        <v>281207</v>
      </c>
      <c r="I71" s="4">
        <v>280685</v>
      </c>
      <c r="J71" s="4">
        <f>_xlfn.XLOOKUP(C71,[1]Planilha2!$C$3:$C$329,[1]Planilha2!$D$3:$D$329,"")</f>
        <v>23</v>
      </c>
      <c r="K71" s="4" t="s">
        <v>21</v>
      </c>
      <c r="L71" s="4">
        <f>_xlfn.XLOOKUP(C71,[1]Planilha2!$C$3:$C$329,[1]Planilha2!$J$3:$J$329,"")</f>
        <v>2</v>
      </c>
      <c r="M71" s="42">
        <v>0.64441070230007802</v>
      </c>
      <c r="N71" s="43">
        <v>0.628704962636498</v>
      </c>
      <c r="O71" s="43">
        <v>0.58040710793116801</v>
      </c>
      <c r="P71" s="43">
        <v>0.57950651940787701</v>
      </c>
      <c r="Q71" s="67">
        <v>0.610114684948738</v>
      </c>
      <c r="R71" s="67">
        <v>0.74769190365425398</v>
      </c>
      <c r="S71" s="67">
        <v>0.749205387281766</v>
      </c>
      <c r="T71" s="49">
        <v>2319.5202106725001</v>
      </c>
      <c r="U71" s="49">
        <v>1906.98293783601</v>
      </c>
      <c r="V71" s="49">
        <v>1490.8746065610001</v>
      </c>
      <c r="W71" s="49">
        <v>1215.9935909134499</v>
      </c>
      <c r="X71" s="49">
        <v>1094.86833528689</v>
      </c>
      <c r="Y71" s="4"/>
      <c r="Z71" s="69">
        <v>14.6960354863491</v>
      </c>
      <c r="AA71" s="69">
        <v>11.1781269485883</v>
      </c>
      <c r="AB71" s="69">
        <v>8.0800980836952103</v>
      </c>
      <c r="AC71" s="69">
        <v>4.1731429160725</v>
      </c>
      <c r="AD71" s="70">
        <v>3.5762188930651799</v>
      </c>
    </row>
    <row r="72" spans="1:30" ht="25.5" x14ac:dyDescent="0.25">
      <c r="A72" s="2">
        <v>158</v>
      </c>
      <c r="B72" s="3" t="s">
        <v>371</v>
      </c>
      <c r="C72" s="4" t="s">
        <v>372</v>
      </c>
      <c r="D72" s="4">
        <f>_xlfn.XLOOKUP(C72,[1]Planilha2!$C$3:$C$329,[1]Planilha2!$I$3:$I$329)</f>
        <v>28</v>
      </c>
      <c r="E72" s="4">
        <v>1006683</v>
      </c>
      <c r="F72" s="7">
        <v>993520.33333333337</v>
      </c>
      <c r="G72" s="4">
        <v>980357.66666666663</v>
      </c>
      <c r="H72" s="4">
        <v>967195</v>
      </c>
      <c r="I72" s="4">
        <v>957908</v>
      </c>
      <c r="J72" s="4">
        <f>_xlfn.XLOOKUP(C72,[1]Planilha2!$C$3:$C$329,[1]Planilha2!$D$3:$D$329,"")</f>
        <v>17</v>
      </c>
      <c r="K72" s="4" t="s">
        <v>21</v>
      </c>
      <c r="L72" s="4">
        <f>_xlfn.XLOOKUP(C72,[1]Planilha2!$C$3:$C$329,[1]Planilha2!$J$3:$J$329,"")</f>
        <v>32</v>
      </c>
      <c r="M72" s="42">
        <v>0.59204484578574301</v>
      </c>
      <c r="N72" s="43">
        <v>0.57281657068695702</v>
      </c>
      <c r="O72" s="43">
        <v>0.54191584716629004</v>
      </c>
      <c r="P72" s="43">
        <v>0.51215070758360903</v>
      </c>
      <c r="Q72" s="67">
        <v>0.63395796173709396</v>
      </c>
      <c r="R72" s="67">
        <v>0.88986619784683996</v>
      </c>
      <c r="S72" s="67">
        <v>0.90698425659614701</v>
      </c>
      <c r="T72" s="49">
        <v>1060.3988145722101</v>
      </c>
      <c r="U72" s="49">
        <v>987.70227294459005</v>
      </c>
      <c r="V72" s="49">
        <v>837.44824991423195</v>
      </c>
      <c r="W72" s="49">
        <v>790.39652995517997</v>
      </c>
      <c r="X72" s="49">
        <v>683.69240530405898</v>
      </c>
      <c r="Y72" s="4"/>
      <c r="Z72" s="69">
        <v>7.7960072833255403</v>
      </c>
      <c r="AA72" s="69">
        <v>7.9811028863358304</v>
      </c>
      <c r="AB72" s="69">
        <v>7.9431489799811201</v>
      </c>
      <c r="AC72" s="69">
        <v>7.2498110515459704</v>
      </c>
      <c r="AD72" s="70">
        <v>6.0556838443775396</v>
      </c>
    </row>
    <row r="73" spans="1:30" x14ac:dyDescent="0.25">
      <c r="A73" s="2">
        <v>159</v>
      </c>
      <c r="B73" s="3" t="s">
        <v>373</v>
      </c>
      <c r="C73" s="4" t="s">
        <v>374</v>
      </c>
      <c r="D73" s="4">
        <f>_xlfn.XLOOKUP(C73,[1]Planilha2!$C$3:$C$329,[1]Planilha2!$I$3:$I$329)</f>
        <v>29</v>
      </c>
      <c r="E73" s="4">
        <v>119757</v>
      </c>
      <c r="F73" s="7">
        <v>118396</v>
      </c>
      <c r="G73" s="4">
        <v>117035</v>
      </c>
      <c r="H73" s="4">
        <v>115674</v>
      </c>
      <c r="I73" s="4">
        <v>115733</v>
      </c>
      <c r="J73" s="4">
        <f>_xlfn.XLOOKUP(C73,[1]Planilha2!$C$3:$C$329,[1]Planilha2!$D$3:$D$329,"")</f>
        <v>11</v>
      </c>
      <c r="K73" s="4" t="s">
        <v>21</v>
      </c>
      <c r="L73" s="4">
        <f>_xlfn.XLOOKUP(C73,[1]Planilha2!$C$3:$C$329,[1]Planilha2!$J$3:$J$329,"")</f>
        <v>1</v>
      </c>
      <c r="M73" s="42">
        <v>0.62027210603961802</v>
      </c>
      <c r="N73" s="43">
        <v>0.59649968328562697</v>
      </c>
      <c r="O73" s="43">
        <v>0.57768865432162797</v>
      </c>
      <c r="P73" s="43">
        <v>0.54665194369799497</v>
      </c>
      <c r="Q73" s="67">
        <v>0.59436268210364396</v>
      </c>
      <c r="R73" s="67">
        <v>0.687549490038592</v>
      </c>
      <c r="S73" s="67">
        <v>0.75196495606727298</v>
      </c>
      <c r="T73" s="49">
        <v>2698.0976307856699</v>
      </c>
      <c r="U73" s="49">
        <v>2431.0003539815498</v>
      </c>
      <c r="V73" s="49">
        <v>1827.98528787685</v>
      </c>
      <c r="W73" s="49">
        <v>1319.9570896657799</v>
      </c>
      <c r="X73" s="49">
        <v>1223.53507409296</v>
      </c>
      <c r="Y73" s="4"/>
      <c r="Z73" s="69">
        <v>15.7574755546649</v>
      </c>
      <c r="AA73" s="69">
        <v>7.95392580830433</v>
      </c>
      <c r="AB73" s="69">
        <v>14.149075063015299</v>
      </c>
      <c r="AC73" s="69">
        <v>5.0011152030707002</v>
      </c>
      <c r="AD73" s="70">
        <v>5.0128485393103102</v>
      </c>
    </row>
    <row r="74" spans="1:30" x14ac:dyDescent="0.25">
      <c r="A74" s="2">
        <v>160</v>
      </c>
      <c r="B74" s="3" t="s">
        <v>375</v>
      </c>
      <c r="C74" s="4" t="s">
        <v>376</v>
      </c>
      <c r="D74" s="4">
        <f>_xlfn.XLOOKUP(C74,[1]Planilha2!$C$3:$C$329,[1]Planilha2!$I$3:$I$329)</f>
        <v>11</v>
      </c>
      <c r="E74" s="4">
        <v>45079</v>
      </c>
      <c r="F74" s="7">
        <v>46691.666666666664</v>
      </c>
      <c r="G74" s="4">
        <v>48304.333333333336</v>
      </c>
      <c r="H74" s="4">
        <v>49917</v>
      </c>
      <c r="I74" s="4">
        <v>49922</v>
      </c>
      <c r="J74" s="4">
        <f>_xlfn.XLOOKUP(C74,[1]Planilha2!$C$3:$C$329,[1]Planilha2!$D$3:$D$329,"")</f>
        <v>7</v>
      </c>
      <c r="K74" s="4" t="s">
        <v>21</v>
      </c>
      <c r="L74" s="4">
        <f>_xlfn.XLOOKUP(C74,[1]Planilha2!$C$3:$C$329,[1]Planilha2!$J$3:$J$329,"")</f>
        <v>20</v>
      </c>
      <c r="M74" s="42">
        <v>0.53346896448331205</v>
      </c>
      <c r="N74" s="43">
        <v>0.50878541676730205</v>
      </c>
      <c r="O74" s="43">
        <v>0.46432673838571997</v>
      </c>
      <c r="P74" s="43">
        <v>0.44333807940386999</v>
      </c>
      <c r="Q74" s="67">
        <v>0.57941937714352798</v>
      </c>
      <c r="R74" s="67">
        <v>0.71837085768702602</v>
      </c>
      <c r="S74" s="67">
        <v>0.72150649700164904</v>
      </c>
      <c r="T74" s="49">
        <v>2299.6283315956398</v>
      </c>
      <c r="U74" s="49">
        <v>1897.3513655541699</v>
      </c>
      <c r="V74" s="49">
        <v>1606.1953714297499</v>
      </c>
      <c r="W74" s="49">
        <v>1032.8342384358</v>
      </c>
      <c r="X74" s="49">
        <v>1229.7048199190699</v>
      </c>
      <c r="Y74" s="4"/>
      <c r="Z74" s="69">
        <v>6.5091284189977596</v>
      </c>
      <c r="AA74" s="69">
        <v>5.7277244333392803</v>
      </c>
      <c r="AB74" s="69">
        <v>4.3264648444239002</v>
      </c>
      <c r="AC74" s="69">
        <v>3.5641164332792399</v>
      </c>
      <c r="AD74" s="70">
        <v>3.3555146027803402</v>
      </c>
    </row>
    <row r="75" spans="1:30" ht="25.5" x14ac:dyDescent="0.25">
      <c r="A75" s="2">
        <v>161</v>
      </c>
      <c r="B75" s="3" t="s">
        <v>377</v>
      </c>
      <c r="C75" s="4" t="s">
        <v>378</v>
      </c>
      <c r="D75" s="4">
        <f>_xlfn.XLOOKUP(C75,[1]Planilha2!$C$3:$C$329,[1]Planilha2!$I$3:$I$329)</f>
        <v>29</v>
      </c>
      <c r="E75" s="4">
        <v>58436</v>
      </c>
      <c r="F75" s="7">
        <v>59569.000000000007</v>
      </c>
      <c r="G75" s="4">
        <v>60701.999999999993</v>
      </c>
      <c r="H75" s="4">
        <v>61835</v>
      </c>
      <c r="I75" s="4">
        <v>61761</v>
      </c>
      <c r="J75" s="4">
        <f>_xlfn.XLOOKUP(C75,[1]Planilha2!$C$3:$C$329,[1]Planilha2!$D$3:$D$329,"")</f>
        <v>6</v>
      </c>
      <c r="K75" s="4" t="s">
        <v>21</v>
      </c>
      <c r="L75" s="4">
        <f>_xlfn.XLOOKUP(C75,[1]Planilha2!$C$3:$C$329,[1]Planilha2!$J$3:$J$329,"")</f>
        <v>1</v>
      </c>
      <c r="M75" s="42">
        <v>0.60593268590486105</v>
      </c>
      <c r="N75" s="43">
        <v>0.58871487704962999</v>
      </c>
      <c r="O75" s="43">
        <v>0.57284782889949104</v>
      </c>
      <c r="P75" s="43">
        <v>0.53344869739803402</v>
      </c>
      <c r="Q75" s="67">
        <v>0.75569707862453706</v>
      </c>
      <c r="R75" s="67">
        <v>0.77984026336309598</v>
      </c>
      <c r="S75" s="67">
        <v>0.82565712057812501</v>
      </c>
      <c r="T75" s="49">
        <v>2253.9369369909</v>
      </c>
      <c r="U75" s="49">
        <v>1699.92939985563</v>
      </c>
      <c r="V75" s="49">
        <v>1482.95538861982</v>
      </c>
      <c r="W75" s="49">
        <v>1120.3987811110201</v>
      </c>
      <c r="X75" s="49">
        <v>1078.09893946018</v>
      </c>
      <c r="Y75" s="4"/>
      <c r="Z75" s="69">
        <v>13.6481792045999</v>
      </c>
      <c r="AA75" s="69">
        <v>10.9418153737682</v>
      </c>
      <c r="AB75" s="69">
        <v>6.4970017462357097</v>
      </c>
      <c r="AC75" s="69">
        <v>5.0354168351257398</v>
      </c>
      <c r="AD75" s="70">
        <v>4.8001489613186301</v>
      </c>
    </row>
    <row r="76" spans="1:30" x14ac:dyDescent="0.25">
      <c r="A76" s="2">
        <v>162</v>
      </c>
      <c r="B76" s="3" t="s">
        <v>74</v>
      </c>
      <c r="C76" s="4" t="s">
        <v>75</v>
      </c>
      <c r="D76" s="4">
        <f>_xlfn.XLOOKUP(C76,[1]Planilha2!$C$3:$C$329,[1]Planilha2!$I$3:$I$329)</f>
        <v>28</v>
      </c>
      <c r="E76" s="4">
        <v>230175</v>
      </c>
      <c r="F76" s="7">
        <v>231640.66666666666</v>
      </c>
      <c r="G76" s="4">
        <v>233106.33333333334</v>
      </c>
      <c r="H76" s="4">
        <v>234572</v>
      </c>
      <c r="I76" s="4">
        <v>233173</v>
      </c>
      <c r="J76" s="4">
        <f>_xlfn.XLOOKUP(C76,[1]Planilha2!$C$3:$C$329,[1]Planilha2!$D$3:$D$329,"")</f>
        <v>12</v>
      </c>
      <c r="K76" s="4" t="s">
        <v>21</v>
      </c>
      <c r="L76" s="4">
        <f>_xlfn.XLOOKUP(C76,[1]Planilha2!$C$3:$C$329,[1]Planilha2!$J$3:$J$329,"")</f>
        <v>2</v>
      </c>
      <c r="M76" s="42">
        <v>0.68661900299601997</v>
      </c>
      <c r="N76" s="43">
        <v>0.66695831029901997</v>
      </c>
      <c r="O76" s="43">
        <v>0.64857725559742896</v>
      </c>
      <c r="P76" s="43">
        <v>0.63546306347647497</v>
      </c>
      <c r="Q76" s="67">
        <v>0.70716851622792998</v>
      </c>
      <c r="R76" s="67">
        <v>0.82969140006205999</v>
      </c>
      <c r="S76" s="67">
        <v>0.88885121167879</v>
      </c>
      <c r="T76" s="49">
        <v>2900.3827829694801</v>
      </c>
      <c r="U76" s="49">
        <v>2354.1451497866001</v>
      </c>
      <c r="V76" s="49">
        <v>2044.3531318325399</v>
      </c>
      <c r="W76" s="49">
        <v>1637.0473651586699</v>
      </c>
      <c r="X76" s="49">
        <v>1580.1125144420701</v>
      </c>
      <c r="Y76" s="4"/>
      <c r="Z76" s="69">
        <v>12.615531660693</v>
      </c>
      <c r="AA76" s="69">
        <v>9.6346942534557805</v>
      </c>
      <c r="AB76" s="69">
        <v>8.60220729023521</v>
      </c>
      <c r="AC76" s="69">
        <v>6.2488915983152298</v>
      </c>
      <c r="AD76" s="70">
        <v>5.2142229160323001</v>
      </c>
    </row>
    <row r="77" spans="1:30" ht="25.5" x14ac:dyDescent="0.25">
      <c r="A77" s="2">
        <v>163</v>
      </c>
      <c r="B77" s="3" t="s">
        <v>379</v>
      </c>
      <c r="C77" s="4" t="s">
        <v>380</v>
      </c>
      <c r="D77" s="4">
        <f>_xlfn.XLOOKUP(C77,[1]Planilha2!$C$3:$C$329,[1]Planilha2!$I$3:$I$329)</f>
        <v>10</v>
      </c>
      <c r="E77" s="4">
        <v>376236</v>
      </c>
      <c r="F77" s="7">
        <v>376436.33333333331</v>
      </c>
      <c r="G77" s="4">
        <v>376636.66666666669</v>
      </c>
      <c r="H77" s="4">
        <v>376837</v>
      </c>
      <c r="I77" s="4">
        <v>374883</v>
      </c>
      <c r="J77" s="4">
        <f>_xlfn.XLOOKUP(C77,[1]Planilha2!$C$3:$C$329,[1]Planilha2!$D$3:$D$329,"")</f>
        <v>15</v>
      </c>
      <c r="K77" s="4" t="s">
        <v>21</v>
      </c>
      <c r="L77" s="4">
        <f>_xlfn.XLOOKUP(C77,[1]Planilha2!$C$3:$C$329,[1]Planilha2!$J$3:$J$329,"")</f>
        <v>49</v>
      </c>
      <c r="M77" s="42">
        <v>0.68849976011879799</v>
      </c>
      <c r="N77" s="43">
        <v>0.66900674867909804</v>
      </c>
      <c r="O77" s="43">
        <v>0.65544950548911096</v>
      </c>
      <c r="P77" s="43">
        <v>0.64253934107441502</v>
      </c>
      <c r="Q77" s="67">
        <v>0.76674081546317796</v>
      </c>
      <c r="R77" s="67">
        <v>0.85477084201396603</v>
      </c>
      <c r="S77" s="67">
        <v>0.920315260684479</v>
      </c>
      <c r="T77" s="49">
        <v>2385.58700121732</v>
      </c>
      <c r="U77" s="49">
        <v>2024.1572645219301</v>
      </c>
      <c r="V77" s="49">
        <v>1721.2595660362299</v>
      </c>
      <c r="W77" s="49">
        <v>1399.6705641696501</v>
      </c>
      <c r="X77" s="49">
        <v>1330.31486519794</v>
      </c>
      <c r="Y77" s="4"/>
      <c r="Z77" s="69">
        <v>13.400262069552101</v>
      </c>
      <c r="AA77" s="69">
        <v>10.0315768314961</v>
      </c>
      <c r="AB77" s="69">
        <v>10.177707959040999</v>
      </c>
      <c r="AC77" s="69">
        <v>8.1330973338605297</v>
      </c>
      <c r="AD77" s="70">
        <v>8.0725106233144697</v>
      </c>
    </row>
    <row r="78" spans="1:30" x14ac:dyDescent="0.25">
      <c r="A78" s="2">
        <v>164</v>
      </c>
      <c r="B78" s="3" t="s">
        <v>381</v>
      </c>
      <c r="C78" s="4" t="s">
        <v>382</v>
      </c>
      <c r="D78" s="4">
        <f>_xlfn.XLOOKUP(C78,[1]Planilha2!$C$3:$C$329,[1]Planilha2!$I$3:$I$329)</f>
        <v>27</v>
      </c>
      <c r="E78" s="4">
        <v>150019</v>
      </c>
      <c r="F78" s="7">
        <v>148606.66666666669</v>
      </c>
      <c r="G78" s="4">
        <v>147194.33333333331</v>
      </c>
      <c r="H78" s="4">
        <v>145782</v>
      </c>
      <c r="I78" s="4">
        <v>145309</v>
      </c>
      <c r="J78" s="4">
        <f>_xlfn.XLOOKUP(C78,[1]Planilha2!$C$3:$C$329,[1]Planilha2!$D$3:$D$329,"")</f>
        <v>6</v>
      </c>
      <c r="K78" s="4" t="s">
        <v>21</v>
      </c>
      <c r="L78" s="4">
        <f>_xlfn.XLOOKUP(C78,[1]Planilha2!$C$3:$C$329,[1]Planilha2!$J$3:$J$329,"")</f>
        <v>1</v>
      </c>
      <c r="M78" s="42">
        <v>0.69649273428738001</v>
      </c>
      <c r="N78" s="43">
        <v>0.67332228414590201</v>
      </c>
      <c r="O78" s="43">
        <v>0.65806943244021898</v>
      </c>
      <c r="P78" s="43">
        <v>0.65319691829136495</v>
      </c>
      <c r="Q78" s="67">
        <v>0.85902182556846596</v>
      </c>
      <c r="R78" s="67">
        <v>0.90012668422470998</v>
      </c>
      <c r="S78" s="67">
        <v>0.96931799072880998</v>
      </c>
      <c r="T78" s="49">
        <v>1762.5979446603401</v>
      </c>
      <c r="U78" s="49">
        <v>1605.16921176708</v>
      </c>
      <c r="V78" s="49">
        <v>1280.3967591143701</v>
      </c>
      <c r="W78" s="49">
        <v>1113.8643316047201</v>
      </c>
      <c r="X78" s="49">
        <v>1008.84696123434</v>
      </c>
      <c r="Y78" s="4"/>
      <c r="Z78" s="69">
        <v>13.417067171491601</v>
      </c>
      <c r="AA78" s="69">
        <v>9.1972253375801891</v>
      </c>
      <c r="AB78" s="69">
        <v>7.7765357814952099</v>
      </c>
      <c r="AC78" s="69">
        <v>6.5232470401009701</v>
      </c>
      <c r="AD78" s="70">
        <v>7.2295246681210399</v>
      </c>
    </row>
    <row r="79" spans="1:30" ht="25.5" x14ac:dyDescent="0.25">
      <c r="A79" s="2">
        <v>165</v>
      </c>
      <c r="B79" s="3" t="s">
        <v>76</v>
      </c>
      <c r="C79" s="4" t="s">
        <v>77</v>
      </c>
      <c r="D79" s="4">
        <f>_xlfn.XLOOKUP(C79,[1]Planilha2!$C$3:$C$329,[1]Planilha2!$I$3:$I$329)</f>
        <v>28</v>
      </c>
      <c r="E79" s="4">
        <v>683026</v>
      </c>
      <c r="F79" s="7">
        <v>684443.99999999988</v>
      </c>
      <c r="G79" s="4">
        <v>685862.00000000012</v>
      </c>
      <c r="H79" s="4">
        <v>687280</v>
      </c>
      <c r="I79" s="4">
        <v>684998</v>
      </c>
      <c r="J79" s="4">
        <f>_xlfn.XLOOKUP(C79,[1]Planilha2!$C$3:$C$329,[1]Planilha2!$D$3:$D$329,"")</f>
        <v>39</v>
      </c>
      <c r="K79" s="4" t="s">
        <v>21</v>
      </c>
      <c r="L79" s="4">
        <f>_xlfn.XLOOKUP(C79,[1]Planilha2!$C$3:$C$329,[1]Planilha2!$J$3:$J$329,"")</f>
        <v>1</v>
      </c>
      <c r="M79" s="42">
        <v>0.70805845601198403</v>
      </c>
      <c r="N79" s="43">
        <v>0.68303773985631699</v>
      </c>
      <c r="O79" s="43">
        <v>0.65818100192061502</v>
      </c>
      <c r="P79" s="43">
        <v>0.63563222505759098</v>
      </c>
      <c r="Q79" s="67">
        <v>0.81494275704636399</v>
      </c>
      <c r="R79" s="67">
        <v>0.805806058264393</v>
      </c>
      <c r="S79" s="67">
        <v>0.92920405280751295</v>
      </c>
      <c r="T79" s="49">
        <v>1868.7059118100899</v>
      </c>
      <c r="U79" s="49">
        <v>1646.5126027062399</v>
      </c>
      <c r="V79" s="49">
        <v>1365.4587657867</v>
      </c>
      <c r="W79" s="49">
        <v>1154.3838953992599</v>
      </c>
      <c r="X79" s="49">
        <v>1061.28598391528</v>
      </c>
      <c r="Y79" s="4"/>
      <c r="Z79" s="69">
        <v>15.172933387601599</v>
      </c>
      <c r="AA79" s="69">
        <v>12.2960607441953</v>
      </c>
      <c r="AB79" s="69">
        <v>9.8955722871364795</v>
      </c>
      <c r="AC79" s="69">
        <v>7.2297768013036903</v>
      </c>
      <c r="AD79" s="70">
        <v>7.1178105629505497</v>
      </c>
    </row>
    <row r="80" spans="1:30" ht="25.5" x14ac:dyDescent="0.25">
      <c r="A80" s="2">
        <v>166</v>
      </c>
      <c r="B80" s="3" t="s">
        <v>383</v>
      </c>
      <c r="C80" s="4" t="s">
        <v>384</v>
      </c>
      <c r="D80" s="4">
        <f>_xlfn.XLOOKUP(C80,[1]Planilha2!$C$3:$C$329,[1]Planilha2!$I$3:$I$329)</f>
        <v>27</v>
      </c>
      <c r="E80" s="4">
        <v>480258</v>
      </c>
      <c r="F80" s="7">
        <v>481829.00000000006</v>
      </c>
      <c r="G80" s="4">
        <v>483399.99999999994</v>
      </c>
      <c r="H80" s="4">
        <v>484971</v>
      </c>
      <c r="I80" s="4">
        <v>482203</v>
      </c>
      <c r="J80" s="4">
        <f>_xlfn.XLOOKUP(C80,[1]Planilha2!$C$3:$C$329,[1]Planilha2!$D$3:$D$329,"")</f>
        <v>22</v>
      </c>
      <c r="K80" s="4" t="s">
        <v>21</v>
      </c>
      <c r="L80" s="4">
        <f>_xlfn.XLOOKUP(C80,[1]Planilha2!$C$3:$C$329,[1]Planilha2!$J$3:$J$329,"")</f>
        <v>1</v>
      </c>
      <c r="M80" s="42">
        <v>0.75606439027123695</v>
      </c>
      <c r="N80" s="43">
        <v>0.73290322576196398</v>
      </c>
      <c r="O80" s="43">
        <v>0.71009561726371295</v>
      </c>
      <c r="P80" s="43">
        <v>0.69083377000972601</v>
      </c>
      <c r="Q80" s="67">
        <v>0.82654838960143495</v>
      </c>
      <c r="R80" s="67">
        <v>0.82117022893393998</v>
      </c>
      <c r="S80" s="67">
        <v>0.95369187277616896</v>
      </c>
      <c r="T80" s="49">
        <v>1960.7064450566199</v>
      </c>
      <c r="U80" s="49">
        <v>1673.4100231064001</v>
      </c>
      <c r="V80" s="49">
        <v>1408.92635337195</v>
      </c>
      <c r="W80" s="49">
        <v>1202.36470487926</v>
      </c>
      <c r="X80" s="49">
        <v>1083.3339010541199</v>
      </c>
      <c r="Y80" s="4"/>
      <c r="Z80" s="69">
        <v>14.2062620508144</v>
      </c>
      <c r="AA80" s="69">
        <v>9.9929228004125896</v>
      </c>
      <c r="AB80" s="69">
        <v>8.4336884567645907</v>
      </c>
      <c r="AC80" s="69">
        <v>7.1132541945807102</v>
      </c>
      <c r="AD80" s="70">
        <v>7.9509625614108597</v>
      </c>
    </row>
    <row r="81" spans="1:30" x14ac:dyDescent="0.25">
      <c r="A81" s="2">
        <v>167</v>
      </c>
      <c r="B81" s="3" t="s">
        <v>385</v>
      </c>
      <c r="C81" s="4" t="s">
        <v>386</v>
      </c>
      <c r="D81" s="4">
        <f>_xlfn.XLOOKUP(C81,[1]Planilha2!$C$3:$C$329,[1]Planilha2!$I$3:$I$329)</f>
        <v>24</v>
      </c>
      <c r="E81" s="4">
        <v>188369</v>
      </c>
      <c r="F81" s="7">
        <v>186570.33333333334</v>
      </c>
      <c r="G81" s="4">
        <v>184771.66666666666</v>
      </c>
      <c r="H81" s="4">
        <v>182973</v>
      </c>
      <c r="I81" s="4">
        <v>181904</v>
      </c>
      <c r="J81" s="4">
        <f>_xlfn.XLOOKUP(C81,[1]Planilha2!$C$3:$C$329,[1]Planilha2!$D$3:$D$329,"")</f>
        <v>10</v>
      </c>
      <c r="K81" s="4" t="s">
        <v>21</v>
      </c>
      <c r="L81" s="4">
        <f>_xlfn.XLOOKUP(C81,[1]Planilha2!$C$3:$C$329,[1]Planilha2!$J$3:$J$329,"")</f>
        <v>2</v>
      </c>
      <c r="M81" s="42">
        <v>0.69665428015529396</v>
      </c>
      <c r="N81" s="43">
        <v>0.67274675861198097</v>
      </c>
      <c r="O81" s="43">
        <v>0.639850456078219</v>
      </c>
      <c r="P81" s="43">
        <v>0.62668622954965303</v>
      </c>
      <c r="Q81" s="67">
        <v>0.83179811172347895</v>
      </c>
      <c r="R81" s="67">
        <v>0.87378463364693404</v>
      </c>
      <c r="S81" s="67">
        <v>0.917156523998088</v>
      </c>
      <c r="T81" s="49">
        <v>1824.1560092690399</v>
      </c>
      <c r="U81" s="49">
        <v>1518.5698258386899</v>
      </c>
      <c r="V81" s="49">
        <v>1318.2017181205599</v>
      </c>
      <c r="W81" s="49">
        <v>1136.1114884163201</v>
      </c>
      <c r="X81" s="49">
        <v>1060.39221517944</v>
      </c>
      <c r="Y81" s="4"/>
      <c r="Z81" s="69">
        <v>10.2629413544692</v>
      </c>
      <c r="AA81" s="69">
        <v>9.5294732460144598</v>
      </c>
      <c r="AB81" s="69">
        <v>9.0359524818920693</v>
      </c>
      <c r="AC81" s="69">
        <v>6.6943046241795203</v>
      </c>
      <c r="AD81" s="70">
        <v>6.7024309525903796</v>
      </c>
    </row>
    <row r="82" spans="1:30" ht="25.5" x14ac:dyDescent="0.25">
      <c r="A82" s="2">
        <v>168</v>
      </c>
      <c r="B82" s="3" t="s">
        <v>387</v>
      </c>
      <c r="C82" s="4" t="s">
        <v>388</v>
      </c>
      <c r="D82" s="4">
        <f>_xlfn.XLOOKUP(C82,[1]Planilha2!$C$3:$C$329,[1]Planilha2!$I$3:$I$329)</f>
        <v>30</v>
      </c>
      <c r="E82" s="4">
        <v>157471</v>
      </c>
      <c r="F82" s="7">
        <v>159093.33333333334</v>
      </c>
      <c r="G82" s="4">
        <v>160715.66666666666</v>
      </c>
      <c r="H82" s="4">
        <v>162338</v>
      </c>
      <c r="I82" s="4">
        <v>161712</v>
      </c>
      <c r="J82" s="4">
        <f>_xlfn.XLOOKUP(C82,[1]Planilha2!$C$3:$C$329,[1]Planilha2!$D$3:$D$329,"")</f>
        <v>12</v>
      </c>
      <c r="K82" s="4" t="s">
        <v>21</v>
      </c>
      <c r="L82" s="4">
        <f>_xlfn.XLOOKUP(C82,[1]Planilha2!$C$3:$C$329,[1]Planilha2!$J$3:$J$329,"")</f>
        <v>1</v>
      </c>
      <c r="M82" s="42">
        <v>0.69321668454575902</v>
      </c>
      <c r="N82" s="43">
        <v>0.67717707628586299</v>
      </c>
      <c r="O82" s="43">
        <v>0.644282732939916</v>
      </c>
      <c r="P82" s="43">
        <v>0.64334558226971394</v>
      </c>
      <c r="Q82" s="67">
        <v>0.83491826082086995</v>
      </c>
      <c r="R82" s="67">
        <v>0.87330715342001497</v>
      </c>
      <c r="S82" s="67">
        <v>0.93646217730277304</v>
      </c>
      <c r="T82" s="49">
        <v>1328.08239625074</v>
      </c>
      <c r="U82" s="49">
        <v>1640.4175590429099</v>
      </c>
      <c r="V82" s="49">
        <v>1225.55801425706</v>
      </c>
      <c r="W82" s="49">
        <v>1148.14381056807</v>
      </c>
      <c r="X82" s="49">
        <v>965.19048357574002</v>
      </c>
      <c r="Y82" s="4"/>
      <c r="Z82" s="69">
        <v>18.8061674848067</v>
      </c>
      <c r="AA82" s="69">
        <v>14.8087600569896</v>
      </c>
      <c r="AB82" s="69">
        <v>14.184821226721301</v>
      </c>
      <c r="AC82" s="69">
        <v>13.7368145474257</v>
      </c>
      <c r="AD82" s="70">
        <v>4.7646123973483698</v>
      </c>
    </row>
    <row r="83" spans="1:30" x14ac:dyDescent="0.25">
      <c r="A83" s="2">
        <v>169</v>
      </c>
      <c r="B83" s="3" t="s">
        <v>78</v>
      </c>
      <c r="C83" s="4" t="s">
        <v>79</v>
      </c>
      <c r="D83" s="4">
        <f>_xlfn.XLOOKUP(C83,[1]Planilha2!$C$3:$C$329,[1]Planilha2!$I$3:$I$329)</f>
        <v>28</v>
      </c>
      <c r="E83" s="4">
        <v>130500</v>
      </c>
      <c r="F83" s="7">
        <v>130293.33333333333</v>
      </c>
      <c r="G83" s="4">
        <v>130086.66666666667</v>
      </c>
      <c r="H83" s="4">
        <v>129880</v>
      </c>
      <c r="I83" s="4">
        <v>129447</v>
      </c>
      <c r="J83" s="4">
        <f>_xlfn.XLOOKUP(C83,[1]Planilha2!$C$3:$C$329,[1]Planilha2!$D$3:$D$329,"")</f>
        <v>16</v>
      </c>
      <c r="K83" s="4" t="s">
        <v>21</v>
      </c>
      <c r="L83" s="4">
        <f>_xlfn.XLOOKUP(C83,[1]Planilha2!$C$3:$C$329,[1]Planilha2!$J$3:$J$329,"")</f>
        <v>3</v>
      </c>
      <c r="M83" s="42">
        <v>0.63008828643061798</v>
      </c>
      <c r="N83" s="43">
        <v>0.60778838389791401</v>
      </c>
      <c r="O83" s="43">
        <v>0.58346537650138597</v>
      </c>
      <c r="P83" s="43">
        <v>0.56169344751133699</v>
      </c>
      <c r="Q83" s="67">
        <v>0.73666017347409396</v>
      </c>
      <c r="R83" s="67">
        <v>0.86356583277814802</v>
      </c>
      <c r="S83" s="67">
        <v>0.93980267847076304</v>
      </c>
      <c r="T83" s="49">
        <v>1729.1996838314201</v>
      </c>
      <c r="U83" s="49">
        <v>1406.4777080178101</v>
      </c>
      <c r="V83" s="49">
        <v>1162.1985532721801</v>
      </c>
      <c r="W83" s="49">
        <v>927.08776639975304</v>
      </c>
      <c r="X83" s="49">
        <v>863.38071735922802</v>
      </c>
      <c r="Y83" s="4"/>
      <c r="Z83" s="69">
        <v>14.473226053639801</v>
      </c>
      <c r="AA83" s="69">
        <v>10.912054850593501</v>
      </c>
      <c r="AB83" s="69">
        <v>7.3104878798749597</v>
      </c>
      <c r="AC83" s="69">
        <v>4.7804819833692598</v>
      </c>
      <c r="AD83" s="70">
        <v>6.4971069240693096</v>
      </c>
    </row>
    <row r="84" spans="1:30" ht="25.5" x14ac:dyDescent="0.25">
      <c r="A84" s="2">
        <v>170</v>
      </c>
      <c r="B84" s="3" t="s">
        <v>389</v>
      </c>
      <c r="C84" s="4" t="s">
        <v>390</v>
      </c>
      <c r="D84" s="4">
        <f>_xlfn.XLOOKUP(C84,[1]Planilha2!$C$3:$C$329,[1]Planilha2!$I$3:$I$329)</f>
        <v>27</v>
      </c>
      <c r="E84" s="4">
        <v>257921</v>
      </c>
      <c r="F84" s="7">
        <v>255438</v>
      </c>
      <c r="G84" s="4">
        <v>252955</v>
      </c>
      <c r="H84" s="4">
        <v>250472</v>
      </c>
      <c r="I84" s="4">
        <v>249074</v>
      </c>
      <c r="J84" s="4">
        <f>_xlfn.XLOOKUP(C84,[1]Planilha2!$C$3:$C$329,[1]Planilha2!$D$3:$D$329,"")</f>
        <v>13</v>
      </c>
      <c r="K84" s="4" t="s">
        <v>21</v>
      </c>
      <c r="L84" s="4">
        <f>_xlfn.XLOOKUP(C84,[1]Planilha2!$C$3:$C$329,[1]Planilha2!$J$3:$J$329,"")</f>
        <v>1</v>
      </c>
      <c r="M84" s="42">
        <v>0.70067059012363098</v>
      </c>
      <c r="N84" s="43">
        <v>0.67456275635323804</v>
      </c>
      <c r="O84" s="43">
        <v>0.645654953847137</v>
      </c>
      <c r="P84" s="43">
        <v>0.63017001814721696</v>
      </c>
      <c r="Q84" s="67">
        <v>0.77385679139240804</v>
      </c>
      <c r="R84" s="67">
        <v>0.84588914470953303</v>
      </c>
      <c r="S84" s="67">
        <v>0.91911633729319397</v>
      </c>
      <c r="T84" s="49">
        <v>2535.6651294776302</v>
      </c>
      <c r="U84" s="49">
        <v>2907.7116373314302</v>
      </c>
      <c r="V84" s="49">
        <v>1910.12686920599</v>
      </c>
      <c r="W84" s="49">
        <v>1259.65642151618</v>
      </c>
      <c r="X84" s="49">
        <v>1212.89772144021</v>
      </c>
      <c r="Y84" s="4"/>
      <c r="Z84" s="69">
        <v>16.917118032265702</v>
      </c>
      <c r="AA84" s="69">
        <v>12.4638464128282</v>
      </c>
      <c r="AB84" s="69">
        <v>11.240082228064299</v>
      </c>
      <c r="AC84" s="69">
        <v>10.0515706346418</v>
      </c>
      <c r="AD84" s="70">
        <v>10.1548656222649</v>
      </c>
    </row>
    <row r="85" spans="1:30" ht="25.5" x14ac:dyDescent="0.25">
      <c r="A85" s="2">
        <v>171</v>
      </c>
      <c r="B85" s="3" t="s">
        <v>391</v>
      </c>
      <c r="C85" s="4" t="s">
        <v>392</v>
      </c>
      <c r="D85" s="4">
        <f>_xlfn.XLOOKUP(C85,[1]Planilha2!$C$3:$C$329,[1]Planilha2!$I$3:$I$329)</f>
        <v>29</v>
      </c>
      <c r="E85" s="4">
        <v>282714</v>
      </c>
      <c r="F85" s="7">
        <v>281292.33333333337</v>
      </c>
      <c r="G85" s="4">
        <v>279870.66666666669</v>
      </c>
      <c r="H85" s="4">
        <v>278449</v>
      </c>
      <c r="I85" s="4">
        <v>278377</v>
      </c>
      <c r="J85" s="4">
        <f>_xlfn.XLOOKUP(C85,[1]Planilha2!$C$3:$C$329,[1]Planilha2!$D$3:$D$329,"")</f>
        <v>22</v>
      </c>
      <c r="K85" s="4" t="s">
        <v>21</v>
      </c>
      <c r="L85" s="4">
        <f>_xlfn.XLOOKUP(C85,[1]Planilha2!$C$3:$C$329,[1]Planilha2!$J$3:$J$329,"")</f>
        <v>2</v>
      </c>
      <c r="M85" s="42">
        <v>0.66697046489002598</v>
      </c>
      <c r="N85" s="43">
        <v>0.64748365304450095</v>
      </c>
      <c r="O85" s="43">
        <v>0.62474241566678301</v>
      </c>
      <c r="P85" s="43">
        <v>0.616771259119827</v>
      </c>
      <c r="Q85" s="67">
        <v>0.69553333253931604</v>
      </c>
      <c r="R85" s="67">
        <v>0.78639083826815204</v>
      </c>
      <c r="S85" s="67">
        <v>0.87476382984044998</v>
      </c>
      <c r="T85" s="49">
        <v>2412.0429176482198</v>
      </c>
      <c r="U85" s="49">
        <v>2558.7612849502898</v>
      </c>
      <c r="V85" s="49">
        <v>1750.6804318423301</v>
      </c>
      <c r="W85" s="49">
        <v>1404.31575168164</v>
      </c>
      <c r="X85" s="49">
        <v>1194.1877159751</v>
      </c>
      <c r="Y85" s="4"/>
      <c r="Z85" s="69">
        <v>11.9514597791408</v>
      </c>
      <c r="AA85" s="69">
        <v>9.3218822174321598</v>
      </c>
      <c r="AB85" s="69">
        <v>11.4773335778907</v>
      </c>
      <c r="AC85" s="69">
        <v>7.2794371680271803</v>
      </c>
      <c r="AD85" s="70">
        <v>8.5548123587796407</v>
      </c>
    </row>
    <row r="86" spans="1:30" x14ac:dyDescent="0.25">
      <c r="A86" s="2">
        <v>172</v>
      </c>
      <c r="B86" s="3" t="s">
        <v>80</v>
      </c>
      <c r="C86" s="4" t="s">
        <v>81</v>
      </c>
      <c r="D86" s="4">
        <f>_xlfn.XLOOKUP(C86,[1]Planilha2!$C$3:$C$329,[1]Planilha2!$I$3:$I$329)</f>
        <v>27</v>
      </c>
      <c r="E86" s="4">
        <v>292156</v>
      </c>
      <c r="F86" s="7">
        <v>291086.66666666669</v>
      </c>
      <c r="G86" s="4">
        <v>290017.33333333331</v>
      </c>
      <c r="H86" s="4">
        <v>288948</v>
      </c>
      <c r="I86" s="4">
        <v>287364</v>
      </c>
      <c r="J86" s="4">
        <f>_xlfn.XLOOKUP(C86,[1]Planilha2!$C$3:$C$329,[1]Planilha2!$D$3:$D$329,"")</f>
        <v>17</v>
      </c>
      <c r="K86" s="4" t="s">
        <v>21</v>
      </c>
      <c r="L86" s="4">
        <f>_xlfn.XLOOKUP(C86,[1]Planilha2!$C$3:$C$329,[1]Planilha2!$J$3:$J$329,"")</f>
        <v>1</v>
      </c>
      <c r="M86" s="42">
        <v>0.63722367519409995</v>
      </c>
      <c r="N86" s="43">
        <v>0.622376731620639</v>
      </c>
      <c r="O86" s="43">
        <v>0.57861916746265796</v>
      </c>
      <c r="P86" s="43">
        <v>0.56959917908993496</v>
      </c>
      <c r="Q86" s="67">
        <v>0.65824707270369998</v>
      </c>
      <c r="R86" s="67">
        <v>0.71582824164532699</v>
      </c>
      <c r="S86" s="67">
        <v>0.87703536144966099</v>
      </c>
      <c r="T86" s="49">
        <v>1780.32555737346</v>
      </c>
      <c r="U86" s="49">
        <v>1488.1972874630701</v>
      </c>
      <c r="V86" s="49">
        <v>1288.4080706785301</v>
      </c>
      <c r="W86" s="49">
        <v>1055.10401695115</v>
      </c>
      <c r="X86" s="49">
        <v>964.62360027700095</v>
      </c>
      <c r="Y86" s="4"/>
      <c r="Z86" s="69">
        <v>10.891818069798299</v>
      </c>
      <c r="AA86" s="69">
        <v>7.0122861461649402</v>
      </c>
      <c r="AB86" s="69">
        <v>4.9244056677072203</v>
      </c>
      <c r="AC86" s="69">
        <v>5.2949458033971499</v>
      </c>
      <c r="AD86" s="70">
        <v>5.2535042663659999</v>
      </c>
    </row>
    <row r="87" spans="1:30" ht="25.5" x14ac:dyDescent="0.25">
      <c r="A87" s="2">
        <v>173</v>
      </c>
      <c r="B87" s="3" t="s">
        <v>393</v>
      </c>
      <c r="C87" s="4" t="s">
        <v>394</v>
      </c>
      <c r="D87" s="4">
        <f>_xlfn.XLOOKUP(C87,[1]Planilha2!$C$3:$C$329,[1]Planilha2!$I$3:$I$329)</f>
        <v>19</v>
      </c>
      <c r="E87" s="4">
        <v>169062</v>
      </c>
      <c r="F87" s="7">
        <v>166635.66666666666</v>
      </c>
      <c r="G87" s="4">
        <v>164209.33333333337</v>
      </c>
      <c r="H87" s="4">
        <v>161783</v>
      </c>
      <c r="I87" s="4">
        <v>161359</v>
      </c>
      <c r="J87" s="4">
        <f>_xlfn.XLOOKUP(C87,[1]Planilha2!$C$3:$C$329,[1]Planilha2!$D$3:$D$329,"")</f>
        <v>15</v>
      </c>
      <c r="K87" s="4" t="s">
        <v>21</v>
      </c>
      <c r="L87" s="4">
        <f>_xlfn.XLOOKUP(C87,[1]Planilha2!$C$3:$C$329,[1]Planilha2!$J$3:$J$329,"")</f>
        <v>15</v>
      </c>
      <c r="M87" s="42">
        <v>0.53930374609677401</v>
      </c>
      <c r="N87" s="43">
        <v>0.52986990061466199</v>
      </c>
      <c r="O87" s="43">
        <v>0.49509895168219198</v>
      </c>
      <c r="P87" s="43">
        <v>0.48985381354619201</v>
      </c>
      <c r="Q87" s="67">
        <v>0.52009520266813902</v>
      </c>
      <c r="R87" s="67">
        <v>0.56696960850783995</v>
      </c>
      <c r="S87" s="67">
        <v>0.76952165264662198</v>
      </c>
      <c r="T87" s="49">
        <v>1640.7237005359</v>
      </c>
      <c r="U87" s="49">
        <v>1343.4792193948099</v>
      </c>
      <c r="V87" s="49">
        <v>1231.9635274689999</v>
      </c>
      <c r="W87" s="49">
        <v>880.42894401760395</v>
      </c>
      <c r="X87" s="49">
        <v>844.97589945401296</v>
      </c>
      <c r="Y87" s="4"/>
      <c r="Z87" s="69">
        <v>8.1900722811749507</v>
      </c>
      <c r="AA87" s="69">
        <v>2.4374553666982099</v>
      </c>
      <c r="AB87" s="69">
        <v>3.36827991912762</v>
      </c>
      <c r="AC87" s="69">
        <v>1.1980616010334799</v>
      </c>
      <c r="AD87" s="70">
        <v>4.7828258727433903</v>
      </c>
    </row>
    <row r="88" spans="1:30" ht="25.5" x14ac:dyDescent="0.25">
      <c r="A88" s="2">
        <v>174</v>
      </c>
      <c r="B88" s="3" t="s">
        <v>395</v>
      </c>
      <c r="C88" s="4" t="s">
        <v>396</v>
      </c>
      <c r="D88" s="4">
        <f>_xlfn.XLOOKUP(C88,[1]Planilha2!$C$3:$C$329,[1]Planilha2!$I$3:$I$329)</f>
        <v>29</v>
      </c>
      <c r="E88" s="4">
        <v>452709</v>
      </c>
      <c r="F88" s="7">
        <v>462416.00000000006</v>
      </c>
      <c r="G88" s="4">
        <v>472122.99999999994</v>
      </c>
      <c r="H88" s="4">
        <v>481830</v>
      </c>
      <c r="I88" s="4">
        <v>479000</v>
      </c>
      <c r="J88" s="4">
        <f>_xlfn.XLOOKUP(C88,[1]Planilha2!$C$3:$C$329,[1]Planilha2!$D$3:$D$329,"")</f>
        <v>18</v>
      </c>
      <c r="K88" s="4" t="s">
        <v>21</v>
      </c>
      <c r="L88" s="4">
        <f>_xlfn.XLOOKUP(C88,[1]Planilha2!$C$3:$C$329,[1]Planilha2!$J$3:$J$329,"")</f>
        <v>2</v>
      </c>
      <c r="M88" s="42">
        <v>0.742986322416756</v>
      </c>
      <c r="N88" s="43">
        <v>0.73576092854333897</v>
      </c>
      <c r="O88" s="43">
        <v>0.70250067928522497</v>
      </c>
      <c r="P88" s="43">
        <v>0.68389896576200404</v>
      </c>
      <c r="Q88" s="67">
        <v>0.90794831968223</v>
      </c>
      <c r="R88" s="67">
        <v>0.85205377391061199</v>
      </c>
      <c r="S88" s="67">
        <v>0.96044327509286098</v>
      </c>
      <c r="T88" s="49">
        <v>2120.60947111721</v>
      </c>
      <c r="U88" s="49">
        <v>1806.59350691441</v>
      </c>
      <c r="V88" s="49">
        <v>1477.39907241686</v>
      </c>
      <c r="W88" s="49">
        <v>1308.27804524417</v>
      </c>
      <c r="X88" s="49">
        <v>1196.4359182672199</v>
      </c>
      <c r="Y88" s="4"/>
      <c r="Z88" s="69">
        <v>10.084093755591301</v>
      </c>
      <c r="AA88" s="69">
        <v>9.0148827030206604</v>
      </c>
      <c r="AB88" s="69">
        <v>7.5186847495250202</v>
      </c>
      <c r="AC88" s="69">
        <v>6.3199157379158599</v>
      </c>
      <c r="AD88" s="70">
        <v>6.5595803757828799</v>
      </c>
    </row>
    <row r="89" spans="1:30" x14ac:dyDescent="0.25">
      <c r="A89" s="2">
        <v>175</v>
      </c>
      <c r="B89" s="3" t="s">
        <v>397</v>
      </c>
      <c r="C89" s="4" t="s">
        <v>398</v>
      </c>
      <c r="D89" s="4">
        <f>_xlfn.XLOOKUP(C89,[1]Planilha2!$C$3:$C$329,[1]Planilha2!$I$3:$I$329)</f>
        <v>9</v>
      </c>
      <c r="E89" s="4">
        <v>812446</v>
      </c>
      <c r="F89" s="7">
        <v>824467.66666666663</v>
      </c>
      <c r="G89" s="4">
        <v>836489.33333333337</v>
      </c>
      <c r="H89" s="4">
        <v>848511</v>
      </c>
      <c r="I89" s="4">
        <v>844013</v>
      </c>
      <c r="J89" s="4">
        <f>_xlfn.XLOOKUP(C89,[1]Planilha2!$C$3:$C$329,[1]Planilha2!$D$3:$D$329,"")</f>
        <v>34</v>
      </c>
      <c r="K89" s="4" t="s">
        <v>21</v>
      </c>
      <c r="L89" s="4">
        <f>_xlfn.XLOOKUP(C89,[1]Planilha2!$C$3:$C$329,[1]Planilha2!$J$3:$J$329,"")</f>
        <v>1</v>
      </c>
      <c r="M89" s="42">
        <v>0.71802638276091701</v>
      </c>
      <c r="N89" s="43">
        <v>0.70218630626092904</v>
      </c>
      <c r="O89" s="43">
        <v>0.67753814505645804</v>
      </c>
      <c r="P89" s="43">
        <v>0.64596235709639505</v>
      </c>
      <c r="Q89" s="67">
        <v>0.83580983308015899</v>
      </c>
      <c r="R89" s="67">
        <v>0.80661634972033902</v>
      </c>
      <c r="S89" s="67">
        <v>0.93640063415831498</v>
      </c>
      <c r="T89" s="49">
        <v>1920.5381695275701</v>
      </c>
      <c r="U89" s="49">
        <v>1614.63757392548</v>
      </c>
      <c r="V89" s="49">
        <v>1345.82081616502</v>
      </c>
      <c r="W89" s="49">
        <v>1187.6756346470499</v>
      </c>
      <c r="X89" s="49">
        <v>1070.7213161171701</v>
      </c>
      <c r="Y89" s="4"/>
      <c r="Z89" s="69">
        <v>10.2829024944427</v>
      </c>
      <c r="AA89" s="69">
        <v>9.1991272752559894</v>
      </c>
      <c r="AB89" s="69">
        <v>7.7068490213862102</v>
      </c>
      <c r="AC89" s="69">
        <v>6.8721242270282898</v>
      </c>
      <c r="AD89" s="70">
        <v>6.1342526714635897</v>
      </c>
    </row>
    <row r="90" spans="1:30" ht="25.5" x14ac:dyDescent="0.25">
      <c r="A90" s="2">
        <v>176</v>
      </c>
      <c r="B90" s="3" t="s">
        <v>399</v>
      </c>
      <c r="C90" s="4" t="s">
        <v>400</v>
      </c>
      <c r="D90" s="4">
        <f>_xlfn.XLOOKUP(C90,[1]Planilha2!$C$3:$C$329,[1]Planilha2!$I$3:$I$329)</f>
        <v>14</v>
      </c>
      <c r="E90" s="4">
        <v>254349</v>
      </c>
      <c r="F90" s="7">
        <v>255355.66666666666</v>
      </c>
      <c r="G90" s="4">
        <v>256362.33333333334</v>
      </c>
      <c r="H90" s="4">
        <v>257369</v>
      </c>
      <c r="I90" s="4">
        <v>256719</v>
      </c>
      <c r="J90" s="4">
        <f>_xlfn.XLOOKUP(C90,[1]Planilha2!$C$3:$C$329,[1]Planilha2!$D$3:$D$329,"")</f>
        <v>21</v>
      </c>
      <c r="K90" s="4" t="s">
        <v>21</v>
      </c>
      <c r="L90" s="4">
        <f>_xlfn.XLOOKUP(C90,[1]Planilha2!$C$3:$C$329,[1]Planilha2!$J$3:$J$329,"")</f>
        <v>26</v>
      </c>
      <c r="M90" s="42">
        <v>0.62342502496517904</v>
      </c>
      <c r="N90" s="43">
        <v>0.600744830428807</v>
      </c>
      <c r="O90" s="43">
        <v>0.59832311583757203</v>
      </c>
      <c r="P90" s="43">
        <v>0.563476353133192</v>
      </c>
      <c r="Q90" s="67">
        <v>0.64316646452221904</v>
      </c>
      <c r="R90" s="67">
        <v>0.66374486566539304</v>
      </c>
      <c r="S90" s="67">
        <v>0.83265295057646305</v>
      </c>
      <c r="T90" s="49">
        <v>1801.8054901729499</v>
      </c>
      <c r="U90" s="49">
        <v>1453.68531637572</v>
      </c>
      <c r="V90" s="49">
        <v>1224.84719217722</v>
      </c>
      <c r="W90" s="49">
        <v>1045.51510753043</v>
      </c>
      <c r="X90" s="49">
        <v>933.78520978190204</v>
      </c>
      <c r="Y90" s="4"/>
      <c r="Z90" s="69">
        <v>8.1980782310919196</v>
      </c>
      <c r="AA90" s="69">
        <v>6.8917366235590398</v>
      </c>
      <c r="AB90" s="69">
        <v>5.9001686415190999</v>
      </c>
      <c r="AC90" s="69">
        <v>6.3498090290594398</v>
      </c>
      <c r="AD90" s="70">
        <v>4.1241902625049196</v>
      </c>
    </row>
    <row r="91" spans="1:30" ht="25.5" x14ac:dyDescent="0.25">
      <c r="A91" s="2" t="s">
        <v>401</v>
      </c>
      <c r="B91" s="3" t="s">
        <v>402</v>
      </c>
      <c r="C91" s="4" t="s">
        <v>403</v>
      </c>
      <c r="D91" s="4">
        <f>_xlfn.XLOOKUP(C91,[1]Planilha2!$C$3:$C$329,[1]Planilha2!$I$3:$I$329)</f>
        <v>39</v>
      </c>
      <c r="E91" s="4">
        <v>263516</v>
      </c>
      <c r="F91" s="7">
        <v>265263</v>
      </c>
      <c r="G91" s="4">
        <v>267010</v>
      </c>
      <c r="H91" s="4">
        <v>268757</v>
      </c>
      <c r="I91" s="4">
        <v>267649</v>
      </c>
      <c r="J91" s="4">
        <f>_xlfn.XLOOKUP(C91,[1]Planilha2!$C$3:$C$329,[1]Planilha2!$D$3:$D$329,"")</f>
        <v>19</v>
      </c>
      <c r="K91" s="4" t="s">
        <v>21</v>
      </c>
      <c r="L91" s="4">
        <f>_xlfn.XLOOKUP(C91,[1]Planilha2!$C$3:$C$329,[1]Planilha2!$J$3:$J$329,"")</f>
        <v>2</v>
      </c>
      <c r="M91" s="42">
        <v>0.67027531606996305</v>
      </c>
      <c r="N91" s="43">
        <v>0.64059489207645204</v>
      </c>
      <c r="O91" s="43">
        <v>0.60806577651930904</v>
      </c>
      <c r="P91" s="43">
        <v>0.58629067883683506</v>
      </c>
      <c r="Q91" s="67">
        <v>0.77017588754478605</v>
      </c>
      <c r="R91" s="67">
        <v>0.79675990037826305</v>
      </c>
      <c r="S91" s="67">
        <v>0.90227738212052</v>
      </c>
      <c r="T91" s="49">
        <v>2247.47836856206</v>
      </c>
      <c r="U91" s="49">
        <v>1353.9709570627399</v>
      </c>
      <c r="V91" s="49">
        <v>1094.2516559804301</v>
      </c>
      <c r="W91" s="49">
        <v>957.74036977641504</v>
      </c>
      <c r="X91" s="49">
        <v>820.50938826597496</v>
      </c>
      <c r="Y91" s="4"/>
      <c r="Z91" s="69">
        <v>10.8542896825999</v>
      </c>
      <c r="AA91" s="69">
        <v>2.33800416944693</v>
      </c>
      <c r="AB91" s="69">
        <v>1.56111381596195</v>
      </c>
      <c r="AC91" s="69">
        <v>1.26409730723293</v>
      </c>
      <c r="AD91" s="70">
        <v>2.3815706391579998</v>
      </c>
    </row>
    <row r="92" spans="1:30" x14ac:dyDescent="0.25">
      <c r="A92" s="2">
        <v>178</v>
      </c>
      <c r="B92" s="3" t="s">
        <v>404</v>
      </c>
      <c r="C92" s="4" t="s">
        <v>405</v>
      </c>
      <c r="D92" s="4">
        <f>_xlfn.XLOOKUP(C92,[1]Planilha2!$C$3:$C$329,[1]Planilha2!$I$3:$I$329)</f>
        <v>15</v>
      </c>
      <c r="E92" s="4">
        <v>337496</v>
      </c>
      <c r="F92" s="7">
        <v>341673.66666666663</v>
      </c>
      <c r="G92" s="4">
        <v>345851.33333333337</v>
      </c>
      <c r="H92" s="4">
        <v>350029</v>
      </c>
      <c r="I92" s="4">
        <v>347959</v>
      </c>
      <c r="J92" s="4">
        <f>_xlfn.XLOOKUP(C92,[1]Planilha2!$C$3:$C$329,[1]Planilha2!$D$3:$D$329,"")</f>
        <v>24</v>
      </c>
      <c r="K92" s="4" t="s">
        <v>21</v>
      </c>
      <c r="L92" s="4">
        <f>_xlfn.XLOOKUP(C92,[1]Planilha2!$C$3:$C$329,[1]Planilha2!$J$3:$J$329,"")</f>
        <v>1</v>
      </c>
      <c r="M92" s="42">
        <v>0.67645749462693905</v>
      </c>
      <c r="N92" s="43">
        <v>0.65438909907339804</v>
      </c>
      <c r="O92" s="43">
        <v>0.63006769724794198</v>
      </c>
      <c r="P92" s="43">
        <v>0.61171748625556499</v>
      </c>
      <c r="Q92" s="67">
        <v>0.76980591284887301</v>
      </c>
      <c r="R92" s="67">
        <v>0.80666644290321299</v>
      </c>
      <c r="S92" s="67">
        <v>0.92650920482210997</v>
      </c>
      <c r="T92" s="49">
        <v>1551.9780848069299</v>
      </c>
      <c r="U92" s="49">
        <v>1169.59883714578</v>
      </c>
      <c r="V92" s="49">
        <v>1033.01550217145</v>
      </c>
      <c r="W92" s="49">
        <v>847.486671647207</v>
      </c>
      <c r="X92" s="49">
        <v>776.72847507896097</v>
      </c>
      <c r="Y92" s="4"/>
      <c r="Z92" s="69">
        <v>8.7408650769194303</v>
      </c>
      <c r="AA92" s="69">
        <v>3.94095340485707</v>
      </c>
      <c r="AB92" s="69">
        <v>2.1493599369285801</v>
      </c>
      <c r="AC92" s="69">
        <v>4.3448457127838003</v>
      </c>
      <c r="AD92" s="70">
        <v>5.10251207757236</v>
      </c>
    </row>
    <row r="93" spans="1:30" x14ac:dyDescent="0.25">
      <c r="A93" s="2">
        <v>179</v>
      </c>
      <c r="B93" s="3" t="s">
        <v>406</v>
      </c>
      <c r="C93" s="4" t="s">
        <v>407</v>
      </c>
      <c r="D93" s="4">
        <f>_xlfn.XLOOKUP(C93,[1]Planilha2!$C$3:$C$329,[1]Planilha2!$I$3:$I$329)</f>
        <v>10</v>
      </c>
      <c r="E93" s="4">
        <v>39173</v>
      </c>
      <c r="F93" s="7">
        <v>38469.666666666672</v>
      </c>
      <c r="G93" s="4">
        <v>37766.333333333328</v>
      </c>
      <c r="H93" s="4">
        <v>37063</v>
      </c>
      <c r="I93" s="4">
        <v>36922</v>
      </c>
      <c r="J93" s="4">
        <f>_xlfn.XLOOKUP(C93,[1]Planilha2!$C$3:$C$329,[1]Planilha2!$D$3:$D$329,"")</f>
        <v>3</v>
      </c>
      <c r="K93" s="4" t="s">
        <v>21</v>
      </c>
      <c r="L93" s="4">
        <f>_xlfn.XLOOKUP(C93,[1]Planilha2!$C$3:$C$329,[1]Planilha2!$J$3:$J$329,"")</f>
        <v>21</v>
      </c>
      <c r="M93" s="42">
        <v>0.65312810526042198</v>
      </c>
      <c r="N93" s="43">
        <v>0.63565260417126401</v>
      </c>
      <c r="O93" s="43">
        <v>0.59312206783045096</v>
      </c>
      <c r="P93" s="43">
        <v>0.60909149287687603</v>
      </c>
      <c r="Q93" s="67">
        <v>0.68468668302456304</v>
      </c>
      <c r="R93" s="67">
        <v>0.70445635707287801</v>
      </c>
      <c r="S93" s="67">
        <v>0.95409426032003797</v>
      </c>
      <c r="T93" s="49">
        <v>1410.4171929645399</v>
      </c>
      <c r="U93" s="49">
        <v>1212.9973496867699</v>
      </c>
      <c r="V93" s="49">
        <v>1042.4266869963501</v>
      </c>
      <c r="W93" s="49">
        <v>860.27787443002501</v>
      </c>
      <c r="X93" s="49">
        <v>736.91080277341405</v>
      </c>
      <c r="Y93" s="4"/>
      <c r="Z93" s="69">
        <v>10.7702243892477</v>
      </c>
      <c r="AA93" s="69">
        <v>8.5069881898292206</v>
      </c>
      <c r="AB93" s="69">
        <v>5.5134025896080301</v>
      </c>
      <c r="AC93" s="69">
        <v>1.0509402908561101</v>
      </c>
      <c r="AD93" s="70">
        <v>1.60440929527111</v>
      </c>
    </row>
    <row r="94" spans="1:30" x14ac:dyDescent="0.25">
      <c r="A94" s="2">
        <v>180</v>
      </c>
      <c r="B94" s="3" t="s">
        <v>408</v>
      </c>
      <c r="C94" s="4" t="s">
        <v>409</v>
      </c>
      <c r="D94" s="4">
        <f>_xlfn.XLOOKUP(C94,[1]Planilha2!$C$3:$C$329,[1]Planilha2!$I$3:$I$329)</f>
        <v>46</v>
      </c>
      <c r="E94" s="4">
        <v>406739</v>
      </c>
      <c r="F94" s="7">
        <v>403475.33333333337</v>
      </c>
      <c r="G94" s="4">
        <v>400211.66666666663</v>
      </c>
      <c r="H94" s="4">
        <v>396948</v>
      </c>
      <c r="I94" s="4">
        <v>394516</v>
      </c>
      <c r="J94" s="4">
        <f>_xlfn.XLOOKUP(C94,[1]Planilha2!$C$3:$C$329,[1]Planilha2!$D$3:$D$329,"")</f>
        <v>30</v>
      </c>
      <c r="K94" s="4" t="s">
        <v>21</v>
      </c>
      <c r="L94" s="4">
        <f>_xlfn.XLOOKUP(C94,[1]Planilha2!$C$3:$C$329,[1]Planilha2!$J$3:$J$329,"")</f>
        <v>21</v>
      </c>
      <c r="M94" s="42">
        <v>0.70559003697871703</v>
      </c>
      <c r="N94" s="43">
        <v>0.690810278727507</v>
      </c>
      <c r="O94" s="43">
        <v>0.649875434313814</v>
      </c>
      <c r="P94" s="43">
        <v>0.64434488740634099</v>
      </c>
      <c r="Q94" s="67">
        <v>0.73719219562981297</v>
      </c>
      <c r="R94" s="67">
        <v>0.74186871530481802</v>
      </c>
      <c r="S94" s="67">
        <v>0.94997827241418098</v>
      </c>
      <c r="T94" s="49">
        <v>1649.7577502280301</v>
      </c>
      <c r="U94" s="49">
        <v>1395.87617917989</v>
      </c>
      <c r="V94" s="49">
        <v>1234.86421078013</v>
      </c>
      <c r="W94" s="49">
        <v>967.78711927003098</v>
      </c>
      <c r="X94" s="49">
        <v>875.73826770017001</v>
      </c>
      <c r="Y94" s="4"/>
      <c r="Z94" s="69">
        <v>9.8081398636472006</v>
      </c>
      <c r="AA94" s="69">
        <v>6.3750216865797702</v>
      </c>
      <c r="AB94" s="69">
        <v>3.6033482282292302</v>
      </c>
      <c r="AC94" s="69">
        <v>2.7592253897235901</v>
      </c>
      <c r="AD94" s="70">
        <v>4.9494114307150996</v>
      </c>
    </row>
    <row r="95" spans="1:30" ht="25.5" x14ac:dyDescent="0.25">
      <c r="A95" s="2">
        <v>181</v>
      </c>
      <c r="B95" s="3" t="s">
        <v>82</v>
      </c>
      <c r="C95" s="4" t="s">
        <v>83</v>
      </c>
      <c r="D95" s="4">
        <f>_xlfn.XLOOKUP(C95,[1]Planilha2!$C$3:$C$329,[1]Planilha2!$I$3:$I$329)</f>
        <v>29</v>
      </c>
      <c r="E95" s="4">
        <v>207172</v>
      </c>
      <c r="F95" s="7">
        <v>206875</v>
      </c>
      <c r="G95" s="4">
        <v>206578</v>
      </c>
      <c r="H95" s="4">
        <v>206281</v>
      </c>
      <c r="I95" s="4">
        <v>205738</v>
      </c>
      <c r="J95" s="4">
        <f>_xlfn.XLOOKUP(C95,[1]Planilha2!$C$3:$C$329,[1]Planilha2!$D$3:$D$329,"")</f>
        <v>15</v>
      </c>
      <c r="K95" s="4" t="s">
        <v>21</v>
      </c>
      <c r="L95" s="4">
        <f>_xlfn.XLOOKUP(C95,[1]Planilha2!$C$3:$C$329,[1]Planilha2!$J$3:$J$329,"")</f>
        <v>1</v>
      </c>
      <c r="M95" s="42">
        <v>0.70540286420946596</v>
      </c>
      <c r="N95" s="43">
        <v>0.69309041588810705</v>
      </c>
      <c r="O95" s="43">
        <v>0.65399731676693396</v>
      </c>
      <c r="P95" s="43">
        <v>0.64581118558555095</v>
      </c>
      <c r="Q95" s="67">
        <v>0.74195701155657101</v>
      </c>
      <c r="R95" s="67">
        <v>0.79174609687382003</v>
      </c>
      <c r="S95" s="67">
        <v>0.98028489093708004</v>
      </c>
      <c r="T95" s="49">
        <v>1796.7959177881201</v>
      </c>
      <c r="U95" s="49">
        <v>1557.0036265377601</v>
      </c>
      <c r="V95" s="49">
        <v>1341.52947867956</v>
      </c>
      <c r="W95" s="49">
        <v>1303.30444243532</v>
      </c>
      <c r="X95" s="49">
        <v>1044.8446667606399</v>
      </c>
      <c r="Y95" s="4"/>
      <c r="Z95" s="69">
        <v>7.3622448979591804</v>
      </c>
      <c r="AA95" s="69">
        <v>6.6266731117824804</v>
      </c>
      <c r="AB95" s="69">
        <v>5.8216509018385301</v>
      </c>
      <c r="AC95" s="69">
        <v>5.00582700297167</v>
      </c>
      <c r="AD95" s="70">
        <v>3.99880430450379</v>
      </c>
    </row>
    <row r="96" spans="1:30" ht="25.5" x14ac:dyDescent="0.25">
      <c r="A96" s="2">
        <v>182</v>
      </c>
      <c r="B96" s="3" t="s">
        <v>410</v>
      </c>
      <c r="C96" s="4" t="s">
        <v>411</v>
      </c>
      <c r="D96" s="4">
        <f>_xlfn.XLOOKUP(C96,[1]Planilha2!$C$3:$C$329,[1]Planilha2!$I$3:$I$329)</f>
        <v>29</v>
      </c>
      <c r="E96" s="4">
        <v>72114</v>
      </c>
      <c r="F96" s="7">
        <v>72055.666666666657</v>
      </c>
      <c r="G96" s="4">
        <v>71997.333333333343</v>
      </c>
      <c r="H96" s="4">
        <v>71939</v>
      </c>
      <c r="I96" s="4">
        <v>71918</v>
      </c>
      <c r="J96" s="4">
        <f>_xlfn.XLOOKUP(C96,[1]Planilha2!$C$3:$C$329,[1]Planilha2!$D$3:$D$329,"")</f>
        <v>8</v>
      </c>
      <c r="K96" s="4" t="s">
        <v>21</v>
      </c>
      <c r="L96" s="4">
        <f>_xlfn.XLOOKUP(C96,[1]Planilha2!$C$3:$C$329,[1]Planilha2!$J$3:$J$329,"")</f>
        <v>1</v>
      </c>
      <c r="M96" s="42">
        <v>0.68960182960396399</v>
      </c>
      <c r="N96" s="43">
        <v>0.66502961637468105</v>
      </c>
      <c r="O96" s="43">
        <v>0.639396946023715</v>
      </c>
      <c r="P96" s="43">
        <v>0.61329078533885795</v>
      </c>
      <c r="Q96" s="67">
        <v>0.83543441053372303</v>
      </c>
      <c r="R96" s="67">
        <v>0.85888615319085904</v>
      </c>
      <c r="S96" s="67">
        <v>0.92572283973480496</v>
      </c>
      <c r="T96" s="49">
        <v>1901.3211619103099</v>
      </c>
      <c r="U96" s="49">
        <v>1903.02737665786</v>
      </c>
      <c r="V96" s="49">
        <v>1564.78618930331</v>
      </c>
      <c r="W96" s="49">
        <v>1302.2048859450399</v>
      </c>
      <c r="X96" s="49">
        <v>1114.75611585417</v>
      </c>
      <c r="Y96" s="4"/>
      <c r="Z96" s="69">
        <v>12.4314141498183</v>
      </c>
      <c r="AA96" s="69">
        <v>7.5534656076089304</v>
      </c>
      <c r="AB96" s="69">
        <v>6.2968443275676904</v>
      </c>
      <c r="AC96" s="69">
        <v>5.4524805738194901</v>
      </c>
      <c r="AD96" s="70">
        <v>4.7524124697572203</v>
      </c>
    </row>
    <row r="97" spans="1:30" x14ac:dyDescent="0.25">
      <c r="A97" s="2">
        <v>183</v>
      </c>
      <c r="B97" s="3" t="s">
        <v>84</v>
      </c>
      <c r="C97" s="4" t="s">
        <v>85</v>
      </c>
      <c r="D97" s="4">
        <f>_xlfn.XLOOKUP(C97,[1]Planilha2!$C$3:$C$329,[1]Planilha2!$I$3:$I$329)</f>
        <v>28</v>
      </c>
      <c r="E97" s="4">
        <v>180449</v>
      </c>
      <c r="F97" s="7">
        <v>180617</v>
      </c>
      <c r="G97" s="4">
        <v>180785</v>
      </c>
      <c r="H97" s="4">
        <v>180953</v>
      </c>
      <c r="I97" s="4">
        <v>180989</v>
      </c>
      <c r="J97" s="4">
        <f>_xlfn.XLOOKUP(C97,[1]Planilha2!$C$3:$C$329,[1]Planilha2!$D$3:$D$329,"")</f>
        <v>27</v>
      </c>
      <c r="K97" s="4" t="s">
        <v>21</v>
      </c>
      <c r="L97" s="4">
        <f>_xlfn.XLOOKUP(C97,[1]Planilha2!$C$3:$C$329,[1]Planilha2!$J$3:$J$329,"")</f>
        <v>1</v>
      </c>
      <c r="M97" s="42">
        <v>0.61375795947594503</v>
      </c>
      <c r="N97" s="43">
        <v>0.59853701173585605</v>
      </c>
      <c r="O97" s="43">
        <v>0.56549763032389599</v>
      </c>
      <c r="P97" s="43">
        <v>0.55857393598506</v>
      </c>
      <c r="Q97" s="67">
        <v>0.68503113919849501</v>
      </c>
      <c r="R97" s="67">
        <v>0.80391515999668095</v>
      </c>
      <c r="S97" s="67">
        <v>0.93331011533036501</v>
      </c>
      <c r="T97" s="49">
        <v>2122.5751349134698</v>
      </c>
      <c r="U97" s="49">
        <v>1867.1791920103501</v>
      </c>
      <c r="V97" s="49">
        <v>1643.11978899429</v>
      </c>
      <c r="W97" s="49">
        <v>1358.22996623433</v>
      </c>
      <c r="X97" s="49">
        <v>1124.6931473735999</v>
      </c>
      <c r="Y97" s="4"/>
      <c r="Z97" s="69">
        <v>6.8581649108612401</v>
      </c>
      <c r="AA97" s="69">
        <v>8.2970539871662101</v>
      </c>
      <c r="AB97" s="69">
        <v>4.4351356583787398</v>
      </c>
      <c r="AC97" s="69">
        <v>3.8624007338922302</v>
      </c>
      <c r="AD97" s="70">
        <v>3.7334699898888899</v>
      </c>
    </row>
    <row r="98" spans="1:30" ht="25.5" x14ac:dyDescent="0.25">
      <c r="A98" s="2">
        <v>232</v>
      </c>
      <c r="B98" s="3" t="s">
        <v>412</v>
      </c>
      <c r="C98" s="4" t="s">
        <v>413</v>
      </c>
      <c r="D98" s="4">
        <f>_xlfn.XLOOKUP(C98,[1]Planilha2!$C$3:$C$329,[1]Planilha2!$I$3:$I$329)</f>
        <v>14</v>
      </c>
      <c r="E98" s="4">
        <v>33382</v>
      </c>
      <c r="F98" s="7">
        <v>33712.333333333336</v>
      </c>
      <c r="G98" s="4">
        <v>34042.666666666664</v>
      </c>
      <c r="H98" s="4">
        <v>34373</v>
      </c>
      <c r="I98" s="4">
        <v>34271</v>
      </c>
      <c r="J98" s="4">
        <f>_xlfn.XLOOKUP(C98,[1]Planilha2!$C$3:$C$329,[1]Planilha2!$D$3:$D$329,"")</f>
        <v>2</v>
      </c>
      <c r="K98" s="4" t="s">
        <v>21</v>
      </c>
      <c r="L98" s="4">
        <f>_xlfn.XLOOKUP(C98,[1]Planilha2!$C$3:$C$329,[1]Planilha2!$J$3:$J$329,"")</f>
        <v>1</v>
      </c>
      <c r="M98" s="42">
        <v>0.58437235037622204</v>
      </c>
      <c r="N98" s="43">
        <v>0.55828193639354495</v>
      </c>
      <c r="O98" s="43">
        <v>0.53550993221423804</v>
      </c>
      <c r="P98" s="43">
        <v>0.53082244755040697</v>
      </c>
      <c r="Q98" s="67">
        <v>0.41601988093372999</v>
      </c>
      <c r="R98" s="67">
        <v>0.79764588751370802</v>
      </c>
      <c r="S98" s="67">
        <v>0.85513246122512898</v>
      </c>
      <c r="T98" s="49">
        <v>2652.8992229345199</v>
      </c>
      <c r="U98" s="49">
        <v>2253.4274508834601</v>
      </c>
      <c r="V98" s="49">
        <v>1544.7241030863199</v>
      </c>
      <c r="W98" s="49">
        <v>1591.28983940884</v>
      </c>
      <c r="X98" s="49">
        <v>1663.9244448659199</v>
      </c>
      <c r="Y98" s="4"/>
      <c r="Z98" s="69">
        <v>24.586573602540302</v>
      </c>
      <c r="AA98" s="69">
        <v>21.963060007712301</v>
      </c>
      <c r="AB98" s="69">
        <v>13.0907488641705</v>
      </c>
      <c r="AC98" s="69">
        <v>9.2923806476013109</v>
      </c>
      <c r="AD98" s="70">
        <v>6.4295760263779904</v>
      </c>
    </row>
    <row r="99" spans="1:30" x14ac:dyDescent="0.25">
      <c r="A99" s="2">
        <v>233</v>
      </c>
      <c r="B99" s="3" t="s">
        <v>414</v>
      </c>
      <c r="C99" s="4" t="s">
        <v>415</v>
      </c>
      <c r="D99" s="4">
        <f>_xlfn.XLOOKUP(C99,[1]Planilha2!$C$3:$C$329,[1]Planilha2!$I$3:$I$329)</f>
        <v>17</v>
      </c>
      <c r="E99" s="4">
        <v>244262</v>
      </c>
      <c r="F99" s="7">
        <v>243503.66666666666</v>
      </c>
      <c r="G99" s="4">
        <v>242745.33333333334</v>
      </c>
      <c r="H99" s="4">
        <v>241987</v>
      </c>
      <c r="I99" s="4">
        <v>241148</v>
      </c>
      <c r="J99" s="4">
        <f>_xlfn.XLOOKUP(C99,[1]Planilha2!$C$3:$C$329,[1]Planilha2!$D$3:$D$329,"")</f>
        <v>9</v>
      </c>
      <c r="K99" s="4" t="s">
        <v>21</v>
      </c>
      <c r="L99" s="4">
        <f>_xlfn.XLOOKUP(C99,[1]Planilha2!$C$3:$C$329,[1]Planilha2!$J$3:$J$329,"")</f>
        <v>1</v>
      </c>
      <c r="M99" s="42">
        <v>0.66465244561683501</v>
      </c>
      <c r="N99" s="43">
        <v>0.64584226377163401</v>
      </c>
      <c r="O99" s="43">
        <v>0.61626984755379399</v>
      </c>
      <c r="P99" s="43">
        <v>0.613988387214491</v>
      </c>
      <c r="Q99" s="67">
        <v>0.76363740216083797</v>
      </c>
      <c r="R99" s="67">
        <v>0.85625161692088803</v>
      </c>
      <c r="S99" s="67">
        <v>0.93321014712263595</v>
      </c>
      <c r="T99" s="49">
        <v>2937.4072228181199</v>
      </c>
      <c r="U99" s="49">
        <v>2371.4489573873602</v>
      </c>
      <c r="V99" s="49">
        <v>2064.8374082852301</v>
      </c>
      <c r="W99" s="49">
        <v>1771.1968391277201</v>
      </c>
      <c r="X99" s="49">
        <v>1539.8013286861201</v>
      </c>
      <c r="Y99" s="4"/>
      <c r="Z99" s="69">
        <v>22.330800533853001</v>
      </c>
      <c r="AA99" s="69">
        <v>21.456412018436399</v>
      </c>
      <c r="AB99" s="69">
        <v>18.7144030231958</v>
      </c>
      <c r="AC99" s="69">
        <v>17.624285602119102</v>
      </c>
      <c r="AD99" s="70">
        <v>13.5557292616982</v>
      </c>
    </row>
    <row r="100" spans="1:30" ht="25.5" x14ac:dyDescent="0.25">
      <c r="A100" s="2">
        <v>234</v>
      </c>
      <c r="B100" s="3" t="s">
        <v>86</v>
      </c>
      <c r="C100" s="4" t="s">
        <v>87</v>
      </c>
      <c r="D100" s="4">
        <f>_xlfn.XLOOKUP(C100,[1]Planilha2!$C$3:$C$329,[1]Planilha2!$I$3:$I$329)</f>
        <v>7</v>
      </c>
      <c r="E100" s="4">
        <v>136909</v>
      </c>
      <c r="F100" s="7">
        <v>136301.33333333331</v>
      </c>
      <c r="G100" s="4">
        <v>135693.66666666669</v>
      </c>
      <c r="H100" s="4">
        <v>135086</v>
      </c>
      <c r="I100" s="4">
        <v>134858</v>
      </c>
      <c r="J100" s="4">
        <f>_xlfn.XLOOKUP(C100,[1]Planilha2!$C$3:$C$329,[1]Planilha2!$D$3:$D$329,"")</f>
        <v>6</v>
      </c>
      <c r="K100" s="4" t="s">
        <v>21</v>
      </c>
      <c r="L100" s="4">
        <f>_xlfn.XLOOKUP(C100,[1]Planilha2!$C$3:$C$329,[1]Planilha2!$J$3:$J$329,"")</f>
        <v>2</v>
      </c>
      <c r="M100" s="42">
        <v>0.58278184170367597</v>
      </c>
      <c r="N100" s="43">
        <v>0.57472587150960097</v>
      </c>
      <c r="O100" s="43">
        <v>0.53538214840916198</v>
      </c>
      <c r="P100" s="43">
        <v>0.54142727016565595</v>
      </c>
      <c r="Q100" s="67">
        <v>0.63218507373225497</v>
      </c>
      <c r="R100" s="67">
        <v>0.81377808003812502</v>
      </c>
      <c r="S100" s="67">
        <v>0.90502717591830595</v>
      </c>
      <c r="T100" s="49">
        <v>2839.4585840229602</v>
      </c>
      <c r="U100" s="49">
        <v>2216.5255472433601</v>
      </c>
      <c r="V100" s="49">
        <v>2159.4096411770602</v>
      </c>
      <c r="W100" s="49">
        <v>1618.2259665694401</v>
      </c>
      <c r="X100" s="49">
        <v>1384.6226745910501</v>
      </c>
      <c r="Y100" s="4"/>
      <c r="Z100" s="69">
        <v>21.666617972521902</v>
      </c>
      <c r="AA100" s="69">
        <v>21.2065717136541</v>
      </c>
      <c r="AB100" s="69">
        <v>19.851427602860401</v>
      </c>
      <c r="AC100" s="69">
        <v>16.223709340716301</v>
      </c>
      <c r="AD100" s="70">
        <v>15.221981639947201</v>
      </c>
    </row>
    <row r="101" spans="1:30" ht="25.5" x14ac:dyDescent="0.25">
      <c r="A101" s="2">
        <v>235</v>
      </c>
      <c r="B101" s="3" t="s">
        <v>416</v>
      </c>
      <c r="C101" s="4" t="s">
        <v>417</v>
      </c>
      <c r="D101" s="4">
        <f>_xlfn.XLOOKUP(C101,[1]Planilha2!$C$3:$C$329,[1]Planilha2!$I$3:$I$329)</f>
        <v>6</v>
      </c>
      <c r="E101" s="4">
        <v>680391</v>
      </c>
      <c r="F101" s="7">
        <v>677896.33333333337</v>
      </c>
      <c r="G101" s="4">
        <v>675401.66666666663</v>
      </c>
      <c r="H101" s="4">
        <v>672907</v>
      </c>
      <c r="I101" s="4">
        <v>668732</v>
      </c>
      <c r="J101" s="4">
        <f>_xlfn.XLOOKUP(C101,[1]Planilha2!$C$3:$C$329,[1]Planilha2!$D$3:$D$329,"")</f>
        <v>7</v>
      </c>
      <c r="K101" s="4" t="s">
        <v>21</v>
      </c>
      <c r="L101" s="4">
        <f>_xlfn.XLOOKUP(C101,[1]Planilha2!$C$3:$C$329,[1]Planilha2!$J$3:$J$329,"")</f>
        <v>38</v>
      </c>
      <c r="M101" s="42">
        <v>0.59298449035226097</v>
      </c>
      <c r="N101" s="43">
        <v>0.573856461266259</v>
      </c>
      <c r="O101" s="43">
        <v>0.54923177883422203</v>
      </c>
      <c r="P101" s="43">
        <v>0.53021627737269905</v>
      </c>
      <c r="Q101" s="67">
        <v>0.61590511305618101</v>
      </c>
      <c r="R101" s="67">
        <v>0.75561898223526203</v>
      </c>
      <c r="S101" s="67">
        <v>0.96189364027825397</v>
      </c>
      <c r="T101" s="49">
        <v>2206.6105270204898</v>
      </c>
      <c r="U101" s="49">
        <v>2012.6518884008301</v>
      </c>
      <c r="V101" s="49">
        <v>1699.6113230497399</v>
      </c>
      <c r="W101" s="49">
        <v>1338.03198247306</v>
      </c>
      <c r="X101" s="49">
        <v>1534.9948180287499</v>
      </c>
      <c r="Y101" s="4"/>
      <c r="Z101" s="69">
        <v>18.924976961776402</v>
      </c>
      <c r="AA101" s="69">
        <v>16.016260106633801</v>
      </c>
      <c r="AB101" s="69">
        <v>14.331741358845701</v>
      </c>
      <c r="AC101" s="69">
        <v>11.5963216313696</v>
      </c>
      <c r="AD101" s="70">
        <v>9.81667244875376</v>
      </c>
    </row>
    <row r="102" spans="1:30" x14ac:dyDescent="0.25">
      <c r="A102" s="2">
        <v>236</v>
      </c>
      <c r="B102" s="3" t="s">
        <v>88</v>
      </c>
      <c r="C102" s="4" t="s">
        <v>89</v>
      </c>
      <c r="D102" s="4">
        <f>_xlfn.XLOOKUP(C102,[1]Planilha2!$C$3:$C$329,[1]Planilha2!$I$3:$I$329)</f>
        <v>20</v>
      </c>
      <c r="E102" s="4">
        <v>915975</v>
      </c>
      <c r="F102" s="7">
        <v>922024.33333333326</v>
      </c>
      <c r="G102" s="4">
        <v>928073.66666666674</v>
      </c>
      <c r="H102" s="4">
        <v>934123</v>
      </c>
      <c r="I102" s="4">
        <v>929855</v>
      </c>
      <c r="J102" s="4">
        <f>_xlfn.XLOOKUP(C102,[1]Planilha2!$C$3:$C$329,[1]Planilha2!$D$3:$D$329,"")</f>
        <v>14</v>
      </c>
      <c r="K102" s="4" t="s">
        <v>21</v>
      </c>
      <c r="L102" s="4">
        <f>_xlfn.XLOOKUP(C102,[1]Planilha2!$C$3:$C$329,[1]Planilha2!$J$3:$J$329,"")</f>
        <v>2</v>
      </c>
      <c r="M102" s="42">
        <v>0.68407300844916197</v>
      </c>
      <c r="N102" s="43">
        <v>0.66283772412462905</v>
      </c>
      <c r="O102" s="43">
        <v>0.63949265161012003</v>
      </c>
      <c r="P102" s="43">
        <v>0.63054818901871801</v>
      </c>
      <c r="Q102" s="67">
        <v>0.65746760458311304</v>
      </c>
      <c r="R102" s="67">
        <v>0.72452290443179601</v>
      </c>
      <c r="S102" s="67">
        <v>0.97059808700530603</v>
      </c>
      <c r="T102" s="49">
        <v>1882.8402308141599</v>
      </c>
      <c r="U102" s="49">
        <v>1714.92078992492</v>
      </c>
      <c r="V102" s="49">
        <v>1663.9274408209701</v>
      </c>
      <c r="W102" s="49">
        <v>1438.24521225791</v>
      </c>
      <c r="X102" s="49">
        <v>1256.04535709331</v>
      </c>
      <c r="Y102" s="4"/>
      <c r="Z102" s="69">
        <v>22.4107404678075</v>
      </c>
      <c r="AA102" s="69">
        <v>20.2034429315495</v>
      </c>
      <c r="AB102" s="69">
        <v>18.093432238317298</v>
      </c>
      <c r="AC102" s="69">
        <v>15.9307264674995</v>
      </c>
      <c r="AD102" s="70">
        <v>10.920962945835599</v>
      </c>
    </row>
    <row r="103" spans="1:30" ht="25.5" x14ac:dyDescent="0.25">
      <c r="A103" s="2">
        <v>265</v>
      </c>
      <c r="B103" s="3" t="s">
        <v>90</v>
      </c>
      <c r="C103" s="4" t="s">
        <v>91</v>
      </c>
      <c r="D103" s="4">
        <f>_xlfn.XLOOKUP(C103,[1]Planilha2!$C$3:$C$329,[1]Planilha2!$I$3:$I$329)</f>
        <v>15</v>
      </c>
      <c r="E103" s="4">
        <v>54601</v>
      </c>
      <c r="F103" s="7">
        <v>52485.333333333343</v>
      </c>
      <c r="G103" s="4">
        <v>50369.666666666657</v>
      </c>
      <c r="H103" s="4">
        <v>48254</v>
      </c>
      <c r="I103" s="4">
        <v>48017</v>
      </c>
      <c r="J103" s="4">
        <f>_xlfn.XLOOKUP(C103,[1]Planilha2!$C$3:$C$329,[1]Planilha2!$D$3:$D$329,"")</f>
        <v>6</v>
      </c>
      <c r="K103" s="4" t="s">
        <v>21</v>
      </c>
      <c r="L103" s="4">
        <f>_xlfn.XLOOKUP(C103,[1]Planilha2!$C$3:$C$329,[1]Planilha2!$J$3:$J$329,"")</f>
        <v>2</v>
      </c>
      <c r="M103" s="42">
        <v>0.78339740562442794</v>
      </c>
      <c r="N103" s="43">
        <v>0.79251736693380304</v>
      </c>
      <c r="O103" s="43">
        <v>0.74097882662577197</v>
      </c>
      <c r="P103" s="43">
        <v>0.74601519461857302</v>
      </c>
      <c r="Q103" s="67">
        <v>0.91092382518579296</v>
      </c>
      <c r="R103" s="67">
        <v>0.91732611227656902</v>
      </c>
      <c r="S103" s="67">
        <v>0.96309454698264196</v>
      </c>
      <c r="T103" s="49">
        <v>1848.97763557444</v>
      </c>
      <c r="U103" s="49">
        <v>1805.31215006097</v>
      </c>
      <c r="V103" s="49">
        <v>1684.80439874528</v>
      </c>
      <c r="W103" s="49">
        <v>1334.1168823309999</v>
      </c>
      <c r="X103" s="49">
        <v>1383.1848778557601</v>
      </c>
      <c r="Y103" s="4"/>
      <c r="Z103" s="69">
        <v>32.357942162231502</v>
      </c>
      <c r="AA103" s="69">
        <v>27.1361332689767</v>
      </c>
      <c r="AB103" s="69">
        <v>18.5265073556175</v>
      </c>
      <c r="AC103" s="69">
        <v>15.4341401749078</v>
      </c>
      <c r="AD103" s="70">
        <v>14.413895078826201</v>
      </c>
    </row>
    <row r="104" spans="1:30" x14ac:dyDescent="0.25">
      <c r="A104" s="2">
        <v>266</v>
      </c>
      <c r="B104" s="3" t="s">
        <v>92</v>
      </c>
      <c r="C104" s="4" t="s">
        <v>93</v>
      </c>
      <c r="D104" s="4">
        <f>_xlfn.XLOOKUP(C104,[1]Planilha2!$C$3:$C$329,[1]Planilha2!$I$3:$I$329)</f>
        <v>20</v>
      </c>
      <c r="E104" s="4">
        <v>309918</v>
      </c>
      <c r="F104" s="7">
        <v>313951.66666666663</v>
      </c>
      <c r="G104" s="4">
        <v>317985.33333333337</v>
      </c>
      <c r="H104" s="4">
        <v>322019</v>
      </c>
      <c r="I104" s="4">
        <v>320199</v>
      </c>
      <c r="J104" s="4">
        <f>_xlfn.XLOOKUP(C104,[1]Planilha2!$C$3:$C$329,[1]Planilha2!$D$3:$D$329,"")</f>
        <v>21</v>
      </c>
      <c r="K104" s="4" t="s">
        <v>21</v>
      </c>
      <c r="L104" s="4">
        <f>_xlfn.XLOOKUP(C104,[1]Planilha2!$C$3:$C$329,[1]Planilha2!$J$3:$J$329,"")</f>
        <v>13</v>
      </c>
      <c r="M104" s="42">
        <v>0.74363000196420903</v>
      </c>
      <c r="N104" s="43">
        <v>0.71127550180511401</v>
      </c>
      <c r="O104" s="43">
        <v>0.69975001040311302</v>
      </c>
      <c r="P104" s="43">
        <v>0.69638698996561499</v>
      </c>
      <c r="Q104" s="67">
        <v>0.88969833136958099</v>
      </c>
      <c r="R104" s="67">
        <v>0.899563514145306</v>
      </c>
      <c r="S104" s="67">
        <v>0.94723512247944297</v>
      </c>
      <c r="T104" s="49">
        <v>2006.1039232313101</v>
      </c>
      <c r="U104" s="49">
        <v>1768.9287881043299</v>
      </c>
      <c r="V104" s="49">
        <v>1510.38130437882</v>
      </c>
      <c r="W104" s="49">
        <v>1260.9636048494001</v>
      </c>
      <c r="X104" s="49">
        <v>1124.7545756545101</v>
      </c>
      <c r="Y104" s="4"/>
      <c r="Z104" s="69">
        <v>17.3170387005595</v>
      </c>
      <c r="AA104" s="69">
        <v>17.4907305264611</v>
      </c>
      <c r="AB104" s="69">
        <v>16.654570022097499</v>
      </c>
      <c r="AC104" s="69">
        <v>13.2286666314721</v>
      </c>
      <c r="AD104" s="70">
        <v>11.626816448521099</v>
      </c>
    </row>
    <row r="105" spans="1:30" x14ac:dyDescent="0.25">
      <c r="A105" s="2">
        <v>267</v>
      </c>
      <c r="B105" s="3" t="s">
        <v>94</v>
      </c>
      <c r="C105" s="4" t="s">
        <v>95</v>
      </c>
      <c r="D105" s="4">
        <f>_xlfn.XLOOKUP(C105,[1]Planilha2!$C$3:$C$329,[1]Planilha2!$I$3:$I$329)</f>
        <v>24</v>
      </c>
      <c r="E105" s="4">
        <v>182242</v>
      </c>
      <c r="F105" s="7">
        <v>185489.33333333331</v>
      </c>
      <c r="G105" s="4">
        <v>188736.66666666669</v>
      </c>
      <c r="H105" s="4">
        <v>191984</v>
      </c>
      <c r="I105" s="4">
        <v>190167</v>
      </c>
      <c r="J105" s="4">
        <f>_xlfn.XLOOKUP(C105,[1]Planilha2!$C$3:$C$329,[1]Planilha2!$D$3:$D$329,"")</f>
        <v>12</v>
      </c>
      <c r="K105" s="4" t="s">
        <v>21</v>
      </c>
      <c r="L105" s="4">
        <f>_xlfn.XLOOKUP(C105,[1]Planilha2!$C$3:$C$329,[1]Planilha2!$J$3:$J$329,"")</f>
        <v>1</v>
      </c>
      <c r="M105" s="42">
        <v>0.78558749182343002</v>
      </c>
      <c r="N105" s="43">
        <v>0.75565616326098095</v>
      </c>
      <c r="O105" s="43">
        <v>0.73885217622301802</v>
      </c>
      <c r="P105" s="43">
        <v>0.73173750282646299</v>
      </c>
      <c r="Q105" s="67">
        <v>0.95462149343882996</v>
      </c>
      <c r="R105" s="67">
        <v>0.94870080411861302</v>
      </c>
      <c r="S105" s="67">
        <v>0.98340811783613802</v>
      </c>
      <c r="T105" s="49">
        <v>1654.8516113190101</v>
      </c>
      <c r="U105" s="49">
        <v>1440.00579143814</v>
      </c>
      <c r="V105" s="49">
        <v>1282.77201563024</v>
      </c>
      <c r="W105" s="49">
        <v>1129.5314532981899</v>
      </c>
      <c r="X105" s="49">
        <v>1063.26616358254</v>
      </c>
      <c r="Y105" s="4"/>
      <c r="Z105" s="69">
        <v>23.086955806016199</v>
      </c>
      <c r="AA105" s="69">
        <v>20.317680441642601</v>
      </c>
      <c r="AB105" s="69">
        <v>18.633756026915801</v>
      </c>
      <c r="AC105" s="69">
        <v>13.9312598966581</v>
      </c>
      <c r="AD105" s="70">
        <v>12.884569878054601</v>
      </c>
    </row>
    <row r="106" spans="1:30" x14ac:dyDescent="0.25">
      <c r="A106" s="2">
        <v>268</v>
      </c>
      <c r="B106" s="3" t="s">
        <v>96</v>
      </c>
      <c r="C106" s="4" t="s">
        <v>97</v>
      </c>
      <c r="D106" s="4">
        <f>_xlfn.XLOOKUP(C106,[1]Planilha2!$C$3:$C$329,[1]Planilha2!$I$3:$I$329)</f>
        <v>37</v>
      </c>
      <c r="E106" s="4">
        <v>98687</v>
      </c>
      <c r="F106" s="7">
        <v>101233.33333333334</v>
      </c>
      <c r="G106" s="4">
        <v>103779.66666666666</v>
      </c>
      <c r="H106" s="4">
        <v>106326</v>
      </c>
      <c r="I106" s="4">
        <v>105597</v>
      </c>
      <c r="J106" s="4">
        <f>_xlfn.XLOOKUP(C106,[1]Planilha2!$C$3:$C$329,[1]Planilha2!$D$3:$D$329,"")</f>
        <v>7</v>
      </c>
      <c r="K106" s="4" t="s">
        <v>21</v>
      </c>
      <c r="L106" s="4">
        <f>_xlfn.XLOOKUP(C106,[1]Planilha2!$C$3:$C$329,[1]Planilha2!$J$3:$J$329,"")</f>
        <v>14</v>
      </c>
      <c r="M106" s="42">
        <v>0.73118468719130703</v>
      </c>
      <c r="N106" s="43">
        <v>0.69896173592129496</v>
      </c>
      <c r="O106" s="43">
        <v>0.70757875496115696</v>
      </c>
      <c r="P106" s="43">
        <v>0.67889082739092999</v>
      </c>
      <c r="Q106" s="67">
        <v>0.91269410867253997</v>
      </c>
      <c r="R106" s="67">
        <v>0.92396031817407998</v>
      </c>
      <c r="S106" s="67">
        <v>0.94158267322757505</v>
      </c>
      <c r="T106" s="49">
        <v>2023.6441505973401</v>
      </c>
      <c r="U106" s="49">
        <v>1595.3257195916999</v>
      </c>
      <c r="V106" s="49">
        <v>1373.1699438875301</v>
      </c>
      <c r="W106" s="49">
        <v>1236.35598480146</v>
      </c>
      <c r="X106" s="49">
        <v>1198.82114690758</v>
      </c>
      <c r="Y106" s="4"/>
      <c r="Z106" s="69">
        <v>19.173335900371899</v>
      </c>
      <c r="AA106" s="69">
        <v>18.307023378333898</v>
      </c>
      <c r="AB106" s="69">
        <v>21.915632156588199</v>
      </c>
      <c r="AC106" s="69">
        <v>15.606643718375601</v>
      </c>
      <c r="AD106" s="70">
        <v>12.5647508925443</v>
      </c>
    </row>
    <row r="107" spans="1:30" x14ac:dyDescent="0.25">
      <c r="A107" s="2">
        <v>269</v>
      </c>
      <c r="B107" s="3" t="s">
        <v>98</v>
      </c>
      <c r="C107" s="4" t="s">
        <v>99</v>
      </c>
      <c r="D107" s="4">
        <f>_xlfn.XLOOKUP(C107,[1]Planilha2!$C$3:$C$329,[1]Planilha2!$I$3:$I$329)</f>
        <v>19</v>
      </c>
      <c r="E107" s="4">
        <v>117618</v>
      </c>
      <c r="F107" s="7">
        <v>117643</v>
      </c>
      <c r="G107" s="4">
        <v>117668</v>
      </c>
      <c r="H107" s="4">
        <v>117693</v>
      </c>
      <c r="I107" s="4">
        <v>117600</v>
      </c>
      <c r="J107" s="4">
        <f>_xlfn.XLOOKUP(C107,[1]Planilha2!$C$3:$C$329,[1]Planilha2!$D$3:$D$329,"")</f>
        <v>7</v>
      </c>
      <c r="K107" s="4" t="s">
        <v>21</v>
      </c>
      <c r="L107" s="4">
        <f>_xlfn.XLOOKUP(C107,[1]Planilha2!$C$3:$C$329,[1]Planilha2!$J$3:$J$329,"")</f>
        <v>1</v>
      </c>
      <c r="M107" s="42">
        <v>0.75992450039526405</v>
      </c>
      <c r="N107" s="43">
        <v>0.75205919338024496</v>
      </c>
      <c r="O107" s="43">
        <v>0.73781610036280798</v>
      </c>
      <c r="P107" s="43">
        <v>0.72212933928571399</v>
      </c>
      <c r="Q107" s="67">
        <v>0.92049437881723695</v>
      </c>
      <c r="R107" s="67">
        <v>0.90645254388052299</v>
      </c>
      <c r="S107" s="67">
        <v>0.95213824347599496</v>
      </c>
      <c r="T107" s="49">
        <v>1729.1097230015801</v>
      </c>
      <c r="U107" s="49">
        <v>1501.9430643273899</v>
      </c>
      <c r="V107" s="49">
        <v>1321.96462765294</v>
      </c>
      <c r="W107" s="49">
        <v>1108.0960449644399</v>
      </c>
      <c r="X107" s="49">
        <v>1091.9684920918401</v>
      </c>
      <c r="Y107" s="4"/>
      <c r="Z107" s="69">
        <v>10.227210120899899</v>
      </c>
      <c r="AA107" s="69">
        <v>14.310668718070801</v>
      </c>
      <c r="AB107" s="69">
        <v>11.915414556209001</v>
      </c>
      <c r="AC107" s="69">
        <v>8.8753621710722008</v>
      </c>
      <c r="AD107" s="70">
        <v>8.5719472789115603</v>
      </c>
    </row>
    <row r="108" spans="1:30" x14ac:dyDescent="0.25">
      <c r="A108" s="2">
        <v>270</v>
      </c>
      <c r="B108" s="3" t="s">
        <v>100</v>
      </c>
      <c r="C108" s="4" t="s">
        <v>101</v>
      </c>
      <c r="D108" s="4">
        <f>_xlfn.XLOOKUP(C108,[1]Planilha2!$C$3:$C$329,[1]Planilha2!$I$3:$I$329)</f>
        <v>9</v>
      </c>
      <c r="E108" s="4">
        <v>573475</v>
      </c>
      <c r="F108" s="7">
        <v>579872.33333333314</v>
      </c>
      <c r="G108" s="4">
        <v>586269.66666666686</v>
      </c>
      <c r="H108" s="4">
        <v>592667</v>
      </c>
      <c r="I108" s="4">
        <v>589505</v>
      </c>
      <c r="J108" s="4">
        <f>_xlfn.XLOOKUP(C108,[1]Planilha2!$C$3:$C$329,[1]Planilha2!$D$3:$D$329,"")</f>
        <v>30</v>
      </c>
      <c r="K108" s="4" t="s">
        <v>21</v>
      </c>
      <c r="L108" s="4">
        <f>_xlfn.XLOOKUP(C108,[1]Planilha2!$C$3:$C$329,[1]Planilha2!$J$3:$J$329,"")</f>
        <v>30</v>
      </c>
      <c r="M108" s="42">
        <v>0.79061745976269504</v>
      </c>
      <c r="N108" s="43">
        <v>0.77303336883083895</v>
      </c>
      <c r="O108" s="43">
        <v>0.764219464555982</v>
      </c>
      <c r="P108" s="43">
        <v>0.74873494117946404</v>
      </c>
      <c r="Q108" s="67">
        <v>0.95507853172231905</v>
      </c>
      <c r="R108" s="67">
        <v>0.95048442059370797</v>
      </c>
      <c r="S108" s="67">
        <v>0.97264356305886501</v>
      </c>
      <c r="T108" s="49">
        <v>2020.8863115044201</v>
      </c>
      <c r="U108" s="49">
        <v>1637.04686639645</v>
      </c>
      <c r="V108" s="49">
        <v>1627.9209842626501</v>
      </c>
      <c r="W108" s="49">
        <v>1390.20818407301</v>
      </c>
      <c r="X108" s="49">
        <v>1189.50682445442</v>
      </c>
      <c r="Y108" s="4"/>
      <c r="Z108" s="69">
        <v>25.792330964732599</v>
      </c>
      <c r="AA108" s="69">
        <v>23.870692227082198</v>
      </c>
      <c r="AB108" s="69">
        <v>21.4275541005305</v>
      </c>
      <c r="AC108" s="69">
        <v>17.0101186669749</v>
      </c>
      <c r="AD108" s="70">
        <v>18.666347189591299</v>
      </c>
    </row>
    <row r="109" spans="1:30" ht="25.5" x14ac:dyDescent="0.25">
      <c r="A109" s="2">
        <v>271</v>
      </c>
      <c r="B109" s="3" t="s">
        <v>418</v>
      </c>
      <c r="C109" s="4" t="s">
        <v>419</v>
      </c>
      <c r="D109" s="4">
        <f>_xlfn.XLOOKUP(C109,[1]Planilha2!$C$3:$C$329,[1]Planilha2!$I$3:$I$329)</f>
        <v>37</v>
      </c>
      <c r="E109" s="4">
        <v>457421</v>
      </c>
      <c r="F109" s="7">
        <v>464008.33333333337</v>
      </c>
      <c r="G109" s="4">
        <v>470595.66666666663</v>
      </c>
      <c r="H109" s="4">
        <v>477183</v>
      </c>
      <c r="I109" s="4">
        <v>475290</v>
      </c>
      <c r="J109" s="4">
        <f>_xlfn.XLOOKUP(C109,[1]Planilha2!$C$3:$C$329,[1]Planilha2!$D$3:$D$329,"")</f>
        <v>15</v>
      </c>
      <c r="K109" s="4" t="s">
        <v>21</v>
      </c>
      <c r="L109" s="4">
        <f>_xlfn.XLOOKUP(C109,[1]Planilha2!$C$3:$C$329,[1]Planilha2!$J$3:$J$329,"")</f>
        <v>3</v>
      </c>
      <c r="M109" s="42">
        <v>0.79065505806289405</v>
      </c>
      <c r="N109" s="43">
        <v>0.77091297894087396</v>
      </c>
      <c r="O109" s="43">
        <v>0.74151048654289897</v>
      </c>
      <c r="P109" s="43">
        <v>0.73246475478129103</v>
      </c>
      <c r="Q109" s="67">
        <v>0.909965739591029</v>
      </c>
      <c r="R109" s="67">
        <v>0.91396972871970095</v>
      </c>
      <c r="S109" s="67">
        <v>0.96822454123745305</v>
      </c>
      <c r="T109" s="49">
        <v>1662.0407038373801</v>
      </c>
      <c r="U109" s="49">
        <v>1322.2071647635601</v>
      </c>
      <c r="V109" s="49">
        <v>1225.4248259829601</v>
      </c>
      <c r="W109" s="49">
        <v>1019.57366326965</v>
      </c>
      <c r="X109" s="49">
        <v>968.09739651581106</v>
      </c>
      <c r="Y109" s="4"/>
      <c r="Z109" s="69">
        <v>19.788966837989499</v>
      </c>
      <c r="AA109" s="69">
        <v>18.899598067563399</v>
      </c>
      <c r="AB109" s="69">
        <v>16.8993311313959</v>
      </c>
      <c r="AC109" s="69">
        <v>12.9363200281653</v>
      </c>
      <c r="AD109" s="70">
        <v>12.8318479244251</v>
      </c>
    </row>
    <row r="110" spans="1:30" x14ac:dyDescent="0.25">
      <c r="A110" s="2">
        <v>272</v>
      </c>
      <c r="B110" s="3" t="s">
        <v>102</v>
      </c>
      <c r="C110" s="4" t="s">
        <v>103</v>
      </c>
      <c r="D110" s="4">
        <f>_xlfn.XLOOKUP(C110,[1]Planilha2!$C$3:$C$329,[1]Planilha2!$I$3:$I$329)</f>
        <v>20</v>
      </c>
      <c r="E110" s="4">
        <v>106590</v>
      </c>
      <c r="F110" s="7">
        <v>106609.66666666667</v>
      </c>
      <c r="G110" s="4">
        <v>106629.33333333333</v>
      </c>
      <c r="H110" s="4">
        <v>106649</v>
      </c>
      <c r="I110" s="4">
        <v>105815</v>
      </c>
      <c r="J110" s="4">
        <f>_xlfn.XLOOKUP(C110,[1]Planilha2!$C$3:$C$329,[1]Planilha2!$D$3:$D$329,"")</f>
        <v>5</v>
      </c>
      <c r="K110" s="4" t="s">
        <v>21</v>
      </c>
      <c r="L110" s="4">
        <f>_xlfn.XLOOKUP(C110,[1]Planilha2!$C$3:$C$329,[1]Planilha2!$J$3:$J$329,"")</f>
        <v>1</v>
      </c>
      <c r="M110" s="42">
        <v>0.76066380503331499</v>
      </c>
      <c r="N110" s="43">
        <v>0.75404949169709401</v>
      </c>
      <c r="O110" s="43">
        <v>0.74110455137882203</v>
      </c>
      <c r="P110" s="43">
        <v>0.71119042479799699</v>
      </c>
      <c r="Q110" s="67">
        <v>0.70349968238883598</v>
      </c>
      <c r="R110" s="67">
        <v>0.75560649039663896</v>
      </c>
      <c r="S110" s="67">
        <v>0.98342118960386105</v>
      </c>
      <c r="T110" s="49">
        <v>1868.57142170935</v>
      </c>
      <c r="U110" s="49">
        <v>1396.19138968011</v>
      </c>
      <c r="V110" s="49">
        <v>1185.7952805044299</v>
      </c>
      <c r="W110" s="49">
        <v>1058.27758591267</v>
      </c>
      <c r="X110" s="49">
        <v>1040.6542934366601</v>
      </c>
      <c r="Y110" s="4"/>
      <c r="Z110" s="69">
        <v>18.017937892860498</v>
      </c>
      <c r="AA110" s="69">
        <v>14.8516738632207</v>
      </c>
      <c r="AB110" s="69">
        <v>12.947028334917199</v>
      </c>
      <c r="AC110" s="69">
        <v>9.9989967088298997</v>
      </c>
      <c r="AD110" s="70">
        <v>10.1641922222747</v>
      </c>
    </row>
    <row r="111" spans="1:30" ht="25.5" x14ac:dyDescent="0.25">
      <c r="A111" s="2">
        <v>273</v>
      </c>
      <c r="B111" s="3" t="s">
        <v>104</v>
      </c>
      <c r="C111" s="4" t="s">
        <v>105</v>
      </c>
      <c r="D111" s="4">
        <f>_xlfn.XLOOKUP(C111,[1]Planilha2!$C$3:$C$329,[1]Planilha2!$I$3:$I$329)</f>
        <v>11</v>
      </c>
      <c r="E111" s="4">
        <v>1643187</v>
      </c>
      <c r="F111" s="7">
        <v>1654637.666666667</v>
      </c>
      <c r="G111" s="4">
        <v>1666088.333333333</v>
      </c>
      <c r="H111" s="4">
        <v>1677539</v>
      </c>
      <c r="I111" s="4">
        <v>1656922</v>
      </c>
      <c r="J111" s="4">
        <f>_xlfn.XLOOKUP(C111,[1]Planilha2!$C$3:$C$329,[1]Planilha2!$D$3:$D$329,"")</f>
        <v>25</v>
      </c>
      <c r="K111" s="4" t="s">
        <v>21</v>
      </c>
      <c r="L111" s="4">
        <f>_xlfn.XLOOKUP(C111,[1]Planilha2!$C$3:$C$329,[1]Planilha2!$J$3:$J$329,"")</f>
        <v>1</v>
      </c>
      <c r="M111" s="42">
        <v>0.78342741506549396</v>
      </c>
      <c r="N111" s="43">
        <v>0.76674090519410298</v>
      </c>
      <c r="O111" s="43">
        <v>0.75324955902664503</v>
      </c>
      <c r="P111" s="43">
        <v>0.74066562348740606</v>
      </c>
      <c r="Q111" s="67">
        <v>0.88101786373871704</v>
      </c>
      <c r="R111" s="67">
        <v>0.92954854580539503</v>
      </c>
      <c r="S111" s="67">
        <v>0.97426713597618397</v>
      </c>
      <c r="T111" s="49">
        <v>1948.2960813772299</v>
      </c>
      <c r="U111" s="49">
        <v>1707.3000782689001</v>
      </c>
      <c r="V111" s="49">
        <v>1470.84768790971</v>
      </c>
      <c r="W111" s="49">
        <v>1350.90226894278</v>
      </c>
      <c r="X111" s="49">
        <v>1186.8326757867901</v>
      </c>
      <c r="Y111" s="4"/>
      <c r="Z111" s="69">
        <v>15.382092847618701</v>
      </c>
      <c r="AA111" s="69">
        <v>13.2375337762769</v>
      </c>
      <c r="AB111" s="69">
        <v>12.028064538394799</v>
      </c>
      <c r="AC111" s="69">
        <v>9.7658856217351708</v>
      </c>
      <c r="AD111" s="70">
        <v>8.1524682513721203</v>
      </c>
    </row>
    <row r="112" spans="1:30" x14ac:dyDescent="0.25">
      <c r="A112" s="2">
        <v>274</v>
      </c>
      <c r="B112" s="3" t="s">
        <v>106</v>
      </c>
      <c r="C112" s="4" t="s">
        <v>107</v>
      </c>
      <c r="D112" s="4">
        <f>_xlfn.XLOOKUP(C112,[1]Planilha2!$C$3:$C$329,[1]Planilha2!$I$3:$I$329)</f>
        <v>28</v>
      </c>
      <c r="E112" s="4">
        <v>306840</v>
      </c>
      <c r="F112" s="7">
        <v>310459.99999999994</v>
      </c>
      <c r="G112" s="4">
        <v>314080.00000000006</v>
      </c>
      <c r="H112" s="4">
        <v>317700</v>
      </c>
      <c r="I112" s="4">
        <v>316157</v>
      </c>
      <c r="J112" s="4">
        <f>_xlfn.XLOOKUP(C112,[1]Planilha2!$C$3:$C$329,[1]Planilha2!$D$3:$D$329,"")</f>
        <v>20</v>
      </c>
      <c r="K112" s="4" t="s">
        <v>21</v>
      </c>
      <c r="L112" s="4">
        <f>_xlfn.XLOOKUP(C112,[1]Planilha2!$C$3:$C$329,[1]Planilha2!$J$3:$J$329,"")</f>
        <v>25</v>
      </c>
      <c r="M112" s="42">
        <v>0.76489668631493102</v>
      </c>
      <c r="N112" s="43">
        <v>0.74445083821531699</v>
      </c>
      <c r="O112" s="43">
        <v>0.73183218256216598</v>
      </c>
      <c r="P112" s="43">
        <v>0.70698446784350799</v>
      </c>
      <c r="Q112" s="67">
        <v>0.89204967969943905</v>
      </c>
      <c r="R112" s="67">
        <v>0.92723017660044105</v>
      </c>
      <c r="S112" s="67">
        <v>0.97841711018424105</v>
      </c>
      <c r="T112" s="49">
        <v>2233.0842171164099</v>
      </c>
      <c r="U112" s="49">
        <v>1706.79669944598</v>
      </c>
      <c r="V112" s="49">
        <v>1532.0736787654901</v>
      </c>
      <c r="W112" s="49">
        <v>1307.1234006924799</v>
      </c>
      <c r="X112" s="49">
        <v>1124.9170656983699</v>
      </c>
      <c r="Y112" s="4"/>
      <c r="Z112" s="69">
        <v>16.876003780471901</v>
      </c>
      <c r="AA112" s="69">
        <v>17.203626876248201</v>
      </c>
      <c r="AB112" s="69">
        <v>14.627072720326</v>
      </c>
      <c r="AC112" s="69">
        <v>11.447141957821801</v>
      </c>
      <c r="AD112" s="70">
        <v>11.407009808418</v>
      </c>
    </row>
    <row r="113" spans="1:30" x14ac:dyDescent="0.25">
      <c r="A113" s="2">
        <v>275</v>
      </c>
      <c r="B113" s="3" t="s">
        <v>108</v>
      </c>
      <c r="C113" s="4" t="s">
        <v>109</v>
      </c>
      <c r="D113" s="4">
        <f>_xlfn.XLOOKUP(C113,[1]Planilha2!$C$3:$C$329,[1]Planilha2!$I$3:$I$329)</f>
        <v>24</v>
      </c>
      <c r="E113" s="4">
        <v>360324</v>
      </c>
      <c r="F113" s="7">
        <v>358981.33333333331</v>
      </c>
      <c r="G113" s="4">
        <v>357638.66666666669</v>
      </c>
      <c r="H113" s="4">
        <v>356296</v>
      </c>
      <c r="I113" s="4">
        <v>354266</v>
      </c>
      <c r="J113" s="4">
        <f>_xlfn.XLOOKUP(C113,[1]Planilha2!$C$3:$C$329,[1]Planilha2!$D$3:$D$329,"")</f>
        <v>20</v>
      </c>
      <c r="K113" s="4" t="s">
        <v>21</v>
      </c>
      <c r="L113" s="4">
        <f>_xlfn.XLOOKUP(C113,[1]Planilha2!$C$3:$C$329,[1]Planilha2!$J$3:$J$329,"")</f>
        <v>49</v>
      </c>
      <c r="M113" s="42">
        <v>0.76221150124797599</v>
      </c>
      <c r="N113" s="43">
        <v>0.73277164083674795</v>
      </c>
      <c r="O113" s="43">
        <v>0.71981365802591102</v>
      </c>
      <c r="P113" s="43">
        <v>0.701328607317665</v>
      </c>
      <c r="Q113" s="67">
        <v>0.82876764192164198</v>
      </c>
      <c r="R113" s="67">
        <v>0.86179844917961901</v>
      </c>
      <c r="S113" s="67">
        <v>0.94276556151646496</v>
      </c>
      <c r="T113" s="49">
        <v>1818.02198354814</v>
      </c>
      <c r="U113" s="49">
        <v>1619.18253731856</v>
      </c>
      <c r="V113" s="49">
        <v>1368.6161492884801</v>
      </c>
      <c r="W113" s="49">
        <v>1240.45893784943</v>
      </c>
      <c r="X113" s="49">
        <v>1071.21801126837</v>
      </c>
      <c r="Y113" s="4"/>
      <c r="Z113" s="69">
        <v>15.5233040263763</v>
      </c>
      <c r="AA113" s="69">
        <v>13.501534898750499</v>
      </c>
      <c r="AB113" s="69">
        <v>11.5881233945621</v>
      </c>
      <c r="AC113" s="69">
        <v>10.4922620517772</v>
      </c>
      <c r="AD113" s="70">
        <v>9.0047393766266008</v>
      </c>
    </row>
    <row r="114" spans="1:30" ht="25.5" x14ac:dyDescent="0.25">
      <c r="A114" s="2">
        <v>276</v>
      </c>
      <c r="B114" s="3" t="s">
        <v>110</v>
      </c>
      <c r="C114" s="4" t="s">
        <v>111</v>
      </c>
      <c r="D114" s="4">
        <f>_xlfn.XLOOKUP(C114,[1]Planilha2!$C$3:$C$329,[1]Planilha2!$I$3:$I$329)</f>
        <v>29</v>
      </c>
      <c r="E114" s="4">
        <v>254874</v>
      </c>
      <c r="F114" s="7">
        <v>255452</v>
      </c>
      <c r="G114" s="4">
        <v>256030</v>
      </c>
      <c r="H114" s="4">
        <v>256608</v>
      </c>
      <c r="I114" s="4">
        <v>256247</v>
      </c>
      <c r="J114" s="4">
        <f>_xlfn.XLOOKUP(C114,[1]Planilha2!$C$3:$C$329,[1]Planilha2!$D$3:$D$329,"")</f>
        <v>17</v>
      </c>
      <c r="K114" s="4" t="s">
        <v>21</v>
      </c>
      <c r="L114" s="4">
        <f>_xlfn.XLOOKUP(C114,[1]Planilha2!$C$3:$C$329,[1]Planilha2!$J$3:$J$329,"")</f>
        <v>20</v>
      </c>
      <c r="M114" s="42">
        <v>0.70273656303336796</v>
      </c>
      <c r="N114" s="43">
        <v>0.685693257560963</v>
      </c>
      <c r="O114" s="43">
        <v>0.65242070005611696</v>
      </c>
      <c r="P114" s="43">
        <v>0.643272837535659</v>
      </c>
      <c r="Q114" s="67">
        <v>0.679970335637751</v>
      </c>
      <c r="R114" s="67">
        <v>0.81406178221302194</v>
      </c>
      <c r="S114" s="67">
        <v>0.94261672902914995</v>
      </c>
      <c r="T114" s="49">
        <v>1701.43728481524</v>
      </c>
      <c r="U114" s="49">
        <v>1431.3610513129699</v>
      </c>
      <c r="V114" s="49">
        <v>1228.59306441953</v>
      </c>
      <c r="W114" s="49">
        <v>931.19614306646702</v>
      </c>
      <c r="X114" s="49">
        <v>937.78374474628004</v>
      </c>
      <c r="Y114" s="4"/>
      <c r="Z114" s="69">
        <v>13.6744548286604</v>
      </c>
      <c r="AA114" s="69">
        <v>11.5636244773969</v>
      </c>
      <c r="AB114" s="69">
        <v>11.1775377885404</v>
      </c>
      <c r="AC114" s="69">
        <v>7.9624446626761403</v>
      </c>
      <c r="AD114" s="70">
        <v>13.7583230242696</v>
      </c>
    </row>
    <row r="115" spans="1:30" x14ac:dyDescent="0.25">
      <c r="A115" s="2">
        <v>277</v>
      </c>
      <c r="B115" s="3" t="s">
        <v>112</v>
      </c>
      <c r="C115" s="4" t="s">
        <v>113</v>
      </c>
      <c r="D115" s="4">
        <f>_xlfn.XLOOKUP(C115,[1]Planilha2!$C$3:$C$329,[1]Planilha2!$I$3:$I$329)</f>
        <v>24</v>
      </c>
      <c r="E115" s="4">
        <v>936049</v>
      </c>
      <c r="F115" s="7">
        <v>929133</v>
      </c>
      <c r="G115" s="7">
        <v>922217</v>
      </c>
      <c r="H115" s="4">
        <v>915301</v>
      </c>
      <c r="I115" s="4">
        <v>906034</v>
      </c>
      <c r="J115" s="4">
        <f>_xlfn.XLOOKUP(C115,[1]Planilha2!$C$3:$C$329,[1]Planilha2!$D$3:$D$329,"")</f>
        <v>18</v>
      </c>
      <c r="K115" s="4" t="s">
        <v>21</v>
      </c>
      <c r="L115" s="4">
        <f>_xlfn.XLOOKUP(C115,[1]Planilha2!$C$3:$C$329,[1]Planilha2!$J$3:$J$329,"")</f>
        <v>36</v>
      </c>
      <c r="M115" s="42">
        <v>0.75766258483267002</v>
      </c>
      <c r="N115" s="43">
        <v>0.73955758163931795</v>
      </c>
      <c r="O115" s="43">
        <v>0.70239493423474897</v>
      </c>
      <c r="P115" s="43">
        <v>0.69577137778494003</v>
      </c>
      <c r="Q115" s="67">
        <v>0.71237775700657602</v>
      </c>
      <c r="R115" s="67">
        <v>0.82904320859407299</v>
      </c>
      <c r="S115" s="67">
        <v>0.97986914717468898</v>
      </c>
      <c r="T115" s="49">
        <v>2176.9029376774101</v>
      </c>
      <c r="U115" s="49">
        <v>2001.6429019419199</v>
      </c>
      <c r="V115" s="49">
        <v>1718.6677131015099</v>
      </c>
      <c r="W115" s="49">
        <v>1370.6255762093599</v>
      </c>
      <c r="X115" s="49">
        <v>1366.0415618619199</v>
      </c>
      <c r="Y115" s="4"/>
      <c r="Z115" s="69">
        <v>15.342114568788601</v>
      </c>
      <c r="AA115" s="69">
        <v>14.826480170223199</v>
      </c>
      <c r="AB115" s="69">
        <v>14.8322726646765</v>
      </c>
      <c r="AC115" s="69">
        <v>12.508894888129699</v>
      </c>
      <c r="AD115" s="70">
        <v>11.705114819090699</v>
      </c>
    </row>
    <row r="116" spans="1:30" x14ac:dyDescent="0.25">
      <c r="A116" s="2">
        <v>278</v>
      </c>
      <c r="B116" s="3" t="s">
        <v>114</v>
      </c>
      <c r="C116" s="4" t="s">
        <v>115</v>
      </c>
      <c r="D116" s="4">
        <f>_xlfn.XLOOKUP(C116,[1]Planilha2!$C$3:$C$329,[1]Planilha2!$I$3:$I$329)</f>
        <v>14</v>
      </c>
      <c r="E116" s="4">
        <v>3043922</v>
      </c>
      <c r="F116" s="7">
        <v>3065162.0000000005</v>
      </c>
      <c r="G116" s="7">
        <v>3086401.9999999995</v>
      </c>
      <c r="H116" s="4">
        <v>3107642</v>
      </c>
      <c r="I116" s="4">
        <v>3077629</v>
      </c>
      <c r="J116" s="4">
        <f>_xlfn.XLOOKUP(C116,[1]Planilha2!$C$3:$C$329,[1]Planilha2!$D$3:$D$329,"")</f>
        <v>12</v>
      </c>
      <c r="K116" s="4" t="s">
        <v>21</v>
      </c>
      <c r="L116" s="4">
        <f>_xlfn.XLOOKUP(C116,[1]Planilha2!$C$3:$C$329,[1]Planilha2!$J$3:$J$329,"")</f>
        <v>31</v>
      </c>
      <c r="M116" s="42">
        <v>0.75470261543544304</v>
      </c>
      <c r="N116" s="43">
        <v>0.73087526138850401</v>
      </c>
      <c r="O116" s="43">
        <v>0.71466495674212105</v>
      </c>
      <c r="P116" s="43">
        <v>0.70383394853635695</v>
      </c>
      <c r="Q116" s="67">
        <v>0.86347319298220604</v>
      </c>
      <c r="R116" s="67">
        <v>0.95501551040121602</v>
      </c>
      <c r="S116" s="67">
        <v>0.99206260408289904</v>
      </c>
      <c r="T116" s="49">
        <v>1151.8439957856999</v>
      </c>
      <c r="U116" s="49">
        <v>1036.9340142348101</v>
      </c>
      <c r="V116" s="49">
        <v>910.94614977677395</v>
      </c>
      <c r="W116" s="49">
        <v>809.27996398877406</v>
      </c>
      <c r="X116" s="49">
        <v>757.15829407313197</v>
      </c>
      <c r="Y116" s="4"/>
      <c r="Z116" s="69">
        <v>12.603823291135599</v>
      </c>
      <c r="AA116" s="69">
        <v>11.0880517897586</v>
      </c>
      <c r="AB116" s="69">
        <v>9.4374822203977295</v>
      </c>
      <c r="AC116" s="69">
        <v>8.5322881464467297</v>
      </c>
      <c r="AD116" s="70">
        <v>7.7187185330005699</v>
      </c>
    </row>
    <row r="117" spans="1:30" x14ac:dyDescent="0.25">
      <c r="A117" s="2">
        <v>279</v>
      </c>
      <c r="B117" s="3" t="s">
        <v>116</v>
      </c>
      <c r="C117" s="4" t="s">
        <v>117</v>
      </c>
      <c r="D117" s="4">
        <f>_xlfn.XLOOKUP(C117,[1]Planilha2!$C$3:$C$329,[1]Planilha2!$I$3:$I$329)</f>
        <v>15</v>
      </c>
      <c r="E117" s="4">
        <v>2789011</v>
      </c>
      <c r="F117" s="7">
        <v>2801023.333333333</v>
      </c>
      <c r="G117" s="7">
        <v>2813035.6666666665</v>
      </c>
      <c r="H117" s="4">
        <v>2825048</v>
      </c>
      <c r="I117" s="4">
        <v>2807712</v>
      </c>
      <c r="J117" s="4">
        <f>_xlfn.XLOOKUP(C117,[1]Planilha2!$C$3:$C$329,[1]Planilha2!$D$3:$D$329,"")</f>
        <v>7</v>
      </c>
      <c r="K117" s="4" t="s">
        <v>21</v>
      </c>
      <c r="L117" s="4">
        <f>_xlfn.XLOOKUP(C117,[1]Planilha2!$C$3:$C$329,[1]Planilha2!$J$3:$J$329,"")</f>
        <v>27</v>
      </c>
      <c r="M117" s="42">
        <v>0.73823487985938496</v>
      </c>
      <c r="N117" s="43">
        <v>0.72467280814190405</v>
      </c>
      <c r="O117" s="43">
        <v>0.69446494838317796</v>
      </c>
      <c r="P117" s="43">
        <v>0.67758601398576501</v>
      </c>
      <c r="Q117" s="67">
        <v>0.69783523517357904</v>
      </c>
      <c r="R117" s="67">
        <v>0.79717575424745801</v>
      </c>
      <c r="S117" s="67">
        <v>0.85820826556648699</v>
      </c>
      <c r="T117" s="49">
        <v>1666.7798524172199</v>
      </c>
      <c r="U117" s="49">
        <v>1500.4738493110301</v>
      </c>
      <c r="V117" s="49">
        <v>1407.09196559067</v>
      </c>
      <c r="W117" s="49">
        <v>1353.9923297161699</v>
      </c>
      <c r="X117" s="49">
        <v>1254.90143779348</v>
      </c>
      <c r="Y117" s="4"/>
      <c r="Z117" s="69">
        <v>12.950013822103999</v>
      </c>
      <c r="AA117" s="69">
        <v>11.9517379957563</v>
      </c>
      <c r="AB117" s="69">
        <v>10.587250404574799</v>
      </c>
      <c r="AC117" s="69">
        <v>8.7419958882114592</v>
      </c>
      <c r="AD117" s="70">
        <v>7.5930554843231803</v>
      </c>
    </row>
    <row r="118" spans="1:30" x14ac:dyDescent="0.25">
      <c r="A118" s="2">
        <v>280</v>
      </c>
      <c r="B118" s="3" t="s">
        <v>420</v>
      </c>
      <c r="C118" s="4" t="s">
        <v>421</v>
      </c>
      <c r="D118" s="4">
        <f>_xlfn.XLOOKUP(C118,[1]Planilha2!$C$3:$C$329,[1]Planilha2!$I$3:$I$329)</f>
        <v>30</v>
      </c>
      <c r="E118" s="4">
        <v>613912</v>
      </c>
      <c r="F118" s="7">
        <v>617452.33333333326</v>
      </c>
      <c r="G118" s="7">
        <v>620992.66666666674</v>
      </c>
      <c r="H118" s="4">
        <v>624533</v>
      </c>
      <c r="I118" s="4">
        <v>616771</v>
      </c>
      <c r="J118" s="4">
        <f>_xlfn.XLOOKUP(C118,[1]Planilha2!$C$3:$C$329,[1]Planilha2!$D$3:$D$329,"")</f>
        <v>5</v>
      </c>
      <c r="K118" s="4" t="s">
        <v>21</v>
      </c>
      <c r="L118" s="4">
        <f>_xlfn.XLOOKUP(C118,[1]Planilha2!$C$3:$C$329,[1]Planilha2!$J$3:$J$329,"")</f>
        <v>27</v>
      </c>
      <c r="M118" s="42">
        <v>0.71837670427460798</v>
      </c>
      <c r="N118" s="43">
        <v>0.69129126318185197</v>
      </c>
      <c r="O118" s="43">
        <v>0.68429748355971598</v>
      </c>
      <c r="P118" s="43">
        <v>0.68084965051858803</v>
      </c>
      <c r="Q118" s="67">
        <v>0.70385778903454599</v>
      </c>
      <c r="R118" s="67">
        <v>0.91321148376416705</v>
      </c>
      <c r="S118" s="67">
        <v>0.990088350479716</v>
      </c>
      <c r="T118" s="49">
        <v>1369.5648535620701</v>
      </c>
      <c r="U118" s="49">
        <v>1111.52354909988</v>
      </c>
      <c r="V118" s="49">
        <v>997.10406633894797</v>
      </c>
      <c r="W118" s="49">
        <v>795.96685657923604</v>
      </c>
      <c r="X118" s="49">
        <v>815.76777029075595</v>
      </c>
      <c r="Y118" s="4"/>
      <c r="Z118" s="69">
        <v>19.4014972829982</v>
      </c>
      <c r="AA118" s="69">
        <v>16.3138099189303</v>
      </c>
      <c r="AB118" s="69">
        <v>14.1671689091337</v>
      </c>
      <c r="AC118" s="69">
        <v>11.911890964929</v>
      </c>
      <c r="AD118" s="70">
        <v>8.9980641113152195</v>
      </c>
    </row>
    <row r="119" spans="1:30" ht="25.5" x14ac:dyDescent="0.25">
      <c r="A119" s="2">
        <v>281</v>
      </c>
      <c r="B119" s="3" t="s">
        <v>118</v>
      </c>
      <c r="C119" s="4" t="s">
        <v>119</v>
      </c>
      <c r="D119" s="4">
        <f>_xlfn.XLOOKUP(C119,[1]Planilha2!$C$3:$C$329,[1]Planilha2!$I$3:$I$329)</f>
        <v>22</v>
      </c>
      <c r="E119" s="4">
        <v>1159902</v>
      </c>
      <c r="F119" s="7">
        <v>1168913.3333333333</v>
      </c>
      <c r="G119" s="7">
        <v>1177924.6666666667</v>
      </c>
      <c r="H119" s="4">
        <v>1186936</v>
      </c>
      <c r="I119" s="4">
        <v>1172450</v>
      </c>
      <c r="J119" s="4">
        <f>_xlfn.XLOOKUP(C119,[1]Planilha2!$C$3:$C$329,[1]Planilha2!$D$3:$D$329,"")</f>
        <v>8</v>
      </c>
      <c r="K119" s="4" t="s">
        <v>21</v>
      </c>
      <c r="L119" s="4">
        <f>_xlfn.XLOOKUP(C119,[1]Planilha2!$C$3:$C$329,[1]Planilha2!$J$3:$J$329,"")</f>
        <v>17</v>
      </c>
      <c r="M119" s="42">
        <v>0.74844099368644401</v>
      </c>
      <c r="N119" s="43">
        <v>0.71598988922325002</v>
      </c>
      <c r="O119" s="43">
        <v>0.697392810395843</v>
      </c>
      <c r="P119" s="43">
        <v>0.68650316405816902</v>
      </c>
      <c r="Q119" s="67">
        <v>0.73154838682383205</v>
      </c>
      <c r="R119" s="67">
        <v>0.93451115280716901</v>
      </c>
      <c r="S119" s="67">
        <v>0.990347317089321</v>
      </c>
      <c r="T119" s="49">
        <v>1260.00411126112</v>
      </c>
      <c r="U119" s="49">
        <v>975.65512431489105</v>
      </c>
      <c r="V119" s="49">
        <v>911.41096694355701</v>
      </c>
      <c r="W119" s="49">
        <v>781.81766817250502</v>
      </c>
      <c r="X119" s="49">
        <v>745.73677871977497</v>
      </c>
      <c r="Y119" s="4"/>
      <c r="Z119" s="69">
        <v>11.4048169586741</v>
      </c>
      <c r="AA119" s="69">
        <v>10.168940383376</v>
      </c>
      <c r="AB119" s="69">
        <v>9.3605638051556195</v>
      </c>
      <c r="AC119" s="69">
        <v>7.7069749337790796</v>
      </c>
      <c r="AD119" s="70">
        <v>7.9700848650262301</v>
      </c>
    </row>
    <row r="120" spans="1:30" ht="25.5" x14ac:dyDescent="0.25">
      <c r="A120" s="2">
        <v>294</v>
      </c>
      <c r="B120" s="3" t="s">
        <v>422</v>
      </c>
      <c r="C120" s="4" t="s">
        <v>423</v>
      </c>
      <c r="D120" s="4">
        <f>_xlfn.XLOOKUP(C120,[1]Planilha2!$C$3:$C$329,[1]Planilha2!$I$3:$I$329)</f>
        <v>29</v>
      </c>
      <c r="E120" s="4">
        <v>209078</v>
      </c>
      <c r="F120" s="7">
        <v>207254.33333333331</v>
      </c>
      <c r="G120" s="7">
        <v>205430.66666666669</v>
      </c>
      <c r="H120" s="4">
        <v>203607</v>
      </c>
      <c r="I120" s="4">
        <v>202671</v>
      </c>
      <c r="J120" s="4">
        <f>_xlfn.XLOOKUP(C120,[1]Planilha2!$C$3:$C$329,[1]Planilha2!$D$3:$D$329,"")</f>
        <v>9</v>
      </c>
      <c r="K120" s="4" t="s">
        <v>21</v>
      </c>
      <c r="L120" s="4">
        <f>_xlfn.XLOOKUP(C120,[1]Planilha2!$C$3:$C$329,[1]Planilha2!$J$3:$J$329,"")</f>
        <v>2</v>
      </c>
      <c r="M120" s="42">
        <v>0.74686752396009404</v>
      </c>
      <c r="N120" s="43">
        <v>0.73674066546377404</v>
      </c>
      <c r="O120" s="43">
        <v>0.701032102039714</v>
      </c>
      <c r="P120" s="43">
        <v>0.70116474927345296</v>
      </c>
      <c r="Q120" s="67">
        <v>0.85167574834656301</v>
      </c>
      <c r="R120" s="67">
        <v>0.86208123681631399</v>
      </c>
      <c r="S120" s="67">
        <v>0.93098049074140199</v>
      </c>
      <c r="T120" s="49">
        <v>1838.6876025215499</v>
      </c>
      <c r="U120" s="49">
        <v>1779.2880720789101</v>
      </c>
      <c r="V120" s="49">
        <v>1514.67747001421</v>
      </c>
      <c r="W120" s="49">
        <v>1369.1534782203</v>
      </c>
      <c r="X120" s="49">
        <v>1230.34509939755</v>
      </c>
      <c r="Y120" s="4"/>
      <c r="Z120" s="69">
        <v>17.529362247582199</v>
      </c>
      <c r="AA120" s="69">
        <v>17.990504420494599</v>
      </c>
      <c r="AB120" s="69">
        <v>18.0583895296385</v>
      </c>
      <c r="AC120" s="69">
        <v>14.4508194708433</v>
      </c>
      <c r="AD120" s="70">
        <v>13.634634456829</v>
      </c>
    </row>
    <row r="121" spans="1:30" ht="25.5" x14ac:dyDescent="0.25">
      <c r="A121" s="2">
        <v>295</v>
      </c>
      <c r="B121" s="3" t="s">
        <v>424</v>
      </c>
      <c r="C121" s="4" t="s">
        <v>425</v>
      </c>
      <c r="D121" s="4">
        <f>_xlfn.XLOOKUP(C121,[1]Planilha2!$C$3:$C$329,[1]Planilha2!$I$3:$I$329)</f>
        <v>27</v>
      </c>
      <c r="E121" s="4">
        <v>68393</v>
      </c>
      <c r="F121" s="7">
        <v>70250.999999999985</v>
      </c>
      <c r="G121" s="7">
        <v>72109.000000000015</v>
      </c>
      <c r="H121" s="4">
        <v>73967</v>
      </c>
      <c r="I121" s="4">
        <v>73963</v>
      </c>
      <c r="J121" s="4">
        <f>_xlfn.XLOOKUP(C121,[1]Planilha2!$C$3:$C$329,[1]Planilha2!$D$3:$D$329,"")</f>
        <v>10</v>
      </c>
      <c r="K121" s="4" t="s">
        <v>21</v>
      </c>
      <c r="L121" s="4">
        <f>_xlfn.XLOOKUP(C121,[1]Planilha2!$C$3:$C$329,[1]Planilha2!$J$3:$J$329,"")</f>
        <v>1</v>
      </c>
      <c r="M121" s="42">
        <v>0.57266558056113104</v>
      </c>
      <c r="N121" s="43">
        <v>0.55385514429544203</v>
      </c>
      <c r="O121" s="43">
        <v>0.53562005083347997</v>
      </c>
      <c r="P121" s="43">
        <v>0.51169383881129804</v>
      </c>
      <c r="Q121" s="67">
        <v>0.26758357162998597</v>
      </c>
      <c r="R121" s="67">
        <v>0.64613734300387804</v>
      </c>
      <c r="S121" s="67">
        <v>0.58991274690630402</v>
      </c>
      <c r="T121" s="49">
        <v>1916.19039243782</v>
      </c>
      <c r="U121" s="49">
        <v>1439.8993025959301</v>
      </c>
      <c r="V121" s="49">
        <v>1246.6179752411899</v>
      </c>
      <c r="W121" s="49">
        <v>1039.96327673152</v>
      </c>
      <c r="X121" s="49">
        <v>926.73855819801804</v>
      </c>
      <c r="Y121" s="4"/>
      <c r="Z121" s="69">
        <v>6.1927536443788096</v>
      </c>
      <c r="AA121" s="69">
        <v>3.7854977153350098</v>
      </c>
      <c r="AB121" s="69">
        <v>3.65749074318046</v>
      </c>
      <c r="AC121" s="69">
        <v>2.6674868522449202</v>
      </c>
      <c r="AD121" s="70">
        <v>1.9721752768276</v>
      </c>
    </row>
    <row r="122" spans="1:30" ht="25.5" x14ac:dyDescent="0.25">
      <c r="A122" s="2">
        <v>296</v>
      </c>
      <c r="B122" s="3" t="s">
        <v>426</v>
      </c>
      <c r="C122" s="4" t="s">
        <v>427</v>
      </c>
      <c r="D122" s="4">
        <f>_xlfn.XLOOKUP(C122,[1]Planilha2!$C$3:$C$329,[1]Planilha2!$I$3:$I$329)</f>
        <v>29</v>
      </c>
      <c r="E122" s="4">
        <v>457925</v>
      </c>
      <c r="F122" s="7">
        <v>469175.66666666674</v>
      </c>
      <c r="G122" s="7">
        <v>480426.33333333331</v>
      </c>
      <c r="H122" s="4">
        <v>491677</v>
      </c>
      <c r="I122" s="4">
        <v>491366</v>
      </c>
      <c r="J122" s="4">
        <f>_xlfn.XLOOKUP(C122,[1]Planilha2!$C$3:$C$329,[1]Planilha2!$D$3:$D$329,"")</f>
        <v>30</v>
      </c>
      <c r="K122" s="4" t="s">
        <v>21</v>
      </c>
      <c r="L122" s="4">
        <f>_xlfn.XLOOKUP(C122,[1]Planilha2!$C$3:$C$329,[1]Planilha2!$J$3:$J$329,"")</f>
        <v>1</v>
      </c>
      <c r="M122" s="42">
        <v>0.56467068397266995</v>
      </c>
      <c r="N122" s="43">
        <v>0.53640079367006699</v>
      </c>
      <c r="O122" s="43">
        <v>0.50286656951616604</v>
      </c>
      <c r="P122" s="43">
        <v>0.48634970286914397</v>
      </c>
      <c r="Q122" s="67">
        <v>0.63160479754440302</v>
      </c>
      <c r="R122" s="67">
        <v>0.70931037363341898</v>
      </c>
      <c r="S122" s="67">
        <v>0.72429581795058395</v>
      </c>
      <c r="T122" s="49">
        <v>2151.0336916307301</v>
      </c>
      <c r="U122" s="49">
        <v>1670.57075305127</v>
      </c>
      <c r="V122" s="49">
        <v>1331.9958199626899</v>
      </c>
      <c r="W122" s="49">
        <v>1088.90831783874</v>
      </c>
      <c r="X122" s="49">
        <v>1081.30068415397</v>
      </c>
      <c r="Y122" s="4"/>
      <c r="Z122" s="69">
        <v>10.6223573729322</v>
      </c>
      <c r="AA122" s="69">
        <v>9.2876811599351203</v>
      </c>
      <c r="AB122" s="69">
        <v>7.1243118091639399</v>
      </c>
      <c r="AC122" s="69">
        <v>6.0475373059955997</v>
      </c>
      <c r="AD122" s="70">
        <v>5.2004880272546297</v>
      </c>
    </row>
    <row r="123" spans="1:30" ht="25.5" x14ac:dyDescent="0.25">
      <c r="A123" s="2">
        <v>297</v>
      </c>
      <c r="B123" s="3" t="s">
        <v>428</v>
      </c>
      <c r="C123" s="4" t="s">
        <v>429</v>
      </c>
      <c r="D123" s="4">
        <f>_xlfn.XLOOKUP(C123,[1]Planilha2!$C$3:$C$329,[1]Planilha2!$I$3:$I$329)</f>
        <v>2</v>
      </c>
      <c r="E123" s="4">
        <v>311539</v>
      </c>
      <c r="F123" s="7">
        <v>308768.33333333331</v>
      </c>
      <c r="G123" s="7">
        <v>305997.66666666669</v>
      </c>
      <c r="H123" s="4">
        <v>303227</v>
      </c>
      <c r="I123" s="4">
        <v>299277</v>
      </c>
      <c r="J123" s="4">
        <f>_xlfn.XLOOKUP(C123,[1]Planilha2!$C$3:$C$329,[1]Planilha2!$D$3:$D$329,"")</f>
        <v>9</v>
      </c>
      <c r="K123" s="4" t="s">
        <v>21</v>
      </c>
      <c r="L123" s="4">
        <f>_xlfn.XLOOKUP(C123,[1]Planilha2!$C$3:$C$329,[1]Planilha2!$J$3:$J$329,"")</f>
        <v>1</v>
      </c>
      <c r="M123" s="42">
        <v>0.74199920404186503</v>
      </c>
      <c r="N123" s="43">
        <v>0.73468662451674505</v>
      </c>
      <c r="O123" s="43">
        <v>0.70084306575601796</v>
      </c>
      <c r="P123" s="43">
        <v>0.67774138106169202</v>
      </c>
      <c r="Q123" s="67">
        <v>0.910724128179626</v>
      </c>
      <c r="R123" s="67">
        <v>0.92891444357418795</v>
      </c>
      <c r="S123" s="67">
        <v>0.96465202152957596</v>
      </c>
      <c r="T123" s="49">
        <v>1646.4870327952499</v>
      </c>
      <c r="U123" s="49">
        <v>1349.11419674945</v>
      </c>
      <c r="V123" s="49">
        <v>1220.12471748695</v>
      </c>
      <c r="W123" s="49">
        <v>1065.2025521474</v>
      </c>
      <c r="X123" s="49">
        <v>875.51613000664997</v>
      </c>
      <c r="Y123" s="4"/>
      <c r="Z123" s="69">
        <v>15.703998536298799</v>
      </c>
      <c r="AA123" s="69">
        <v>11.144041109569701</v>
      </c>
      <c r="AB123" s="69">
        <v>7.4202199798909101</v>
      </c>
      <c r="AC123" s="69">
        <v>6.6319457040435097</v>
      </c>
      <c r="AD123" s="70">
        <v>5.8308590369457098</v>
      </c>
    </row>
    <row r="124" spans="1:30" ht="25.5" x14ac:dyDescent="0.25">
      <c r="A124" s="2">
        <v>298</v>
      </c>
      <c r="B124" s="3" t="s">
        <v>430</v>
      </c>
      <c r="C124" s="4" t="s">
        <v>431</v>
      </c>
      <c r="D124" s="4">
        <f>_xlfn.XLOOKUP(C124,[1]Planilha2!$C$3:$C$329,[1]Planilha2!$I$3:$I$329)</f>
        <v>28</v>
      </c>
      <c r="E124" s="4">
        <v>564912</v>
      </c>
      <c r="F124" s="7">
        <v>557162.33333333337</v>
      </c>
      <c r="G124" s="7">
        <v>549412.66666666651</v>
      </c>
      <c r="H124" s="4">
        <v>541663</v>
      </c>
      <c r="I124" s="4">
        <v>537692</v>
      </c>
      <c r="J124" s="4">
        <f>_xlfn.XLOOKUP(C124,[1]Planilha2!$C$3:$C$329,[1]Planilha2!$D$3:$D$329,"")</f>
        <v>34</v>
      </c>
      <c r="K124" s="4" t="s">
        <v>21</v>
      </c>
      <c r="L124" s="4">
        <f>_xlfn.XLOOKUP(C124,[1]Planilha2!$C$3:$C$329,[1]Planilha2!$J$3:$J$329,"")</f>
        <v>1</v>
      </c>
      <c r="M124" s="42">
        <v>0.73707435846046099</v>
      </c>
      <c r="N124" s="43">
        <v>0.73279042741400202</v>
      </c>
      <c r="O124" s="43">
        <v>0.69267670470384701</v>
      </c>
      <c r="P124" s="43">
        <v>0.68347790407891496</v>
      </c>
      <c r="Q124" s="67">
        <v>0.76563443768436401</v>
      </c>
      <c r="R124" s="67">
        <v>0.78590187497193997</v>
      </c>
      <c r="S124" s="67">
        <v>0.96226182141171401</v>
      </c>
      <c r="T124" s="49">
        <v>1894.6476801696499</v>
      </c>
      <c r="U124" s="49">
        <v>1638.2857749118</v>
      </c>
      <c r="V124" s="49">
        <v>1394.8841239068599</v>
      </c>
      <c r="W124" s="49">
        <v>1156.4872450952</v>
      </c>
      <c r="X124" s="49">
        <v>989.80223897696101</v>
      </c>
      <c r="Y124" s="4"/>
      <c r="Z124" s="69">
        <v>10.632178109156801</v>
      </c>
      <c r="AA124" s="69">
        <v>7.4024602045962702</v>
      </c>
      <c r="AB124" s="69">
        <v>5.0988813508728699</v>
      </c>
      <c r="AC124" s="69">
        <v>4.7983174039947301</v>
      </c>
      <c r="AD124" s="70">
        <v>6.00774793004173</v>
      </c>
    </row>
    <row r="125" spans="1:30" x14ac:dyDescent="0.25">
      <c r="A125" s="2">
        <v>311</v>
      </c>
      <c r="B125" s="3" t="s">
        <v>120</v>
      </c>
      <c r="C125" s="4" t="s">
        <v>121</v>
      </c>
      <c r="D125" s="4">
        <f>_xlfn.XLOOKUP(C125,[1]Planilha2!$C$3:$C$329,[1]Planilha2!$I$3:$I$329)</f>
        <v>21</v>
      </c>
      <c r="E125" s="4">
        <v>143774</v>
      </c>
      <c r="F125" s="7">
        <v>141412.33333333331</v>
      </c>
      <c r="G125" s="7">
        <v>139050.66666666669</v>
      </c>
      <c r="H125" s="4">
        <v>136689</v>
      </c>
      <c r="I125" s="4">
        <v>136117</v>
      </c>
      <c r="J125" s="4">
        <f>_xlfn.XLOOKUP(C125,[1]Planilha2!$C$3:$C$329,[1]Planilha2!$D$3:$D$329,"")</f>
        <v>13</v>
      </c>
      <c r="K125" s="4" t="s">
        <v>21</v>
      </c>
      <c r="L125" s="4">
        <f>_xlfn.XLOOKUP(C125,[1]Planilha2!$C$3:$C$329,[1]Planilha2!$J$3:$J$329,"")</f>
        <v>2</v>
      </c>
      <c r="M125" s="42">
        <v>0.79155656343034697</v>
      </c>
      <c r="N125" s="43">
        <v>0.77632984667459304</v>
      </c>
      <c r="O125" s="43">
        <v>0.73724106694759595</v>
      </c>
      <c r="P125" s="43">
        <v>0.73712259453264495</v>
      </c>
      <c r="Q125" s="67">
        <v>0.88345945866255005</v>
      </c>
      <c r="R125" s="67">
        <v>0.90728957310524705</v>
      </c>
      <c r="S125" s="67">
        <v>0.94647265792804502</v>
      </c>
      <c r="T125" s="49">
        <v>1828.07249996522</v>
      </c>
      <c r="U125" s="49">
        <v>1729.8679185219601</v>
      </c>
      <c r="V125" s="49">
        <v>1472.2756514651701</v>
      </c>
      <c r="W125" s="49">
        <v>1209.2088372144101</v>
      </c>
      <c r="X125" s="49">
        <v>1149.93583762498</v>
      </c>
      <c r="Y125" s="4"/>
      <c r="Z125" s="69">
        <v>15.0631407625857</v>
      </c>
      <c r="AA125" s="69">
        <v>11.9563828708953</v>
      </c>
      <c r="AB125" s="69">
        <v>10.4571019676281</v>
      </c>
      <c r="AC125" s="69">
        <v>9.4103914726130107</v>
      </c>
      <c r="AD125" s="70">
        <v>9.5828074377190209</v>
      </c>
    </row>
    <row r="126" spans="1:30" ht="25.5" x14ac:dyDescent="0.25">
      <c r="A126" s="2">
        <v>312</v>
      </c>
      <c r="B126" s="3" t="s">
        <v>122</v>
      </c>
      <c r="C126" s="4" t="s">
        <v>123</v>
      </c>
      <c r="D126" s="4">
        <f>_xlfn.XLOOKUP(C126,[1]Planilha2!$C$3:$C$329,[1]Planilha2!$I$3:$I$329)</f>
        <v>7</v>
      </c>
      <c r="E126" s="4">
        <v>565733</v>
      </c>
      <c r="F126" s="7">
        <v>566338.33333333314</v>
      </c>
      <c r="G126" s="7">
        <v>566943.66666666686</v>
      </c>
      <c r="H126" s="4">
        <v>567549</v>
      </c>
      <c r="I126" s="4">
        <v>564561</v>
      </c>
      <c r="J126" s="4">
        <f>_xlfn.XLOOKUP(C126,[1]Planilha2!$C$3:$C$329,[1]Planilha2!$D$3:$D$329,"")</f>
        <v>43</v>
      </c>
      <c r="K126" s="4" t="s">
        <v>21</v>
      </c>
      <c r="L126" s="4">
        <f>_xlfn.XLOOKUP(C126,[1]Planilha2!$C$3:$C$329,[1]Planilha2!$J$3:$J$329,"")</f>
        <v>14</v>
      </c>
      <c r="M126" s="42">
        <v>0.72840505098542396</v>
      </c>
      <c r="N126" s="43">
        <v>0.70095246747031303</v>
      </c>
      <c r="O126" s="43">
        <v>0.68115532121455602</v>
      </c>
      <c r="P126" s="43">
        <v>0.67318810775097804</v>
      </c>
      <c r="Q126" s="67">
        <v>0.82804995416946203</v>
      </c>
      <c r="R126" s="67">
        <v>0.85960079537590695</v>
      </c>
      <c r="S126" s="67">
        <v>0.94478219840771904</v>
      </c>
      <c r="T126" s="49">
        <v>1749.28534835337</v>
      </c>
      <c r="U126" s="49">
        <v>1579.36996707504</v>
      </c>
      <c r="V126" s="49">
        <v>1394.77246015624</v>
      </c>
      <c r="W126" s="49">
        <v>1178.3988330523</v>
      </c>
      <c r="X126" s="49">
        <v>1079.1780347384999</v>
      </c>
      <c r="Y126" s="4"/>
      <c r="Z126" s="69">
        <v>13.886847682563999</v>
      </c>
      <c r="AA126" s="69">
        <v>11.8668958190481</v>
      </c>
      <c r="AB126" s="69">
        <v>12.942786790692301</v>
      </c>
      <c r="AC126" s="69">
        <v>8.8171400178663006</v>
      </c>
      <c r="AD126" s="70">
        <v>8.0177607025635904</v>
      </c>
    </row>
    <row r="127" spans="1:30" x14ac:dyDescent="0.25">
      <c r="A127" s="2">
        <v>313</v>
      </c>
      <c r="B127" s="3" t="s">
        <v>124</v>
      </c>
      <c r="C127" s="4" t="s">
        <v>125</v>
      </c>
      <c r="D127" s="4">
        <f>_xlfn.XLOOKUP(C127,[1]Planilha2!$C$3:$C$329,[1]Planilha2!$I$3:$I$329)</f>
        <v>3</v>
      </c>
      <c r="E127" s="4">
        <v>818697</v>
      </c>
      <c r="F127" s="7">
        <v>820337</v>
      </c>
      <c r="G127" s="7">
        <v>821977</v>
      </c>
      <c r="H127" s="4">
        <v>823617</v>
      </c>
      <c r="I127" s="4">
        <v>816698</v>
      </c>
      <c r="J127" s="4">
        <f>_xlfn.XLOOKUP(C127,[1]Planilha2!$C$3:$C$329,[1]Planilha2!$D$3:$D$329,"")</f>
        <v>17</v>
      </c>
      <c r="K127" s="4" t="s">
        <v>21</v>
      </c>
      <c r="L127" s="4">
        <f>_xlfn.XLOOKUP(C127,[1]Planilha2!$C$3:$C$329,[1]Planilha2!$J$3:$J$329,"")</f>
        <v>6</v>
      </c>
      <c r="M127" s="42">
        <v>0.81839983791214299</v>
      </c>
      <c r="N127" s="43">
        <v>0.80888995016486698</v>
      </c>
      <c r="O127" s="43">
        <v>0.80378933242028805</v>
      </c>
      <c r="P127" s="43">
        <v>0.777949956409836</v>
      </c>
      <c r="Q127" s="67">
        <v>0.94703570136390702</v>
      </c>
      <c r="R127" s="67">
        <v>0.96441910414362797</v>
      </c>
      <c r="S127" s="67">
        <v>0.98542508006104002</v>
      </c>
      <c r="T127" s="49">
        <v>1997.3584194641001</v>
      </c>
      <c r="U127" s="49">
        <v>1513.0160431546201</v>
      </c>
      <c r="V127" s="49">
        <v>1321.21651675168</v>
      </c>
      <c r="W127" s="49">
        <v>1255.18605871418</v>
      </c>
      <c r="X127" s="49">
        <v>1088.05572533544</v>
      </c>
      <c r="Y127" s="4"/>
      <c r="Z127" s="69">
        <v>10.381553859364301</v>
      </c>
      <c r="AA127" s="69">
        <v>9.1255910680610501</v>
      </c>
      <c r="AB127" s="69">
        <v>9.0806445922452799</v>
      </c>
      <c r="AC127" s="69">
        <v>7.9991330922018404</v>
      </c>
      <c r="AD127" s="70">
        <v>7.2823907980673397</v>
      </c>
    </row>
    <row r="128" spans="1:30" x14ac:dyDescent="0.25">
      <c r="A128" s="2">
        <v>314</v>
      </c>
      <c r="B128" s="3" t="s">
        <v>126</v>
      </c>
      <c r="C128" s="4" t="s">
        <v>127</v>
      </c>
      <c r="D128" s="4">
        <f>_xlfn.XLOOKUP(C128,[1]Planilha2!$C$3:$C$329,[1]Planilha2!$I$3:$I$329)</f>
        <v>5</v>
      </c>
      <c r="E128" s="4">
        <v>94964</v>
      </c>
      <c r="F128" s="7">
        <v>93305.666666666672</v>
      </c>
      <c r="G128" s="7">
        <v>91647.333333333328</v>
      </c>
      <c r="H128" s="4">
        <v>89989</v>
      </c>
      <c r="I128" s="4">
        <v>90468</v>
      </c>
      <c r="J128" s="4">
        <f>_xlfn.XLOOKUP(C128,[1]Planilha2!$C$3:$C$329,[1]Planilha2!$D$3:$D$329,"")</f>
        <v>7</v>
      </c>
      <c r="K128" s="4" t="s">
        <v>21</v>
      </c>
      <c r="L128" s="4">
        <f>_xlfn.XLOOKUP(C128,[1]Planilha2!$C$3:$C$329,[1]Planilha2!$J$3:$J$329,"")</f>
        <v>1</v>
      </c>
      <c r="M128" s="42">
        <v>0.69176588453005705</v>
      </c>
      <c r="N128" s="43">
        <v>0.67610745029860797</v>
      </c>
      <c r="O128" s="43">
        <v>0.64156890508840003</v>
      </c>
      <c r="P128" s="43">
        <v>0.63455566498651494</v>
      </c>
      <c r="Q128" s="67">
        <v>0.59903501356649802</v>
      </c>
      <c r="R128" s="67">
        <v>0.75261485295080399</v>
      </c>
      <c r="S128" s="67">
        <v>0.91205427181005505</v>
      </c>
      <c r="T128" s="49">
        <v>1727.69693631271</v>
      </c>
      <c r="U128" s="49">
        <v>1577.1279425329701</v>
      </c>
      <c r="V128" s="49">
        <v>1428.5402359043001</v>
      </c>
      <c r="W128" s="49">
        <v>1018.77611396949</v>
      </c>
      <c r="X128" s="49">
        <v>1069.4142160764</v>
      </c>
      <c r="Y128" s="4"/>
      <c r="Z128" s="69">
        <v>10.054631228676101</v>
      </c>
      <c r="AA128" s="69">
        <v>8.5707656198087303</v>
      </c>
      <c r="AB128" s="69">
        <v>7.3429305089800803</v>
      </c>
      <c r="AC128" s="69">
        <v>9.6176866061407509</v>
      </c>
      <c r="AD128" s="70">
        <v>27.251680152098</v>
      </c>
    </row>
    <row r="129" spans="1:30" ht="25.5" x14ac:dyDescent="0.25">
      <c r="A129" s="2">
        <v>315</v>
      </c>
      <c r="B129" s="3" t="s">
        <v>432</v>
      </c>
      <c r="C129" s="4" t="s">
        <v>433</v>
      </c>
      <c r="D129" s="4">
        <f>_xlfn.XLOOKUP(C129,[1]Planilha2!$C$3:$C$329,[1]Planilha2!$I$3:$I$329)</f>
        <v>14</v>
      </c>
      <c r="E129" s="4">
        <v>1185515</v>
      </c>
      <c r="F129" s="7">
        <v>1204909.3333333333</v>
      </c>
      <c r="G129" s="7">
        <v>1224303.6666666667</v>
      </c>
      <c r="H129" s="4">
        <v>1243698</v>
      </c>
      <c r="I129" s="4">
        <v>1242411</v>
      </c>
      <c r="J129" s="4">
        <f>_xlfn.XLOOKUP(C129,[1]Planilha2!$C$3:$C$329,[1]Planilha2!$D$3:$D$329,"")</f>
        <v>88</v>
      </c>
      <c r="K129" s="4" t="s">
        <v>21</v>
      </c>
      <c r="L129" s="4">
        <f>_xlfn.XLOOKUP(C129,[1]Planilha2!$C$3:$C$329,[1]Planilha2!$J$3:$J$329,"")</f>
        <v>1</v>
      </c>
      <c r="M129" s="42">
        <v>0.58026331638231199</v>
      </c>
      <c r="N129" s="43">
        <v>0.55633996677294895</v>
      </c>
      <c r="O129" s="43">
        <v>0.51870033778296598</v>
      </c>
      <c r="P129" s="43">
        <v>0.50855705615935498</v>
      </c>
      <c r="Q129" s="67">
        <v>0.61476959351860105</v>
      </c>
      <c r="R129" s="67">
        <v>0.73748999687169103</v>
      </c>
      <c r="S129" s="67">
        <v>0.74224938742049595</v>
      </c>
      <c r="T129" s="49">
        <v>2130.87951457384</v>
      </c>
      <c r="U129" s="49">
        <v>1726.77992919246</v>
      </c>
      <c r="V129" s="49">
        <v>1391.08379703728</v>
      </c>
      <c r="W129" s="49">
        <v>1104.13909005241</v>
      </c>
      <c r="X129" s="49">
        <v>1043.7284579177101</v>
      </c>
      <c r="Y129" s="4"/>
      <c r="Z129" s="69">
        <v>11.796962501528901</v>
      </c>
      <c r="AA129" s="69">
        <v>9.2698568191022996</v>
      </c>
      <c r="AB129" s="69">
        <v>6.7355879301186397</v>
      </c>
      <c r="AC129" s="69">
        <v>5.3495116981775297</v>
      </c>
      <c r="AD129" s="70">
        <v>5.2059455365414502</v>
      </c>
    </row>
    <row r="130" spans="1:30" x14ac:dyDescent="0.25">
      <c r="A130" s="2">
        <v>316</v>
      </c>
      <c r="B130" s="3" t="s">
        <v>128</v>
      </c>
      <c r="C130" s="4" t="s">
        <v>129</v>
      </c>
      <c r="D130" s="4">
        <f>_xlfn.XLOOKUP(C130,[1]Planilha2!$C$3:$C$329,[1]Planilha2!$I$3:$I$329)</f>
        <v>12</v>
      </c>
      <c r="E130" s="4">
        <v>788727</v>
      </c>
      <c r="F130" s="7">
        <v>789576</v>
      </c>
      <c r="G130" s="7">
        <v>790425</v>
      </c>
      <c r="H130" s="4">
        <v>791274</v>
      </c>
      <c r="I130" s="4">
        <v>787738</v>
      </c>
      <c r="J130" s="4">
        <f>_xlfn.XLOOKUP(C130,[1]Planilha2!$C$3:$C$329,[1]Planilha2!$D$3:$D$329,"")</f>
        <v>50</v>
      </c>
      <c r="K130" s="4" t="s">
        <v>21</v>
      </c>
      <c r="L130" s="4">
        <f>_xlfn.XLOOKUP(C130,[1]Planilha2!$C$3:$C$329,[1]Planilha2!$J$3:$J$329,"")</f>
        <v>1</v>
      </c>
      <c r="M130" s="42">
        <v>0.67499877934486396</v>
      </c>
      <c r="N130" s="43">
        <v>0.64860260876532705</v>
      </c>
      <c r="O130" s="43">
        <v>0.62301399641590605</v>
      </c>
      <c r="P130" s="43">
        <v>0.60766502123802602</v>
      </c>
      <c r="Q130" s="67">
        <v>0.75179349695838704</v>
      </c>
      <c r="R130" s="67">
        <v>0.84016637218374102</v>
      </c>
      <c r="S130" s="67">
        <v>0.90922302309938696</v>
      </c>
      <c r="T130" s="49">
        <v>2135.8620920800199</v>
      </c>
      <c r="U130" s="49">
        <v>1971.909418688</v>
      </c>
      <c r="V130" s="49">
        <v>1514.5156999420101</v>
      </c>
      <c r="W130" s="49">
        <v>1202.2003892709699</v>
      </c>
      <c r="X130" s="49">
        <v>1076.0437098121499</v>
      </c>
      <c r="Y130" s="4"/>
      <c r="Z130" s="69">
        <v>13.149076930293999</v>
      </c>
      <c r="AA130" s="69">
        <v>9.9938865922976401</v>
      </c>
      <c r="AB130" s="69">
        <v>7.8899604643071797</v>
      </c>
      <c r="AC130" s="69">
        <v>6.6313843245196997</v>
      </c>
      <c r="AD130" s="70">
        <v>6.69521846096037</v>
      </c>
    </row>
    <row r="131" spans="1:30" ht="38.25" x14ac:dyDescent="0.25">
      <c r="A131" s="2">
        <v>317</v>
      </c>
      <c r="B131" s="3" t="s">
        <v>434</v>
      </c>
      <c r="C131" s="4" t="s">
        <v>435</v>
      </c>
      <c r="D131" s="4">
        <f>_xlfn.XLOOKUP(C131,[1]Planilha2!$C$3:$C$329,[1]Planilha2!$I$3:$I$329)</f>
        <v>11</v>
      </c>
      <c r="E131" s="4">
        <v>1681922</v>
      </c>
      <c r="F131" s="7">
        <v>1657911.3333333337</v>
      </c>
      <c r="G131" s="7">
        <v>1633900.6666666663</v>
      </c>
      <c r="H131" s="4">
        <v>1609890</v>
      </c>
      <c r="I131" s="4">
        <v>1595691</v>
      </c>
      <c r="J131" s="4">
        <f>_xlfn.XLOOKUP(C131,[1]Planilha2!$C$3:$C$329,[1]Planilha2!$D$3:$D$329,"")</f>
        <v>65</v>
      </c>
      <c r="K131" s="4" t="s">
        <v>21</v>
      </c>
      <c r="L131" s="4">
        <f>_xlfn.XLOOKUP(C131,[1]Planilha2!$C$3:$C$329,[1]Planilha2!$J$3:$J$329,"")</f>
        <v>1</v>
      </c>
      <c r="M131" s="42">
        <v>0.73182049327527399</v>
      </c>
      <c r="N131" s="43">
        <v>0.72201242339905602</v>
      </c>
      <c r="O131" s="43">
        <v>0.68806791029200698</v>
      </c>
      <c r="P131" s="43">
        <v>0.66811366617973</v>
      </c>
      <c r="Q131" s="67">
        <v>0.79280379360067199</v>
      </c>
      <c r="R131" s="67">
        <v>0.903158523325163</v>
      </c>
      <c r="S131" s="67">
        <v>0.95803913367234494</v>
      </c>
      <c r="T131" s="49">
        <v>1843.7914220397899</v>
      </c>
      <c r="U131" s="49">
        <v>1610.9690685107</v>
      </c>
      <c r="V131" s="49">
        <v>1332.0631126474</v>
      </c>
      <c r="W131" s="49">
        <v>1178.2851967525701</v>
      </c>
      <c r="X131" s="49">
        <v>1040.2727156636199</v>
      </c>
      <c r="Y131" s="4"/>
      <c r="Z131" s="69">
        <v>13.8126036760325</v>
      </c>
      <c r="AA131" s="69">
        <v>10.914212139209701</v>
      </c>
      <c r="AB131" s="69">
        <v>10.175840146953</v>
      </c>
      <c r="AC131" s="69">
        <v>8.2303952443955808</v>
      </c>
      <c r="AD131" s="70">
        <v>6.0425884460086596</v>
      </c>
    </row>
    <row r="132" spans="1:30" ht="25.5" x14ac:dyDescent="0.25">
      <c r="A132" s="2">
        <v>318</v>
      </c>
      <c r="B132" s="3" t="s">
        <v>130</v>
      </c>
      <c r="C132" s="4" t="s">
        <v>131</v>
      </c>
      <c r="D132" s="4">
        <f>_xlfn.XLOOKUP(C132,[1]Planilha2!$C$3:$C$329,[1]Planilha2!$I$3:$I$329)</f>
        <v>11</v>
      </c>
      <c r="E132" s="4">
        <v>2360243</v>
      </c>
      <c r="F132" s="7">
        <v>2370196.9999999995</v>
      </c>
      <c r="G132" s="7">
        <v>2380151.0000000005</v>
      </c>
      <c r="H132" s="4">
        <v>2390105</v>
      </c>
      <c r="I132" s="4">
        <v>2380306</v>
      </c>
      <c r="J132" s="4">
        <f>_xlfn.XLOOKUP(C132,[1]Planilha2!$C$3:$C$329,[1]Planilha2!$D$3:$D$329,"")</f>
        <v>146</v>
      </c>
      <c r="K132" s="4" t="s">
        <v>21</v>
      </c>
      <c r="L132" s="4">
        <f>_xlfn.XLOOKUP(C132,[1]Planilha2!$C$3:$C$329,[1]Planilha2!$J$3:$J$329,"")</f>
        <v>1</v>
      </c>
      <c r="M132" s="42">
        <v>0.66144014903965098</v>
      </c>
      <c r="N132" s="43">
        <v>0.63916644556024604</v>
      </c>
      <c r="O132" s="43">
        <v>0.61392493333974896</v>
      </c>
      <c r="P132" s="43">
        <v>0.60310255030235604</v>
      </c>
      <c r="Q132" s="67">
        <v>0.77640998229383995</v>
      </c>
      <c r="R132" s="67">
        <v>0.827956150373093</v>
      </c>
      <c r="S132" s="67">
        <v>0.92217049268442697</v>
      </c>
      <c r="T132" s="49">
        <v>1917.0603765798701</v>
      </c>
      <c r="U132" s="49">
        <v>1456.5518132698101</v>
      </c>
      <c r="V132" s="49">
        <v>1272.1819483217701</v>
      </c>
      <c r="W132" s="49">
        <v>1128.1343545785601</v>
      </c>
      <c r="X132" s="49">
        <v>1004.3110254731999</v>
      </c>
      <c r="Y132" s="4"/>
      <c r="Z132" s="69">
        <v>10.8262123857586</v>
      </c>
      <c r="AA132" s="69">
        <v>7.2577954490702696</v>
      </c>
      <c r="AB132" s="69">
        <v>7.0172026900814304</v>
      </c>
      <c r="AC132" s="69">
        <v>6.0983329184282704</v>
      </c>
      <c r="AD132" s="70">
        <v>5.9671911930650898</v>
      </c>
    </row>
    <row r="133" spans="1:30" ht="25.5" x14ac:dyDescent="0.25">
      <c r="A133" s="2">
        <v>319</v>
      </c>
      <c r="B133" s="3" t="s">
        <v>132</v>
      </c>
      <c r="C133" s="4" t="s">
        <v>133</v>
      </c>
      <c r="D133" s="4">
        <f>_xlfn.XLOOKUP(C133,[1]Planilha2!$C$3:$C$329,[1]Planilha2!$I$3:$I$329)</f>
        <v>13</v>
      </c>
      <c r="E133" s="4">
        <v>2881476</v>
      </c>
      <c r="F133" s="7">
        <v>2864294.6666666674</v>
      </c>
      <c r="G133" s="7">
        <v>2847113.3333333326</v>
      </c>
      <c r="H133" s="4">
        <v>2829932</v>
      </c>
      <c r="I133" s="4">
        <v>2815483</v>
      </c>
      <c r="J133" s="4">
        <f>_xlfn.XLOOKUP(C133,[1]Planilha2!$C$3:$C$329,[1]Planilha2!$D$3:$D$329,"")</f>
        <v>153</v>
      </c>
      <c r="K133" s="4" t="s">
        <v>21</v>
      </c>
      <c r="L133" s="4">
        <f>_xlfn.XLOOKUP(C133,[1]Planilha2!$C$3:$C$329,[1]Planilha2!$J$3:$J$329,"")</f>
        <v>1</v>
      </c>
      <c r="M133" s="42">
        <v>0.73253908843643201</v>
      </c>
      <c r="N133" s="43">
        <v>0.71518760778753698</v>
      </c>
      <c r="O133" s="43">
        <v>0.68473618344893095</v>
      </c>
      <c r="P133" s="43">
        <v>0.66896449976788996</v>
      </c>
      <c r="Q133" s="67">
        <v>0.832079008785507</v>
      </c>
      <c r="R133" s="67">
        <v>0.84727053239889805</v>
      </c>
      <c r="S133" s="67">
        <v>0.955876847895062</v>
      </c>
      <c r="T133" s="49">
        <v>2030.52780437873</v>
      </c>
      <c r="U133" s="49">
        <v>1724.38607542706</v>
      </c>
      <c r="V133" s="49">
        <v>1461.6419548490101</v>
      </c>
      <c r="W133" s="49">
        <v>1253.4420719720499</v>
      </c>
      <c r="X133" s="49">
        <v>1114.1342389671699</v>
      </c>
      <c r="Y133" s="4"/>
      <c r="Z133" s="69">
        <v>14.14554346453</v>
      </c>
      <c r="AA133" s="69">
        <v>11.091700644393701</v>
      </c>
      <c r="AB133" s="69">
        <v>8.8869451397555892</v>
      </c>
      <c r="AC133" s="69">
        <v>7.6985079500143501</v>
      </c>
      <c r="AD133" s="70">
        <v>7.3597499967145996</v>
      </c>
    </row>
    <row r="134" spans="1:30" x14ac:dyDescent="0.25">
      <c r="A134" s="2">
        <v>325</v>
      </c>
      <c r="B134" s="3" t="s">
        <v>134</v>
      </c>
      <c r="C134" s="4" t="s">
        <v>135</v>
      </c>
      <c r="D134" s="4">
        <f>_xlfn.XLOOKUP(C134,[1]Planilha2!$C$3:$C$329,[1]Planilha2!$I$3:$I$329)</f>
        <v>25</v>
      </c>
      <c r="E134" s="4">
        <v>3571473</v>
      </c>
      <c r="F134" s="7">
        <v>3598554.333333333</v>
      </c>
      <c r="G134" s="7">
        <v>3625635.666666667</v>
      </c>
      <c r="H134" s="4">
        <v>3652717</v>
      </c>
      <c r="I134" s="4">
        <v>3637487</v>
      </c>
      <c r="J134" s="4">
        <f>_xlfn.XLOOKUP(C134,[1]Planilha2!$C$3:$C$329,[1]Planilha2!$D$3:$D$329,"")</f>
        <v>12</v>
      </c>
      <c r="K134" s="4" t="s">
        <v>21</v>
      </c>
      <c r="L134" s="4">
        <f>_xlfn.XLOOKUP(C134,[1]Planilha2!$C$3:$C$329,[1]Planilha2!$J$3:$J$329,"")</f>
        <v>1</v>
      </c>
      <c r="M134" s="42">
        <v>0.50856045853784104</v>
      </c>
      <c r="N134" s="43">
        <v>0.48666045399671098</v>
      </c>
      <c r="O134" s="43">
        <v>0.48477986507030202</v>
      </c>
      <c r="P134" s="43">
        <v>0.468402251416981</v>
      </c>
      <c r="Q134" s="67">
        <v>0.87741802912353695</v>
      </c>
      <c r="R134" s="67">
        <v>0.69499667008277199</v>
      </c>
      <c r="S134" s="67">
        <v>0.96271723411811805</v>
      </c>
      <c r="T134" s="49">
        <v>1564.2553154146799</v>
      </c>
      <c r="U134" s="49">
        <v>1257.19524869478</v>
      </c>
      <c r="V134" s="49">
        <v>1143.07995074519</v>
      </c>
      <c r="W134" s="49">
        <v>911.47383346971606</v>
      </c>
      <c r="X134" s="49">
        <v>773.57063980984697</v>
      </c>
      <c r="Y134" s="4"/>
      <c r="Z134" s="69">
        <v>41.544218869917302</v>
      </c>
      <c r="AA134" s="69">
        <v>38.907569826883297</v>
      </c>
      <c r="AB134" s="69">
        <v>21.516002205406402</v>
      </c>
      <c r="AC134" s="69">
        <v>15.9983954409827</v>
      </c>
      <c r="AD134" s="70">
        <v>13.318589729667799</v>
      </c>
    </row>
    <row r="135" spans="1:30" x14ac:dyDescent="0.25">
      <c r="A135" s="2">
        <v>326</v>
      </c>
      <c r="B135" s="3" t="s">
        <v>136</v>
      </c>
      <c r="C135" s="4" t="s">
        <v>137</v>
      </c>
      <c r="D135" s="4">
        <v>12</v>
      </c>
      <c r="E135" s="4">
        <v>1128248</v>
      </c>
      <c r="F135" s="7">
        <v>1127034</v>
      </c>
      <c r="G135" s="7">
        <v>1125820</v>
      </c>
      <c r="H135" s="4">
        <v>1124606</v>
      </c>
      <c r="I135" s="4">
        <v>1114287</v>
      </c>
      <c r="J135" s="4">
        <v>8</v>
      </c>
      <c r="K135" s="4" t="s">
        <v>21</v>
      </c>
      <c r="L135" s="4" t="str">
        <f>_xlfn.XLOOKUP(C135,[1]Planilha2!$C$3:$C$329,[1]Planilha2!$J$3:$J$329,"")</f>
        <v/>
      </c>
      <c r="M135" s="42">
        <v>0.822169014717687</v>
      </c>
      <c r="N135" s="43">
        <v>0.81530190776500699</v>
      </c>
      <c r="O135" s="43">
        <v>0.79690428310003703</v>
      </c>
      <c r="P135" s="43">
        <v>0.77659503395444796</v>
      </c>
      <c r="Q135" s="67">
        <v>0.92230953047556397</v>
      </c>
      <c r="R135" s="67">
        <v>0.955669984455774</v>
      </c>
      <c r="S135" s="67">
        <v>0.99568417799174502</v>
      </c>
      <c r="T135" s="49">
        <v>1595.1648429689201</v>
      </c>
      <c r="U135" s="49">
        <v>1395.7584723678799</v>
      </c>
      <c r="V135" s="49">
        <v>1278.61725011103</v>
      </c>
      <c r="W135" s="49">
        <v>1186.14548076393</v>
      </c>
      <c r="X135" s="49">
        <v>1108.6759191303499</v>
      </c>
      <c r="Y135" s="4"/>
      <c r="Z135" s="69">
        <v>17.857719224851301</v>
      </c>
      <c r="AA135" s="69">
        <v>17.5350885598837</v>
      </c>
      <c r="AB135" s="69">
        <v>17.351789806540999</v>
      </c>
      <c r="AC135" s="69">
        <v>15.9236168044631</v>
      </c>
      <c r="AD135" s="70">
        <v>12.6726740956325</v>
      </c>
    </row>
    <row r="136" spans="1:30" ht="25.5" x14ac:dyDescent="0.25">
      <c r="A136" s="2">
        <v>327</v>
      </c>
      <c r="B136" s="3" t="s">
        <v>436</v>
      </c>
      <c r="C136" s="4" t="s">
        <v>437</v>
      </c>
      <c r="D136" s="4">
        <v>15</v>
      </c>
      <c r="E136" s="4">
        <v>691007</v>
      </c>
      <c r="F136" s="7">
        <v>689892</v>
      </c>
      <c r="G136" s="7">
        <v>688777</v>
      </c>
      <c r="H136" s="4">
        <v>687662</v>
      </c>
      <c r="I136" s="4">
        <v>680232</v>
      </c>
      <c r="J136" s="4">
        <v>6</v>
      </c>
      <c r="K136" s="4" t="s">
        <v>21</v>
      </c>
      <c r="L136" s="4" t="str">
        <f>_xlfn.XLOOKUP(C136,[1]Planilha2!$C$3:$C$329,[1]Planilha2!$J$3:$J$329,"")</f>
        <v/>
      </c>
      <c r="M136" s="42">
        <v>0.80474856673218398</v>
      </c>
      <c r="N136" s="43">
        <v>0.78164745057786</v>
      </c>
      <c r="O136" s="43">
        <v>0.75904830047319805</v>
      </c>
      <c r="P136" s="43">
        <v>0.74006842018605401</v>
      </c>
      <c r="Q136" s="67">
        <v>0.76692739754666595</v>
      </c>
      <c r="R136" s="67">
        <v>0.87014779853760105</v>
      </c>
      <c r="S136" s="67">
        <v>0.98526974986098603</v>
      </c>
      <c r="T136" s="49">
        <v>1311.6286776834399</v>
      </c>
      <c r="U136" s="49">
        <v>1248.01913683108</v>
      </c>
      <c r="V136" s="49">
        <v>1040.3110065231599</v>
      </c>
      <c r="W136" s="49">
        <v>985.43515775191895</v>
      </c>
      <c r="X136" s="49">
        <v>916.34431748285897</v>
      </c>
      <c r="Y136" s="4"/>
      <c r="Z136" s="69">
        <v>14.805643068738799</v>
      </c>
      <c r="AA136" s="69">
        <v>12.827886103911901</v>
      </c>
      <c r="AB136" s="69">
        <v>11.527070445151301</v>
      </c>
      <c r="AC136" s="69">
        <v>11.0387166951206</v>
      </c>
      <c r="AD136" s="70">
        <v>8.4867824506932905</v>
      </c>
    </row>
    <row r="137" spans="1:30" x14ac:dyDescent="0.25">
      <c r="A137" s="6">
        <v>44</v>
      </c>
      <c r="B137" s="3" t="s">
        <v>138</v>
      </c>
      <c r="C137" s="3" t="s">
        <v>139</v>
      </c>
      <c r="D137" s="4">
        <f>_xlfn.XLOOKUP(C137,[1]Planilha2!$C$3:$C$329,[1]Planilha2!$I$3:$I$329)</f>
        <v>30</v>
      </c>
      <c r="E137" s="7">
        <v>217325</v>
      </c>
      <c r="F137" s="7">
        <v>218429.33333333337</v>
      </c>
      <c r="G137" s="7">
        <v>219533.66666666663</v>
      </c>
      <c r="H137" s="7">
        <v>220638</v>
      </c>
      <c r="I137" s="7">
        <v>221429</v>
      </c>
      <c r="J137" s="4">
        <f>_xlfn.XLOOKUP(C137,[1]Planilha2!$C$3:$C$329,[1]Planilha2!$D$3:$D$329,"")</f>
        <v>21</v>
      </c>
      <c r="K137" s="8" t="s">
        <v>141</v>
      </c>
      <c r="L137" s="4">
        <f>_xlfn.XLOOKUP(C137,[1]Planilha2!$C$3:$C$329,[1]Planilha2!$J$3:$J$329,"")</f>
        <v>5</v>
      </c>
      <c r="M137" s="42">
        <v>0.69576009128810501</v>
      </c>
      <c r="N137" s="43">
        <v>0.66109032616106</v>
      </c>
      <c r="O137" s="43">
        <v>0.63864338962463396</v>
      </c>
      <c r="P137" s="43">
        <v>0.63557695694782501</v>
      </c>
      <c r="Q137" s="67">
        <v>0.59768936199611</v>
      </c>
      <c r="R137" s="67">
        <v>0.88808245341261205</v>
      </c>
      <c r="S137" s="67">
        <v>0.916776154150996</v>
      </c>
      <c r="T137" s="49">
        <v>1694.7299079259201</v>
      </c>
      <c r="U137" s="49">
        <v>1415.09763885498</v>
      </c>
      <c r="V137" s="49">
        <v>1292.8099278926099</v>
      </c>
      <c r="W137" s="49">
        <v>920.47919927664304</v>
      </c>
      <c r="X137" s="49">
        <v>967.90397143102302</v>
      </c>
      <c r="Y137" s="4"/>
      <c r="Z137" s="69">
        <v>2.4885079949384599</v>
      </c>
      <c r="AA137" s="69">
        <v>2.1396943023525501</v>
      </c>
      <c r="AB137" s="69">
        <v>1.7494765419426901</v>
      </c>
      <c r="AC137" s="69">
        <v>2.2847877518831701</v>
      </c>
      <c r="AD137" s="70">
        <v>2.0416747580488601</v>
      </c>
    </row>
    <row r="138" spans="1:30" ht="15" customHeight="1" x14ac:dyDescent="0.25">
      <c r="A138" s="6">
        <v>45</v>
      </c>
      <c r="B138" s="3" t="s">
        <v>142</v>
      </c>
      <c r="C138" s="3" t="s">
        <v>143</v>
      </c>
      <c r="D138" s="4">
        <f>_xlfn.XLOOKUP(C138,[1]Planilha2!$C$3:$C$329,[1]Planilha2!$I$3:$I$329)</f>
        <v>30</v>
      </c>
      <c r="E138" s="7">
        <v>705893</v>
      </c>
      <c r="F138" s="7">
        <v>694293.33333333349</v>
      </c>
      <c r="G138" s="7">
        <v>682693.66666666651</v>
      </c>
      <c r="H138" s="7">
        <v>671094</v>
      </c>
      <c r="I138" s="7">
        <v>662968</v>
      </c>
      <c r="J138" s="4">
        <f>_xlfn.XLOOKUP(C138,[1]Planilha2!$C$3:$C$329,[1]Planilha2!$D$3:$D$329,"")</f>
        <v>26</v>
      </c>
      <c r="K138" s="8" t="s">
        <v>141</v>
      </c>
      <c r="L138" s="4">
        <f>_xlfn.XLOOKUP(C138,[1]Planilha2!$C$3:$C$329,[1]Planilha2!$J$3:$J$329,"")</f>
        <v>2</v>
      </c>
      <c r="M138" s="42">
        <v>0.76736355694999203</v>
      </c>
      <c r="N138" s="43">
        <v>0.75269721754168895</v>
      </c>
      <c r="O138" s="43">
        <v>0.722041939579254</v>
      </c>
      <c r="P138" s="43">
        <v>0.71616975691134399</v>
      </c>
      <c r="Q138" s="67">
        <v>0.58655889166492903</v>
      </c>
      <c r="R138" s="67">
        <v>0.86664384323666899</v>
      </c>
      <c r="S138" s="67">
        <v>0.90485441864848104</v>
      </c>
      <c r="T138" s="49">
        <v>1735.95554432471</v>
      </c>
      <c r="U138" s="49">
        <v>1630.48339562049</v>
      </c>
      <c r="V138" s="49">
        <v>1429.4261386244</v>
      </c>
      <c r="W138" s="49">
        <v>1202.4242385120399</v>
      </c>
      <c r="X138" s="49">
        <v>1047.76396209168</v>
      </c>
      <c r="Y138" s="4"/>
      <c r="Z138" s="69">
        <v>16.565289640214601</v>
      </c>
      <c r="AA138" s="69">
        <v>15.521191811338101</v>
      </c>
      <c r="AB138" s="69">
        <v>14.650633934888299</v>
      </c>
      <c r="AC138" s="69">
        <v>10.3033747880327</v>
      </c>
      <c r="AD138" s="70">
        <v>12.316660834308699</v>
      </c>
    </row>
    <row r="139" spans="1:30" ht="15" customHeight="1" x14ac:dyDescent="0.25">
      <c r="A139" s="6">
        <v>46</v>
      </c>
      <c r="B139" s="3" t="s">
        <v>438</v>
      </c>
      <c r="C139" s="3" t="s">
        <v>439</v>
      </c>
      <c r="D139" s="4">
        <f>_xlfn.XLOOKUP(C139,[1]Planilha2!$C$3:$C$329,[1]Planilha2!$I$3:$I$329)</f>
        <v>30</v>
      </c>
      <c r="E139" s="7">
        <v>458662</v>
      </c>
      <c r="F139" s="7">
        <v>447397.33333333331</v>
      </c>
      <c r="G139" s="7">
        <v>436132.66666666669</v>
      </c>
      <c r="H139" s="7">
        <v>424868</v>
      </c>
      <c r="I139" s="7">
        <v>422879</v>
      </c>
      <c r="J139" s="4">
        <f>_xlfn.XLOOKUP(C139,[1]Planilha2!$C$3:$C$329,[1]Planilha2!$D$3:$D$329,"")</f>
        <v>27</v>
      </c>
      <c r="K139" s="8" t="s">
        <v>141</v>
      </c>
      <c r="L139" s="4">
        <f>_xlfn.XLOOKUP(C139,[1]Planilha2!$C$3:$C$329,[1]Planilha2!$J$3:$J$329,"")</f>
        <v>2</v>
      </c>
      <c r="M139" s="42">
        <v>0.73730865613861496</v>
      </c>
      <c r="N139" s="43">
        <v>0.70869937312652598</v>
      </c>
      <c r="O139" s="43">
        <v>0.68596949005338104</v>
      </c>
      <c r="P139" s="43">
        <v>0.66604171145883295</v>
      </c>
      <c r="Q139" s="67">
        <v>0.356453734796293</v>
      </c>
      <c r="R139" s="67">
        <v>0.70024975542610102</v>
      </c>
      <c r="S139" s="67">
        <v>0.85153849409736204</v>
      </c>
      <c r="T139" s="49">
        <v>1971.04239847644</v>
      </c>
      <c r="U139" s="49">
        <v>1950.80013085311</v>
      </c>
      <c r="V139" s="49">
        <v>1677.27745586588</v>
      </c>
      <c r="W139" s="49">
        <v>1327.6061290330199</v>
      </c>
      <c r="X139" s="49">
        <v>1154.6523341192201</v>
      </c>
      <c r="Y139" s="4"/>
      <c r="Z139" s="69">
        <v>19.863786404803498</v>
      </c>
      <c r="AA139" s="69">
        <v>18.497090580185301</v>
      </c>
      <c r="AB139" s="69">
        <v>17.703849287449199</v>
      </c>
      <c r="AC139" s="69">
        <v>12.9525476147886</v>
      </c>
      <c r="AD139" s="70">
        <v>10.2346415877828</v>
      </c>
    </row>
    <row r="140" spans="1:30" ht="15" customHeight="1" x14ac:dyDescent="0.25">
      <c r="A140" s="6">
        <v>47</v>
      </c>
      <c r="B140" s="3" t="s">
        <v>144</v>
      </c>
      <c r="C140" s="3" t="s">
        <v>145</v>
      </c>
      <c r="D140" s="4">
        <f>_xlfn.XLOOKUP(C140,[1]Planilha2!$C$3:$C$329,[1]Planilha2!$I$3:$I$329)</f>
        <v>25</v>
      </c>
      <c r="E140" s="7">
        <v>10098629</v>
      </c>
      <c r="F140" s="7">
        <v>10004637</v>
      </c>
      <c r="G140" s="7">
        <v>9910644.9999999981</v>
      </c>
      <c r="H140" s="7">
        <v>9816653</v>
      </c>
      <c r="I140" s="7">
        <v>9745601</v>
      </c>
      <c r="J140" s="4">
        <f>_xlfn.XLOOKUP(C140,[1]Planilha2!$C$3:$C$329,[1]Planilha2!$D$3:$D$329,"")</f>
        <v>397</v>
      </c>
      <c r="K140" s="8" t="s">
        <v>141</v>
      </c>
      <c r="L140" s="4">
        <f>_xlfn.XLOOKUP(C140,[1]Planilha2!$C$3:$C$329,[1]Planilha2!$J$3:$J$329,"")</f>
        <v>1</v>
      </c>
      <c r="M140" s="42">
        <v>0.74367914792244205</v>
      </c>
      <c r="N140" s="43">
        <v>0.71630130333259501</v>
      </c>
      <c r="O140" s="43">
        <v>0.70334763249755305</v>
      </c>
      <c r="P140" s="43">
        <v>0.67601494874456702</v>
      </c>
      <c r="Q140" s="67">
        <v>0.61983332687562998</v>
      </c>
      <c r="R140" s="67">
        <v>0.85161029828701096</v>
      </c>
      <c r="S140" s="67">
        <v>0.923694240189883</v>
      </c>
      <c r="T140" s="49">
        <v>1632.74697931571</v>
      </c>
      <c r="U140" s="49">
        <v>1452.4845876120601</v>
      </c>
      <c r="V140" s="49">
        <v>1283.96079509322</v>
      </c>
      <c r="W140" s="49">
        <v>1082.25041373368</v>
      </c>
      <c r="X140" s="49">
        <v>972.03227732594405</v>
      </c>
      <c r="Y140" s="4"/>
      <c r="Z140" s="69">
        <v>11.633480742782</v>
      </c>
      <c r="AA140" s="69">
        <v>11.0599753894119</v>
      </c>
      <c r="AB140" s="69">
        <v>10.0718150029589</v>
      </c>
      <c r="AC140" s="69">
        <v>8.0569232710986096</v>
      </c>
      <c r="AD140" s="70">
        <v>7.9023648721099899</v>
      </c>
    </row>
    <row r="141" spans="1:30" ht="15" customHeight="1" x14ac:dyDescent="0.25">
      <c r="A141" s="6">
        <v>48</v>
      </c>
      <c r="B141" s="3" t="s">
        <v>146</v>
      </c>
      <c r="C141" s="3" t="s">
        <v>147</v>
      </c>
      <c r="D141" s="4">
        <f>_xlfn.XLOOKUP(C141,[1]Planilha2!$C$3:$C$329,[1]Planilha2!$I$3:$I$329)</f>
        <v>14</v>
      </c>
      <c r="E141" s="7">
        <v>312589</v>
      </c>
      <c r="F141" s="7">
        <v>309240.66666666663</v>
      </c>
      <c r="G141" s="7">
        <v>305892.33333333337</v>
      </c>
      <c r="H141" s="7">
        <v>302544</v>
      </c>
      <c r="I141" s="7">
        <v>299824</v>
      </c>
      <c r="J141" s="4">
        <f>_xlfn.XLOOKUP(C141,[1]Planilha2!$C$3:$C$329,[1]Planilha2!$D$3:$D$329,"")</f>
        <v>7</v>
      </c>
      <c r="K141" s="8" t="s">
        <v>141</v>
      </c>
      <c r="L141" s="4">
        <f>_xlfn.XLOOKUP(C141,[1]Planilha2!$C$3:$C$329,[1]Planilha2!$J$3:$J$329,"")</f>
        <v>3</v>
      </c>
      <c r="M141" s="42">
        <v>0.66558422135079298</v>
      </c>
      <c r="N141" s="43">
        <v>0.63530018012873801</v>
      </c>
      <c r="O141" s="43">
        <v>0.62455193095880301</v>
      </c>
      <c r="P141" s="43">
        <v>0.601497442833129</v>
      </c>
      <c r="Q141" s="67">
        <v>0.73258168266176404</v>
      </c>
      <c r="R141" s="67">
        <v>0.83578755880336997</v>
      </c>
      <c r="S141" s="67">
        <v>0.97399558635554795</v>
      </c>
      <c r="T141" s="49">
        <v>1406.6321024732199</v>
      </c>
      <c r="U141" s="49">
        <v>1300.6855296306401</v>
      </c>
      <c r="V141" s="49">
        <v>1205.64146956936</v>
      </c>
      <c r="W141" s="49">
        <v>1054.14546892353</v>
      </c>
      <c r="X141" s="49">
        <v>915.66323132904597</v>
      </c>
      <c r="Y141" s="4"/>
      <c r="Z141" s="69">
        <v>4.4123817536765504</v>
      </c>
      <c r="AA141" s="69">
        <v>5.0385061473156796</v>
      </c>
      <c r="AB141" s="69">
        <v>3.5296471416413402</v>
      </c>
      <c r="AC141" s="69">
        <v>3.67035538632397</v>
      </c>
      <c r="AD141" s="70">
        <v>3.9288048988740099</v>
      </c>
    </row>
    <row r="142" spans="1:30" ht="15" customHeight="1" x14ac:dyDescent="0.25">
      <c r="A142" s="6">
        <v>49</v>
      </c>
      <c r="B142" s="3" t="s">
        <v>148</v>
      </c>
      <c r="C142" s="3" t="s">
        <v>149</v>
      </c>
      <c r="D142" s="4">
        <f>_xlfn.XLOOKUP(C142,[1]Planilha2!$C$3:$C$329,[1]Planilha2!$I$3:$I$329)</f>
        <v>31</v>
      </c>
      <c r="E142" s="7">
        <v>189229</v>
      </c>
      <c r="F142" s="7">
        <v>187243.66666666669</v>
      </c>
      <c r="G142" s="7">
        <v>185258.33333333331</v>
      </c>
      <c r="H142" s="7">
        <v>183273</v>
      </c>
      <c r="I142" s="7">
        <v>183002</v>
      </c>
      <c r="J142" s="4">
        <f>_xlfn.XLOOKUP(C142,[1]Planilha2!$C$3:$C$329,[1]Planilha2!$D$3:$D$329,"")</f>
        <v>20</v>
      </c>
      <c r="K142" s="8" t="s">
        <v>141</v>
      </c>
      <c r="L142" s="4">
        <f>_xlfn.XLOOKUP(C142,[1]Planilha2!$C$3:$C$329,[1]Planilha2!$J$3:$J$329,"")</f>
        <v>2</v>
      </c>
      <c r="M142" s="42">
        <v>0.67688206063044398</v>
      </c>
      <c r="N142" s="43">
        <v>0.664624499842562</v>
      </c>
      <c r="O142" s="43">
        <v>0.65319346766845099</v>
      </c>
      <c r="P142" s="43">
        <v>0.62614681369602498</v>
      </c>
      <c r="Q142" s="67">
        <v>0.31741818037875003</v>
      </c>
      <c r="R142" s="67">
        <v>0.76059272187486004</v>
      </c>
      <c r="S142" s="67">
        <v>0.84855164625972701</v>
      </c>
      <c r="T142" s="49">
        <v>2075.5021076579201</v>
      </c>
      <c r="U142" s="49">
        <v>1969.8288663613</v>
      </c>
      <c r="V142" s="49">
        <v>1874.1254446673599</v>
      </c>
      <c r="W142" s="49">
        <v>1461.4071214527</v>
      </c>
      <c r="X142" s="49">
        <v>1351.2819795412099</v>
      </c>
      <c r="Y142" s="4"/>
      <c r="Z142" s="69">
        <v>14.9129731700744</v>
      </c>
      <c r="AA142" s="69">
        <v>14.328217598815099</v>
      </c>
      <c r="AB142" s="69">
        <v>13.0499824569295</v>
      </c>
      <c r="AC142" s="69">
        <v>10.7407692349664</v>
      </c>
      <c r="AD142" s="70">
        <v>11.388083190347601</v>
      </c>
    </row>
    <row r="143" spans="1:30" ht="15" customHeight="1" x14ac:dyDescent="0.25">
      <c r="A143" s="6">
        <v>50</v>
      </c>
      <c r="B143" s="3" t="s">
        <v>440</v>
      </c>
      <c r="C143" s="3" t="s">
        <v>441</v>
      </c>
      <c r="D143" s="4">
        <f>_xlfn.XLOOKUP(C143,[1]Planilha2!$C$3:$C$329,[1]Planilha2!$I$3:$I$329)</f>
        <v>31</v>
      </c>
      <c r="E143" s="7">
        <v>388124</v>
      </c>
      <c r="F143" s="7">
        <v>381836.33333333337</v>
      </c>
      <c r="G143" s="7">
        <v>375548.66666666663</v>
      </c>
      <c r="H143" s="7">
        <v>369261</v>
      </c>
      <c r="I143" s="7">
        <v>370230</v>
      </c>
      <c r="J143" s="4">
        <f>_xlfn.XLOOKUP(C143,[1]Planilha2!$C$3:$C$329,[1]Planilha2!$D$3:$D$329,"")</f>
        <v>25</v>
      </c>
      <c r="K143" s="8" t="s">
        <v>141</v>
      </c>
      <c r="L143" s="4">
        <f>_xlfn.XLOOKUP(C143,[1]Planilha2!$C$3:$C$329,[1]Planilha2!$J$3:$J$329,"")</f>
        <v>2</v>
      </c>
      <c r="M143" s="42">
        <v>0.73285248217168097</v>
      </c>
      <c r="N143" s="43">
        <v>0.69490330822636404</v>
      </c>
      <c r="O143" s="43">
        <v>0.69152271103636698</v>
      </c>
      <c r="P143" s="43">
        <v>0.66297844096912695</v>
      </c>
      <c r="Q143" s="67">
        <v>0.50524824558911996</v>
      </c>
      <c r="R143" s="67">
        <v>0.85502170167026803</v>
      </c>
      <c r="S143" s="67">
        <v>0.91432392836791698</v>
      </c>
      <c r="T143" s="49">
        <v>2017.77831788294</v>
      </c>
      <c r="U143" s="49">
        <v>1826.63683021259</v>
      </c>
      <c r="V143" s="49">
        <v>1516.9765414513499</v>
      </c>
      <c r="W143" s="49">
        <v>1301.0483905963499</v>
      </c>
      <c r="X143" s="49">
        <v>1210.0870990465401</v>
      </c>
      <c r="Y143" s="4"/>
      <c r="Z143" s="69">
        <v>20.5912955653348</v>
      </c>
      <c r="AA143" s="69">
        <v>16.251604308652301</v>
      </c>
      <c r="AB143" s="69">
        <v>14.478584222550801</v>
      </c>
      <c r="AC143" s="69">
        <v>12.9167391086521</v>
      </c>
      <c r="AD143" s="70">
        <v>11.960511033681801</v>
      </c>
    </row>
    <row r="144" spans="1:30" ht="15" customHeight="1" x14ac:dyDescent="0.25">
      <c r="A144" s="6">
        <v>55</v>
      </c>
      <c r="B144" s="3" t="s">
        <v>442</v>
      </c>
      <c r="C144" s="3" t="s">
        <v>443</v>
      </c>
      <c r="D144" s="4">
        <f>_xlfn.XLOOKUP(C144,[1]Planilha2!$C$3:$C$329,[1]Planilha2!$I$3:$I$329)</f>
        <v>27</v>
      </c>
      <c r="E144" s="7">
        <v>232675</v>
      </c>
      <c r="F144" s="7">
        <v>232441.33333333331</v>
      </c>
      <c r="G144" s="7">
        <v>232207.66666666669</v>
      </c>
      <c r="H144" s="7">
        <v>231974</v>
      </c>
      <c r="I144" s="7">
        <v>232433</v>
      </c>
      <c r="J144" s="4">
        <f>_xlfn.XLOOKUP(C144,[1]Planilha2!$C$3:$C$329,[1]Planilha2!$D$3:$D$329,"")</f>
        <v>36</v>
      </c>
      <c r="K144" s="8" t="s">
        <v>141</v>
      </c>
      <c r="L144" s="4">
        <f>_xlfn.XLOOKUP(C144,[1]Planilha2!$C$3:$C$329,[1]Planilha2!$J$3:$J$329,"")</f>
        <v>2</v>
      </c>
      <c r="M144" s="42">
        <v>0.67770774360268704</v>
      </c>
      <c r="N144" s="43">
        <v>0.66014490736022202</v>
      </c>
      <c r="O144" s="43">
        <v>0.634486579961547</v>
      </c>
      <c r="P144" s="43">
        <v>0.62408848313277399</v>
      </c>
      <c r="Q144" s="67">
        <v>0.35452622537584899</v>
      </c>
      <c r="R144" s="67">
        <v>0.81795934759547095</v>
      </c>
      <c r="S144" s="67">
        <v>0.83755567272398401</v>
      </c>
      <c r="T144" s="49">
        <v>2026.8129316858301</v>
      </c>
      <c r="U144" s="49">
        <v>1760.5958293849101</v>
      </c>
      <c r="V144" s="49">
        <v>1638.3145532375499</v>
      </c>
      <c r="W144" s="49">
        <v>1344.6483937855101</v>
      </c>
      <c r="X144" s="49">
        <v>1167.64758153963</v>
      </c>
      <c r="Y144" s="4"/>
      <c r="Z144" s="69">
        <v>10.890267540560901</v>
      </c>
      <c r="AA144" s="69">
        <v>10.1636656704774</v>
      </c>
      <c r="AB144" s="69">
        <v>8.2985416789281992</v>
      </c>
      <c r="AC144" s="69">
        <v>6.3058747963133799</v>
      </c>
      <c r="AD144" s="70">
        <v>4.5893397237053302</v>
      </c>
    </row>
    <row r="145" spans="1:30" ht="15" customHeight="1" x14ac:dyDescent="0.25">
      <c r="A145" s="6">
        <v>56</v>
      </c>
      <c r="B145" s="3" t="s">
        <v>150</v>
      </c>
      <c r="C145" s="3" t="s">
        <v>151</v>
      </c>
      <c r="D145" s="4">
        <f>_xlfn.XLOOKUP(C145,[1]Planilha2!$C$3:$C$329,[1]Planilha2!$I$3:$I$329)</f>
        <v>27</v>
      </c>
      <c r="E145" s="7">
        <v>485529</v>
      </c>
      <c r="F145" s="7">
        <v>481310.00000000017</v>
      </c>
      <c r="G145" s="7">
        <v>477090.99999999983</v>
      </c>
      <c r="H145" s="7">
        <v>472872</v>
      </c>
      <c r="I145" s="7">
        <v>472006</v>
      </c>
      <c r="J145" s="4">
        <f>_xlfn.XLOOKUP(C145,[1]Planilha2!$C$3:$C$329,[1]Planilha2!$D$3:$D$329,"")</f>
        <v>46</v>
      </c>
      <c r="K145" s="8" t="s">
        <v>141</v>
      </c>
      <c r="L145" s="4">
        <f>_xlfn.XLOOKUP(C145,[1]Planilha2!$C$3:$C$329,[1]Planilha2!$J$3:$J$329,"")</f>
        <v>11</v>
      </c>
      <c r="M145" s="42">
        <v>0.68688048880485897</v>
      </c>
      <c r="N145" s="43">
        <v>0.66716009838793899</v>
      </c>
      <c r="O145" s="43">
        <v>0.64974175590857597</v>
      </c>
      <c r="P145" s="43">
        <v>0.63976332398317004</v>
      </c>
      <c r="Q145" s="67">
        <v>0.15088192734719399</v>
      </c>
      <c r="R145" s="67">
        <v>0.83291374685332598</v>
      </c>
      <c r="S145" s="67">
        <v>0.81272006130207197</v>
      </c>
      <c r="T145" s="49">
        <v>1529.5807735892199</v>
      </c>
      <c r="U145" s="49">
        <v>1514.40812413344</v>
      </c>
      <c r="V145" s="49">
        <v>1430.8037526313999</v>
      </c>
      <c r="W145" s="49">
        <v>1162.5990554314899</v>
      </c>
      <c r="X145" s="49">
        <v>1037.8326684618401</v>
      </c>
      <c r="Y145" s="4"/>
      <c r="Z145" s="69">
        <v>10.826255486283999</v>
      </c>
      <c r="AA145" s="69">
        <v>10.310438179136099</v>
      </c>
      <c r="AB145" s="69">
        <v>11.8881219725377</v>
      </c>
      <c r="AC145" s="69">
        <v>5.1302212860985597</v>
      </c>
      <c r="AD145" s="70">
        <v>4.2286623475125298</v>
      </c>
    </row>
    <row r="146" spans="1:30" ht="15" customHeight="1" x14ac:dyDescent="0.25">
      <c r="A146" s="6">
        <v>57</v>
      </c>
      <c r="B146" s="3" t="s">
        <v>153</v>
      </c>
      <c r="C146" s="3" t="s">
        <v>154</v>
      </c>
      <c r="D146" s="4">
        <f>_xlfn.XLOOKUP(C146,[1]Planilha2!$C$3:$C$329,[1]Planilha2!$I$3:$I$329)</f>
        <v>27</v>
      </c>
      <c r="E146" s="7">
        <v>212287</v>
      </c>
      <c r="F146" s="7">
        <v>210150</v>
      </c>
      <c r="G146" s="7">
        <v>208013</v>
      </c>
      <c r="H146" s="7">
        <v>205876</v>
      </c>
      <c r="I146" s="7">
        <v>207133</v>
      </c>
      <c r="J146" s="4">
        <f>_xlfn.XLOOKUP(C146,[1]Planilha2!$C$3:$C$329,[1]Planilha2!$D$3:$D$329,"")</f>
        <v>27</v>
      </c>
      <c r="K146" s="8" t="s">
        <v>141</v>
      </c>
      <c r="L146" s="4">
        <f>_xlfn.XLOOKUP(C146,[1]Planilha2!$C$3:$C$329,[1]Planilha2!$J$3:$J$329,"")</f>
        <v>2</v>
      </c>
      <c r="M146" s="42">
        <v>0.64145495297010102</v>
      </c>
      <c r="N146" s="43">
        <v>0.61509408097891305</v>
      </c>
      <c r="O146" s="43">
        <v>0.59603403650741205</v>
      </c>
      <c r="P146" s="43">
        <v>0.57379571772725702</v>
      </c>
      <c r="Q146" s="67">
        <v>0.158154116970253</v>
      </c>
      <c r="R146" s="67">
        <v>0.82945429211956301</v>
      </c>
      <c r="S146" s="67">
        <v>0.77123542182459703</v>
      </c>
      <c r="T146" s="49">
        <v>1598.4743815683501</v>
      </c>
      <c r="U146" s="49">
        <v>1488.4917031961299</v>
      </c>
      <c r="V146" s="49">
        <v>1409.2450463672899</v>
      </c>
      <c r="W146" s="49">
        <v>1107.5458079620701</v>
      </c>
      <c r="X146" s="49">
        <v>1042.80399709365</v>
      </c>
      <c r="Y146" s="4"/>
      <c r="Z146" s="69">
        <v>4.8065873086905899</v>
      </c>
      <c r="AA146" s="69">
        <v>4.18292648108494</v>
      </c>
      <c r="AB146" s="69">
        <v>5.7077249979568601</v>
      </c>
      <c r="AC146" s="69">
        <v>3.1244049816394299</v>
      </c>
      <c r="AD146" s="70">
        <v>2.6600879628065099</v>
      </c>
    </row>
    <row r="147" spans="1:30" ht="15" customHeight="1" x14ac:dyDescent="0.25">
      <c r="A147" s="6">
        <v>58</v>
      </c>
      <c r="B147" s="3" t="s">
        <v>444</v>
      </c>
      <c r="C147" s="3" t="s">
        <v>445</v>
      </c>
      <c r="D147" s="4">
        <f>_xlfn.XLOOKUP(C147,[1]Planilha2!$C$3:$C$329,[1]Planilha2!$I$3:$I$329)</f>
        <v>25</v>
      </c>
      <c r="E147" s="7">
        <v>443475</v>
      </c>
      <c r="F147" s="7">
        <v>434270.33333333326</v>
      </c>
      <c r="G147" s="7">
        <v>425065.66666666674</v>
      </c>
      <c r="H147" s="7">
        <v>415861</v>
      </c>
      <c r="I147" s="7">
        <v>411213</v>
      </c>
      <c r="J147" s="4">
        <f>_xlfn.XLOOKUP(C147,[1]Planilha2!$C$3:$C$329,[1]Planilha2!$D$3:$D$329,"")</f>
        <v>23</v>
      </c>
      <c r="K147" s="8" t="s">
        <v>141</v>
      </c>
      <c r="L147" s="4">
        <f>_xlfn.XLOOKUP(C147,[1]Planilha2!$C$3:$C$329,[1]Planilha2!$J$3:$J$329,"")</f>
        <v>2</v>
      </c>
      <c r="M147" s="42">
        <v>0.68125262075619597</v>
      </c>
      <c r="N147" s="43">
        <v>0.66104473175517198</v>
      </c>
      <c r="O147" s="43">
        <v>0.64887181654447001</v>
      </c>
      <c r="P147" s="43">
        <v>0.62229333921836105</v>
      </c>
      <c r="Q147" s="67">
        <v>0.258335285450013</v>
      </c>
      <c r="R147" s="67">
        <v>0.74346792495590797</v>
      </c>
      <c r="S147" s="67">
        <v>0.97652697034262104</v>
      </c>
      <c r="T147" s="49">
        <v>1608.3013195106801</v>
      </c>
      <c r="U147" s="49">
        <v>1501.7137627944501</v>
      </c>
      <c r="V147" s="49">
        <v>1330.8837761145901</v>
      </c>
      <c r="W147" s="49">
        <v>1150.74940422401</v>
      </c>
      <c r="X147" s="49">
        <v>1037.8418003321899</v>
      </c>
      <c r="Y147" s="4"/>
      <c r="Z147" s="69">
        <v>6.4657579344946203</v>
      </c>
      <c r="AA147" s="69">
        <v>7.3863300202408499</v>
      </c>
      <c r="AB147" s="69">
        <v>4.6873392895372197</v>
      </c>
      <c r="AC147" s="69">
        <v>5.5470794327912403</v>
      </c>
      <c r="AD147" s="70">
        <v>2.97844182941687</v>
      </c>
    </row>
    <row r="148" spans="1:30" ht="15" customHeight="1" x14ac:dyDescent="0.25">
      <c r="A148" s="6">
        <v>59</v>
      </c>
      <c r="B148" s="3" t="s">
        <v>446</v>
      </c>
      <c r="C148" s="3" t="s">
        <v>447</v>
      </c>
      <c r="D148" s="4">
        <f>_xlfn.XLOOKUP(C148,[1]Planilha2!$C$3:$C$329,[1]Planilha2!$I$3:$I$329)</f>
        <v>20</v>
      </c>
      <c r="E148" s="7">
        <v>187666</v>
      </c>
      <c r="F148" s="7">
        <v>189196</v>
      </c>
      <c r="G148" s="7">
        <v>190726</v>
      </c>
      <c r="H148" s="7">
        <v>192256</v>
      </c>
      <c r="I148" s="7">
        <v>192435</v>
      </c>
      <c r="J148" s="4">
        <f>_xlfn.XLOOKUP(C148,[1]Planilha2!$C$3:$C$329,[1]Planilha2!$D$3:$D$329,"")</f>
        <v>13</v>
      </c>
      <c r="K148" s="8" t="s">
        <v>141</v>
      </c>
      <c r="L148" s="4">
        <f>_xlfn.XLOOKUP(C148,[1]Planilha2!$C$3:$C$329,[1]Planilha2!$J$3:$J$329,"")</f>
        <v>10</v>
      </c>
      <c r="M148" s="42">
        <v>0.62337307624544602</v>
      </c>
      <c r="N148" s="43">
        <v>0.59056973843803895</v>
      </c>
      <c r="O148" s="43">
        <v>0.58807873720456005</v>
      </c>
      <c r="P148" s="43">
        <v>0.57249354015641596</v>
      </c>
      <c r="Q148" s="67">
        <v>0.41224805008231702</v>
      </c>
      <c r="R148" s="67">
        <v>0.80673908049592902</v>
      </c>
      <c r="S148" s="67">
        <v>0.85737392087776898</v>
      </c>
      <c r="T148" s="49">
        <v>1408.8565452452799</v>
      </c>
      <c r="U148" s="49">
        <v>1572.1431082581</v>
      </c>
      <c r="V148" s="49">
        <v>1201.0741209728401</v>
      </c>
      <c r="W148" s="49">
        <v>1028.7460179136101</v>
      </c>
      <c r="X148" s="49">
        <v>921.890230051706</v>
      </c>
      <c r="Y148" s="4"/>
      <c r="Z148" s="69">
        <v>9.5704975861370691</v>
      </c>
      <c r="AA148" s="69">
        <v>8.9260502336201597</v>
      </c>
      <c r="AB148" s="69">
        <v>8.5896941161666494</v>
      </c>
      <c r="AC148" s="69">
        <v>6.4843645972037303</v>
      </c>
      <c r="AD148" s="70">
        <v>6.53521968456882</v>
      </c>
    </row>
    <row r="149" spans="1:30" ht="15" customHeight="1" x14ac:dyDescent="0.25">
      <c r="A149" s="6">
        <v>60</v>
      </c>
      <c r="B149" s="3" t="s">
        <v>448</v>
      </c>
      <c r="C149" s="3" t="s">
        <v>449</v>
      </c>
      <c r="D149" s="4">
        <f>_xlfn.XLOOKUP(C149,[1]Planilha2!$C$3:$C$329,[1]Planilha2!$I$3:$I$329)</f>
        <v>19</v>
      </c>
      <c r="E149" s="7">
        <v>387032</v>
      </c>
      <c r="F149" s="7">
        <v>384988.00000000006</v>
      </c>
      <c r="G149" s="7">
        <v>382943.99999999994</v>
      </c>
      <c r="H149" s="7">
        <v>380900</v>
      </c>
      <c r="I149" s="7">
        <v>378891</v>
      </c>
      <c r="J149" s="4">
        <f>_xlfn.XLOOKUP(C149,[1]Planilha2!$C$3:$C$329,[1]Planilha2!$D$3:$D$329,"")</f>
        <v>39</v>
      </c>
      <c r="K149" s="8" t="s">
        <v>141</v>
      </c>
      <c r="L149" s="4">
        <f>_xlfn.XLOOKUP(C149,[1]Planilha2!$C$3:$C$329,[1]Planilha2!$J$3:$J$329,"")</f>
        <v>12</v>
      </c>
      <c r="M149" s="42">
        <v>0.66504436891539498</v>
      </c>
      <c r="N149" s="43">
        <v>0.64808994718113699</v>
      </c>
      <c r="O149" s="43">
        <v>0.62474871646101304</v>
      </c>
      <c r="P149" s="43">
        <v>0.619366987867223</v>
      </c>
      <c r="Q149" s="67">
        <v>0.20239119810381301</v>
      </c>
      <c r="R149" s="67">
        <v>0.79427342518314303</v>
      </c>
      <c r="S149" s="67">
        <v>0.88365408353875996</v>
      </c>
      <c r="T149" s="49">
        <v>2100.8186817627502</v>
      </c>
      <c r="U149" s="49">
        <v>2240.0453306596601</v>
      </c>
      <c r="V149" s="49">
        <v>1589.9739392966101</v>
      </c>
      <c r="W149" s="49">
        <v>1344.23919338409</v>
      </c>
      <c r="X149" s="49">
        <v>1325.00563378386</v>
      </c>
      <c r="Y149" s="4"/>
      <c r="Z149" s="69">
        <v>8.3506092519481605</v>
      </c>
      <c r="AA149" s="69">
        <v>8.5156368510187299</v>
      </c>
      <c r="AB149" s="69">
        <v>8.6442064636082598</v>
      </c>
      <c r="AC149" s="69">
        <v>8.0451640850616997</v>
      </c>
      <c r="AD149" s="70">
        <v>6.87914730093879</v>
      </c>
    </row>
    <row r="150" spans="1:30" ht="15" customHeight="1" x14ac:dyDescent="0.25">
      <c r="A150" s="6">
        <v>61</v>
      </c>
      <c r="B150" s="3" t="s">
        <v>155</v>
      </c>
      <c r="C150" s="3" t="s">
        <v>156</v>
      </c>
      <c r="D150" s="4">
        <f>_xlfn.XLOOKUP(C150,[1]Planilha2!$C$3:$C$329,[1]Planilha2!$I$3:$I$329)</f>
        <v>18</v>
      </c>
      <c r="E150" s="7">
        <v>78108</v>
      </c>
      <c r="F150" s="7">
        <v>80729</v>
      </c>
      <c r="G150" s="7">
        <v>81308</v>
      </c>
      <c r="H150" s="7">
        <v>76371</v>
      </c>
      <c r="I150" s="7">
        <v>76622</v>
      </c>
      <c r="J150" s="4">
        <f>_xlfn.XLOOKUP(C150,[1]Planilha2!$C$3:$C$329,[1]Planilha2!$D$3:$D$329,"")</f>
        <v>14</v>
      </c>
      <c r="K150" s="8" t="s">
        <v>141</v>
      </c>
      <c r="L150" s="4">
        <f>_xlfn.XLOOKUP(C150,[1]Planilha2!$C$3:$C$329,[1]Planilha2!$J$3:$J$329,"")</f>
        <v>42</v>
      </c>
      <c r="M150" s="42">
        <v>0.67924047736180104</v>
      </c>
      <c r="N150" s="43">
        <v>0.64690455887392795</v>
      </c>
      <c r="O150" s="43">
        <v>0.62956519401122901</v>
      </c>
      <c r="P150" s="43">
        <v>0.61000565167099896</v>
      </c>
      <c r="Q150" s="67">
        <v>0.13670257734725599</v>
      </c>
      <c r="R150" s="67">
        <v>0.88275132273821499</v>
      </c>
      <c r="S150" s="67">
        <v>0.82504433598830695</v>
      </c>
      <c r="T150" s="49">
        <v>1928.64442976297</v>
      </c>
      <c r="U150" s="49">
        <v>1658.6858572342201</v>
      </c>
      <c r="V150" s="49">
        <v>1651.9873668693999</v>
      </c>
      <c r="W150" s="49">
        <v>1219.75528446662</v>
      </c>
      <c r="X150" s="49">
        <v>1117.41576435616</v>
      </c>
      <c r="Y150" s="4"/>
      <c r="Z150" s="69">
        <v>3.4314237913221901</v>
      </c>
      <c r="AA150" s="69">
        <v>3.3367073350715799</v>
      </c>
      <c r="AB150" s="69">
        <v>6.4652355411314399</v>
      </c>
      <c r="AC150" s="69">
        <v>3.1815346225826602</v>
      </c>
      <c r="AD150" s="70">
        <v>2.2952699593288601</v>
      </c>
    </row>
    <row r="151" spans="1:30" ht="25.5" x14ac:dyDescent="0.25">
      <c r="A151" s="6">
        <v>62</v>
      </c>
      <c r="B151" s="3" t="s">
        <v>450</v>
      </c>
      <c r="C151" s="3" t="s">
        <v>451</v>
      </c>
      <c r="D151" s="4">
        <f>_xlfn.XLOOKUP(C151,[1]Planilha2!$C$3:$C$329,[1]Planilha2!$I$3:$I$329)</f>
        <v>13</v>
      </c>
      <c r="E151" s="7">
        <v>129471</v>
      </c>
      <c r="F151" s="7">
        <v>129300.66666666666</v>
      </c>
      <c r="G151" s="7">
        <v>129130.33333333334</v>
      </c>
      <c r="H151" s="7">
        <v>128960</v>
      </c>
      <c r="I151" s="7">
        <v>128961</v>
      </c>
      <c r="J151" s="4">
        <f>_xlfn.XLOOKUP(C151,[1]Planilha2!$C$3:$C$329,[1]Planilha2!$D$3:$D$329,"")</f>
        <v>19</v>
      </c>
      <c r="K151" s="8" t="s">
        <v>141</v>
      </c>
      <c r="L151" s="4">
        <f>_xlfn.XLOOKUP(C151,[1]Planilha2!$C$3:$C$329,[1]Planilha2!$J$3:$J$329,"")</f>
        <v>33</v>
      </c>
      <c r="M151" s="42">
        <v>0.71988010760449805</v>
      </c>
      <c r="N151" s="43">
        <v>0.70596451853553599</v>
      </c>
      <c r="O151" s="43">
        <v>0.68400497983871</v>
      </c>
      <c r="P151" s="43">
        <v>0.67106638673707597</v>
      </c>
      <c r="Q151" s="67">
        <v>0.50430597819773804</v>
      </c>
      <c r="R151" s="67">
        <v>0.751193338255148</v>
      </c>
      <c r="S151" s="67">
        <v>0.886714204511721</v>
      </c>
      <c r="T151" s="49">
        <v>1728.1138295834601</v>
      </c>
      <c r="U151" s="49">
        <v>1495.2169467803701</v>
      </c>
      <c r="V151" s="49">
        <v>1357.1378551902301</v>
      </c>
      <c r="W151" s="49">
        <v>1111.52245719603</v>
      </c>
      <c r="X151" s="49">
        <v>1042.05671474322</v>
      </c>
      <c r="Y151" s="4"/>
      <c r="Z151" s="69">
        <v>7.8410068664025196</v>
      </c>
      <c r="AA151" s="69">
        <v>7.2252450361173697</v>
      </c>
      <c r="AB151" s="69">
        <v>6.2757524051926898</v>
      </c>
      <c r="AC151" s="69">
        <v>5.6330800248138999</v>
      </c>
      <c r="AD151" s="70">
        <v>4.3216243670567103</v>
      </c>
    </row>
    <row r="152" spans="1:30" ht="25.5" x14ac:dyDescent="0.25">
      <c r="A152" s="6">
        <v>63</v>
      </c>
      <c r="B152" s="3" t="s">
        <v>452</v>
      </c>
      <c r="C152" s="3" t="s">
        <v>453</v>
      </c>
      <c r="D152" s="4">
        <f>_xlfn.XLOOKUP(C152,[1]Planilha2!$C$3:$C$329,[1]Planilha2!$I$3:$I$329)</f>
        <v>8</v>
      </c>
      <c r="E152" s="7">
        <v>489023</v>
      </c>
      <c r="F152" s="7">
        <v>496223.33333333337</v>
      </c>
      <c r="G152" s="7">
        <v>503423.66666666663</v>
      </c>
      <c r="H152" s="7">
        <v>510624</v>
      </c>
      <c r="I152" s="7">
        <v>507964</v>
      </c>
      <c r="J152" s="4">
        <f>_xlfn.XLOOKUP(C152,[1]Planilha2!$C$3:$C$329,[1]Planilha2!$D$3:$D$329,"")</f>
        <v>7</v>
      </c>
      <c r="K152" s="8" t="s">
        <v>141</v>
      </c>
      <c r="L152" s="4">
        <f>_xlfn.XLOOKUP(C152,[1]Planilha2!$C$3:$C$329,[1]Planilha2!$J$3:$J$329,"")</f>
        <v>10</v>
      </c>
      <c r="M152" s="42">
        <v>0.80798624026815902</v>
      </c>
      <c r="N152" s="43">
        <v>0.78153896499370001</v>
      </c>
      <c r="O152" s="43">
        <v>0.76364416556996895</v>
      </c>
      <c r="P152" s="43">
        <v>0.76002424384405198</v>
      </c>
      <c r="Q152" s="67">
        <v>0.87883101317578105</v>
      </c>
      <c r="R152" s="67">
        <v>0.68846758780377804</v>
      </c>
      <c r="S152" s="67">
        <v>0.99789777874301999</v>
      </c>
      <c r="T152" s="49">
        <v>1602.28767045722</v>
      </c>
      <c r="U152" s="49">
        <v>1236.6369012944399</v>
      </c>
      <c r="V152" s="49">
        <v>1099.13742731602</v>
      </c>
      <c r="W152" s="49">
        <v>1148.92301002303</v>
      </c>
      <c r="X152" s="49">
        <v>922.44877107432796</v>
      </c>
      <c r="Y152" s="4"/>
      <c r="Z152" s="69">
        <v>15.1057823456156</v>
      </c>
      <c r="AA152" s="69">
        <v>14.957839548053</v>
      </c>
      <c r="AB152" s="69">
        <v>12.4041784553898</v>
      </c>
      <c r="AC152" s="69">
        <v>10.6001343454283</v>
      </c>
      <c r="AD152" s="70">
        <v>9.6275169106472092</v>
      </c>
    </row>
    <row r="153" spans="1:30" x14ac:dyDescent="0.25">
      <c r="A153" s="6">
        <v>64</v>
      </c>
      <c r="B153" s="3" t="s">
        <v>454</v>
      </c>
      <c r="C153" s="3" t="s">
        <v>455</v>
      </c>
      <c r="D153" s="4">
        <f>_xlfn.XLOOKUP(C153,[1]Planilha2!$C$3:$C$329,[1]Planilha2!$I$3:$I$329)</f>
        <v>7</v>
      </c>
      <c r="E153" s="7">
        <v>92816</v>
      </c>
      <c r="F153" s="7" t="e">
        <v>#VALUE!</v>
      </c>
      <c r="G153" s="7" t="e">
        <v>#VALUE!</v>
      </c>
      <c r="H153" s="7">
        <v>88549</v>
      </c>
      <c r="I153" s="7">
        <v>88210</v>
      </c>
      <c r="J153" s="4">
        <f>_xlfn.XLOOKUP(C153,[1]Planilha2!$C$3:$C$329,[1]Planilha2!$D$3:$D$329,"")</f>
        <v>18</v>
      </c>
      <c r="K153" s="8" t="s">
        <v>141</v>
      </c>
      <c r="L153" s="4">
        <f>_xlfn.XLOOKUP(C153,[1]Planilha2!$C$3:$C$329,[1]Planilha2!$J$3:$J$329,"")</f>
        <v>5</v>
      </c>
      <c r="M153" s="42">
        <v>0.66270227440996998</v>
      </c>
      <c r="N153" s="43">
        <v>0.65957135383862997</v>
      </c>
      <c r="O153" s="43">
        <v>0.64684365379620301</v>
      </c>
      <c r="P153" s="43">
        <v>0.63237115973245706</v>
      </c>
      <c r="Q153" s="67">
        <v>0.134987177767733</v>
      </c>
      <c r="R153" s="67">
        <v>0.66791370806997796</v>
      </c>
      <c r="S153" s="67">
        <v>0.882611449572827</v>
      </c>
      <c r="T153" s="49">
        <v>2029.8219414756099</v>
      </c>
      <c r="U153" s="49">
        <v>1797.9581282802201</v>
      </c>
      <c r="V153" s="49">
        <v>1615.38747912298</v>
      </c>
      <c r="W153" s="49">
        <v>1371.1878275305201</v>
      </c>
      <c r="X153" s="49">
        <v>1180.9658944564101</v>
      </c>
      <c r="Y153" s="4"/>
      <c r="Z153" s="69">
        <v>3.2172685743837302</v>
      </c>
      <c r="AA153" s="69">
        <v>3.0271791261976602</v>
      </c>
      <c r="AB153" s="69">
        <v>3.0915180390791099</v>
      </c>
      <c r="AC153" s="69">
        <v>2.7577047736281601</v>
      </c>
      <c r="AD153" s="70">
        <v>2.9431697086498101</v>
      </c>
    </row>
    <row r="154" spans="1:30" x14ac:dyDescent="0.25">
      <c r="A154" s="6">
        <v>65</v>
      </c>
      <c r="B154" s="3" t="s">
        <v>456</v>
      </c>
      <c r="C154" s="3" t="s">
        <v>457</v>
      </c>
      <c r="D154" s="4">
        <f>_xlfn.XLOOKUP(C154,[1]Planilha2!$C$3:$C$329,[1]Planilha2!$I$3:$I$329)</f>
        <v>28</v>
      </c>
      <c r="E154" s="7">
        <v>1085655</v>
      </c>
      <c r="F154" s="7" t="e">
        <v>#VALUE!</v>
      </c>
      <c r="G154" s="7" t="e">
        <v>#VALUE!</v>
      </c>
      <c r="H154" s="7">
        <v>1001514</v>
      </c>
      <c r="I154" s="7">
        <v>993134</v>
      </c>
      <c r="J154" s="4">
        <f>_xlfn.XLOOKUP(C154,[1]Planilha2!$C$3:$C$329,[1]Planilha2!$D$3:$D$329,"")</f>
        <v>52</v>
      </c>
      <c r="K154" s="8" t="s">
        <v>141</v>
      </c>
      <c r="L154" s="4">
        <f>_xlfn.XLOOKUP(C154,[1]Planilha2!$C$3:$C$329,[1]Planilha2!$J$3:$J$329,"")</f>
        <v>3</v>
      </c>
      <c r="M154" s="42">
        <v>0.778110801607653</v>
      </c>
      <c r="N154" s="43">
        <v>0.75833261305870503</v>
      </c>
      <c r="O154" s="43">
        <v>0.74118404156107598</v>
      </c>
      <c r="P154" s="43">
        <v>0.73173087579319596</v>
      </c>
      <c r="Q154" s="67">
        <v>0.49240625059289</v>
      </c>
      <c r="R154" s="67">
        <v>0.79772470421859398</v>
      </c>
      <c r="S154" s="67">
        <v>0.91869054072561096</v>
      </c>
      <c r="T154" s="49">
        <v>1602.0153577149299</v>
      </c>
      <c r="U154" s="49">
        <v>1547.03390514885</v>
      </c>
      <c r="V154" s="49">
        <v>1319.3584723553699</v>
      </c>
      <c r="W154" s="49">
        <v>1213.8862185650901</v>
      </c>
      <c r="X154" s="49">
        <v>1115.48607023826</v>
      </c>
      <c r="Y154" s="4"/>
      <c r="Z154" s="69">
        <v>13.045394715632501</v>
      </c>
      <c r="AA154" s="69">
        <v>11.1923094379014</v>
      </c>
      <c r="AB154" s="69">
        <v>10.681077663198201</v>
      </c>
      <c r="AC154" s="69">
        <v>11.683618002344501</v>
      </c>
      <c r="AD154" s="70">
        <v>12.568358348420301</v>
      </c>
    </row>
    <row r="155" spans="1:30" ht="25.5" x14ac:dyDescent="0.25">
      <c r="A155" s="6">
        <v>66</v>
      </c>
      <c r="B155" s="3" t="s">
        <v>157</v>
      </c>
      <c r="C155" s="3" t="s">
        <v>158</v>
      </c>
      <c r="D155" s="4">
        <f>_xlfn.XLOOKUP(C155,[1]Planilha2!$C$3:$C$329,[1]Planilha2!$I$3:$I$329)</f>
        <v>26</v>
      </c>
      <c r="E155" s="7">
        <v>1358098</v>
      </c>
      <c r="F155" s="7">
        <v>1329017.3333333337</v>
      </c>
      <c r="G155" s="7">
        <v>1299936.6666666663</v>
      </c>
      <c r="H155" s="7">
        <v>1270856</v>
      </c>
      <c r="I155" s="7">
        <v>1252644</v>
      </c>
      <c r="J155" s="4">
        <f>_xlfn.XLOOKUP(C155,[1]Planilha2!$C$3:$C$329,[1]Planilha2!$D$3:$D$329,"")</f>
        <v>17</v>
      </c>
      <c r="K155" s="8" t="s">
        <v>141</v>
      </c>
      <c r="L155" s="4">
        <f>_xlfn.XLOOKUP(C155,[1]Planilha2!$C$3:$C$329,[1]Planilha2!$J$3:$J$329,"")</f>
        <v>4</v>
      </c>
      <c r="M155" s="42">
        <v>0.79438009893023698</v>
      </c>
      <c r="N155" s="43">
        <v>0.78222536887694605</v>
      </c>
      <c r="O155" s="43">
        <v>0.77614488777642798</v>
      </c>
      <c r="P155" s="43">
        <v>0.76261967478389703</v>
      </c>
      <c r="Q155" s="67">
        <v>0.66099861390683201</v>
      </c>
      <c r="R155" s="67">
        <v>0.91075844582172005</v>
      </c>
      <c r="S155" s="67">
        <v>0.99209989850787605</v>
      </c>
      <c r="T155" s="49">
        <v>1902.58976967789</v>
      </c>
      <c r="U155" s="49">
        <v>1616.2697640111001</v>
      </c>
      <c r="V155" s="49">
        <v>1482.7291412786799</v>
      </c>
      <c r="W155" s="49">
        <v>1395.27276668639</v>
      </c>
      <c r="X155" s="49">
        <v>1260.6118657495699</v>
      </c>
      <c r="Y155" s="4"/>
      <c r="Z155" s="69">
        <v>16.332402374497299</v>
      </c>
      <c r="AA155" s="69">
        <v>16.947505826359901</v>
      </c>
      <c r="AB155" s="69">
        <v>15.2618673730259</v>
      </c>
      <c r="AC155" s="69">
        <v>13.908794544779299</v>
      </c>
      <c r="AD155" s="70">
        <v>10.8927285006754</v>
      </c>
    </row>
    <row r="156" spans="1:30" x14ac:dyDescent="0.25">
      <c r="A156" s="6">
        <v>67</v>
      </c>
      <c r="B156" s="3" t="s">
        <v>458</v>
      </c>
      <c r="C156" s="3" t="s">
        <v>459</v>
      </c>
      <c r="D156" s="4">
        <f>_xlfn.XLOOKUP(C156,[1]Planilha2!$C$3:$C$329,[1]Planilha2!$I$3:$I$329)</f>
        <v>24</v>
      </c>
      <c r="E156" s="7">
        <v>238485</v>
      </c>
      <c r="F156" s="7">
        <v>238339.33333333334</v>
      </c>
      <c r="G156" s="7">
        <v>238193.66666666666</v>
      </c>
      <c r="H156" s="7">
        <v>238048</v>
      </c>
      <c r="I156" s="7">
        <v>237125</v>
      </c>
      <c r="J156" s="4">
        <f>_xlfn.XLOOKUP(C156,[1]Planilha2!$C$3:$C$329,[1]Planilha2!$D$3:$D$329,"")</f>
        <v>10</v>
      </c>
      <c r="K156" s="8" t="s">
        <v>141</v>
      </c>
      <c r="L156" s="4">
        <f>_xlfn.XLOOKUP(C156,[1]Planilha2!$C$3:$C$329,[1]Planilha2!$J$3:$J$329,"")</f>
        <v>2</v>
      </c>
      <c r="M156" s="42">
        <v>0.75687222629360396</v>
      </c>
      <c r="N156" s="43">
        <v>0.74423518173587</v>
      </c>
      <c r="O156" s="43">
        <v>0.71862974694179305</v>
      </c>
      <c r="P156" s="43">
        <v>0.70429164449130199</v>
      </c>
      <c r="Q156" s="67">
        <v>0.28081590302568898</v>
      </c>
      <c r="R156" s="67">
        <v>0.72856122175092797</v>
      </c>
      <c r="S156" s="67">
        <v>0.87731226411001695</v>
      </c>
      <c r="T156" s="49">
        <v>1417.9854339266601</v>
      </c>
      <c r="U156" s="49">
        <v>1181.50354214859</v>
      </c>
      <c r="V156" s="49">
        <v>1064.47262696601</v>
      </c>
      <c r="W156" s="49">
        <v>952.15710549973096</v>
      </c>
      <c r="X156" s="49">
        <v>938.786702287823</v>
      </c>
      <c r="Y156" s="4"/>
      <c r="Z156" s="69">
        <v>27.415166572321102</v>
      </c>
      <c r="AA156" s="69">
        <v>16.5870859195153</v>
      </c>
      <c r="AB156" s="69">
        <v>17.646313014199901</v>
      </c>
      <c r="AC156" s="69">
        <v>16.658068960881799</v>
      </c>
      <c r="AD156" s="70">
        <v>9.58695624670532</v>
      </c>
    </row>
    <row r="157" spans="1:30" ht="25.5" x14ac:dyDescent="0.25">
      <c r="A157" s="6">
        <v>68</v>
      </c>
      <c r="B157" s="3" t="s">
        <v>460</v>
      </c>
      <c r="C157" s="3" t="s">
        <v>461</v>
      </c>
      <c r="D157" s="4">
        <f>_xlfn.XLOOKUP(C157,[1]Planilha2!$C$3:$C$329,[1]Planilha2!$I$3:$I$329)</f>
        <v>19</v>
      </c>
      <c r="E157" s="7">
        <v>881015</v>
      </c>
      <c r="F157" s="7">
        <v>836583.33333333337</v>
      </c>
      <c r="G157" s="7">
        <v>792151.66666666663</v>
      </c>
      <c r="H157" s="7">
        <v>747720</v>
      </c>
      <c r="I157" s="7">
        <v>731766</v>
      </c>
      <c r="J157" s="4">
        <f>_xlfn.XLOOKUP(C157,[1]Planilha2!$C$3:$C$329,[1]Planilha2!$D$3:$D$329,"")</f>
        <v>11</v>
      </c>
      <c r="K157" s="8" t="s">
        <v>141</v>
      </c>
      <c r="L157" s="4">
        <f>_xlfn.XLOOKUP(C157,[1]Planilha2!$C$3:$C$329,[1]Planilha2!$J$3:$J$329,"")</f>
        <v>2</v>
      </c>
      <c r="M157" s="42">
        <v>0.769406943121825</v>
      </c>
      <c r="N157" s="43">
        <v>0.76294327298433995</v>
      </c>
      <c r="O157" s="43">
        <v>0.74208840729149905</v>
      </c>
      <c r="P157" s="43">
        <v>0.74586729828934395</v>
      </c>
      <c r="Q157" s="67">
        <v>0.77781430083885394</v>
      </c>
      <c r="R157" s="67">
        <v>0.91864266636650005</v>
      </c>
      <c r="S157" s="67">
        <v>0.99806298898990298</v>
      </c>
      <c r="T157" s="49">
        <v>2192.1913778199</v>
      </c>
      <c r="U157" s="49">
        <v>2009.74373139157</v>
      </c>
      <c r="V157" s="49">
        <v>1732.89196546116</v>
      </c>
      <c r="W157" s="49">
        <v>1687.03448419194</v>
      </c>
      <c r="X157" s="49">
        <v>1441.2275761650601</v>
      </c>
      <c r="Y157" s="4"/>
      <c r="Z157" s="69">
        <v>16.776771110594002</v>
      </c>
      <c r="AA157" s="69">
        <v>16.7203151708337</v>
      </c>
      <c r="AB157" s="69">
        <v>13.6224279441437</v>
      </c>
      <c r="AC157" s="69">
        <v>12.4323757556304</v>
      </c>
      <c r="AD157" s="70">
        <v>10.088720984577</v>
      </c>
    </row>
    <row r="158" spans="1:30" ht="25.5" x14ac:dyDescent="0.25">
      <c r="A158" s="6">
        <v>69</v>
      </c>
      <c r="B158" s="3" t="s">
        <v>462</v>
      </c>
      <c r="C158" s="3" t="s">
        <v>463</v>
      </c>
      <c r="D158" s="4">
        <f>_xlfn.XLOOKUP(C158,[1]Planilha2!$C$3:$C$329,[1]Planilha2!$I$3:$I$329)</f>
        <v>17</v>
      </c>
      <c r="E158" s="7">
        <v>371957</v>
      </c>
      <c r="F158" s="7">
        <v>366746.99999999994</v>
      </c>
      <c r="G158" s="7">
        <v>361537.00000000006</v>
      </c>
      <c r="H158" s="7">
        <v>356327</v>
      </c>
      <c r="I158" s="7">
        <v>353412</v>
      </c>
      <c r="J158" s="4">
        <f>_xlfn.XLOOKUP(C158,[1]Planilha2!$C$3:$C$329,[1]Planilha2!$D$3:$D$329,"")</f>
        <v>28</v>
      </c>
      <c r="K158" s="8" t="s">
        <v>141</v>
      </c>
      <c r="L158" s="4">
        <f>_xlfn.XLOOKUP(C158,[1]Planilha2!$C$3:$C$329,[1]Planilha2!$J$3:$J$329,"")</f>
        <v>34</v>
      </c>
      <c r="M158" s="42">
        <v>0.719447110133144</v>
      </c>
      <c r="N158" s="43">
        <v>0.71157546973062202</v>
      </c>
      <c r="O158" s="43">
        <v>0.68870804373510897</v>
      </c>
      <c r="P158" s="43">
        <v>0.69107657606419703</v>
      </c>
      <c r="Q158" s="67">
        <v>0.48728731010472898</v>
      </c>
      <c r="R158" s="67">
        <v>0.70886078732375002</v>
      </c>
      <c r="S158" s="67">
        <v>0.90532804221974505</v>
      </c>
      <c r="T158" s="49">
        <v>1649.9636937603</v>
      </c>
      <c r="U158" s="49">
        <v>1428.1891642467399</v>
      </c>
      <c r="V158" s="49">
        <v>1268.8619895888901</v>
      </c>
      <c r="W158" s="49">
        <v>1120.35475742787</v>
      </c>
      <c r="X158" s="49">
        <v>1043.2842518646801</v>
      </c>
      <c r="Y158" s="4"/>
      <c r="Z158" s="69">
        <v>18.439338418150498</v>
      </c>
      <c r="AA158" s="69">
        <v>16.737500238584101</v>
      </c>
      <c r="AB158" s="69">
        <v>79.038588028334601</v>
      </c>
      <c r="AC158" s="69">
        <v>11.451296140904301</v>
      </c>
      <c r="AD158" s="70">
        <v>9.31981087229636</v>
      </c>
    </row>
    <row r="159" spans="1:30" x14ac:dyDescent="0.25">
      <c r="A159" s="6">
        <v>70</v>
      </c>
      <c r="B159" s="3" t="s">
        <v>464</v>
      </c>
      <c r="C159" s="3" t="s">
        <v>465</v>
      </c>
      <c r="D159" s="4">
        <f>_xlfn.XLOOKUP(C159,[1]Planilha2!$C$3:$C$329,[1]Planilha2!$I$3:$I$329)</f>
        <v>14</v>
      </c>
      <c r="E159" s="7">
        <v>1060824</v>
      </c>
      <c r="F159" s="7">
        <v>1034647.6666666665</v>
      </c>
      <c r="G159" s="7">
        <v>1008471.3333333335</v>
      </c>
      <c r="H159" s="7">
        <v>982295</v>
      </c>
      <c r="I159" s="7">
        <v>970596</v>
      </c>
      <c r="J159" s="4">
        <f>_xlfn.XLOOKUP(C159,[1]Planilha2!$C$3:$C$329,[1]Planilha2!$D$3:$D$329,"")</f>
        <v>27</v>
      </c>
      <c r="K159" s="8" t="s">
        <v>141</v>
      </c>
      <c r="L159" s="4">
        <f>_xlfn.XLOOKUP(C159,[1]Planilha2!$C$3:$C$329,[1]Planilha2!$J$3:$J$329,"")</f>
        <v>4</v>
      </c>
      <c r="M159" s="42">
        <v>0.748993187600417</v>
      </c>
      <c r="N159" s="43">
        <v>0.74306496175399395</v>
      </c>
      <c r="O159" s="43">
        <v>0.72978332649560496</v>
      </c>
      <c r="P159" s="43">
        <v>0.71777620245704699</v>
      </c>
      <c r="Q159" s="67">
        <v>0.691664903679298</v>
      </c>
      <c r="R159" s="67">
        <v>0.87502861621582995</v>
      </c>
      <c r="S159" s="67">
        <v>0.98475286456663402</v>
      </c>
      <c r="T159" s="49">
        <v>1338.91628843239</v>
      </c>
      <c r="U159" s="49">
        <v>1411.24555478306</v>
      </c>
      <c r="V159" s="49">
        <v>1238.0992404378401</v>
      </c>
      <c r="W159" s="49">
        <v>1123.2933188909601</v>
      </c>
      <c r="X159" s="49">
        <v>1030.5570958359599</v>
      </c>
      <c r="Y159" s="4"/>
      <c r="Z159" s="69">
        <v>18.9981391823714</v>
      </c>
      <c r="AA159" s="69">
        <v>20.279229032234198</v>
      </c>
      <c r="AB159" s="69">
        <v>18.034900347522701</v>
      </c>
      <c r="AC159" s="69">
        <v>15.143992385179599</v>
      </c>
      <c r="AD159" s="70">
        <v>11.541611545895501</v>
      </c>
    </row>
    <row r="160" spans="1:30" x14ac:dyDescent="0.25">
      <c r="A160" s="6">
        <v>212</v>
      </c>
      <c r="B160" s="3" t="s">
        <v>466</v>
      </c>
      <c r="C160" s="3" t="s">
        <v>467</v>
      </c>
      <c r="D160" s="4">
        <f>_xlfn.XLOOKUP(C160,[1]Planilha2!$C$3:$C$329,[1]Planilha2!$I$3:$I$329)</f>
        <v>31</v>
      </c>
      <c r="E160" s="7">
        <v>417191</v>
      </c>
      <c r="F160" s="7">
        <v>412534.99999999988</v>
      </c>
      <c r="G160" s="7">
        <v>407879.00000000012</v>
      </c>
      <c r="H160" s="7">
        <v>403223</v>
      </c>
      <c r="I160" s="7">
        <v>401047</v>
      </c>
      <c r="J160" s="4">
        <f>_xlfn.XLOOKUP(C160,[1]Planilha2!$C$3:$C$329,[1]Planilha2!$D$3:$D$329,"")</f>
        <v>28</v>
      </c>
      <c r="K160" s="8" t="s">
        <v>141</v>
      </c>
      <c r="L160" s="4">
        <f>_xlfn.XLOOKUP(C160,[1]Planilha2!$C$3:$C$329,[1]Planilha2!$J$3:$J$329,"")</f>
        <v>1</v>
      </c>
      <c r="M160" s="42">
        <v>0.65871176853681102</v>
      </c>
      <c r="N160" s="43">
        <v>0.62289911468842496</v>
      </c>
      <c r="O160" s="43">
        <v>0.60868495001525202</v>
      </c>
      <c r="P160" s="43">
        <v>0.58859801469653195</v>
      </c>
      <c r="Q160" s="67">
        <v>0.41124831833296899</v>
      </c>
      <c r="R160" s="67">
        <v>0.79906183312534595</v>
      </c>
      <c r="S160" s="67">
        <v>0.85530985463826303</v>
      </c>
      <c r="T160" s="49">
        <v>2019.22186478136</v>
      </c>
      <c r="U160" s="49">
        <v>2072.6489813551202</v>
      </c>
      <c r="V160" s="49">
        <v>1519.95950772982</v>
      </c>
      <c r="W160" s="49">
        <v>1234.5066039139599</v>
      </c>
      <c r="X160" s="49">
        <v>1131.02765773089</v>
      </c>
      <c r="Y160" s="4"/>
      <c r="Z160" s="69">
        <v>6.6049962726904496</v>
      </c>
      <c r="AA160" s="69">
        <v>5.4796005187438697</v>
      </c>
      <c r="AB160" s="69">
        <v>5.8345661335837304</v>
      </c>
      <c r="AC160" s="69">
        <v>4.5330697901657402</v>
      </c>
      <c r="AD160" s="70">
        <v>9.5339473926996092</v>
      </c>
    </row>
    <row r="161" spans="1:30" ht="25.5" x14ac:dyDescent="0.25">
      <c r="A161" s="6">
        <v>213</v>
      </c>
      <c r="B161" s="3" t="s">
        <v>160</v>
      </c>
      <c r="C161" s="3" t="s">
        <v>161</v>
      </c>
      <c r="D161" s="4">
        <f>_xlfn.XLOOKUP(C161,[1]Planilha2!$C$3:$C$329,[1]Planilha2!$I$3:$I$329)</f>
        <v>28</v>
      </c>
      <c r="E161" s="7">
        <v>174873</v>
      </c>
      <c r="F161" s="7">
        <v>173923.66666666666</v>
      </c>
      <c r="G161" s="7">
        <v>172974.33333333334</v>
      </c>
      <c r="H161" s="7">
        <v>172025</v>
      </c>
      <c r="I161" s="7">
        <v>171034</v>
      </c>
      <c r="J161" s="4">
        <f>_xlfn.XLOOKUP(C161,[1]Planilha2!$C$3:$C$329,[1]Planilha2!$D$3:$D$329,"")</f>
        <v>11</v>
      </c>
      <c r="K161" s="8" t="s">
        <v>141</v>
      </c>
      <c r="L161" s="4">
        <f>_xlfn.XLOOKUP(C161,[1]Planilha2!$C$3:$C$329,[1]Planilha2!$J$3:$J$329,"")</f>
        <v>2</v>
      </c>
      <c r="M161" s="42">
        <v>0.73190154320573597</v>
      </c>
      <c r="N161" s="43">
        <v>0.72515487133929302</v>
      </c>
      <c r="O161" s="43">
        <v>0.70965028920215101</v>
      </c>
      <c r="P161" s="43">
        <v>0.68672344680005104</v>
      </c>
      <c r="Q161" s="67">
        <v>0.53890420197216105</v>
      </c>
      <c r="R161" s="67">
        <v>0.86612003013934602</v>
      </c>
      <c r="S161" s="67">
        <v>0.90413337547189099</v>
      </c>
      <c r="T161" s="49">
        <v>2064.3514452774298</v>
      </c>
      <c r="U161" s="49">
        <v>1664.6901152804601</v>
      </c>
      <c r="V161" s="49">
        <v>1549.49239390044</v>
      </c>
      <c r="W161" s="49">
        <v>1315.7237682313601</v>
      </c>
      <c r="X161" s="49">
        <v>1185.1118703883401</v>
      </c>
      <c r="Y161" s="4"/>
      <c r="Z161" s="69">
        <v>22.842685834863001</v>
      </c>
      <c r="AA161" s="69">
        <v>24.5385638527247</v>
      </c>
      <c r="AB161" s="69">
        <v>18.917719970014801</v>
      </c>
      <c r="AC161" s="69">
        <v>12.935782589739899</v>
      </c>
      <c r="AD161" s="70">
        <v>10.332267268496301</v>
      </c>
    </row>
    <row r="162" spans="1:30" x14ac:dyDescent="0.25">
      <c r="A162" s="6">
        <v>214</v>
      </c>
      <c r="B162" s="3" t="s">
        <v>468</v>
      </c>
      <c r="C162" s="3" t="s">
        <v>469</v>
      </c>
      <c r="D162" s="4">
        <f>_xlfn.XLOOKUP(C162,[1]Planilha2!$C$3:$C$329,[1]Planilha2!$I$3:$I$329)</f>
        <v>31</v>
      </c>
      <c r="E162" s="7">
        <v>154205</v>
      </c>
      <c r="F162" s="7">
        <v>156293.66666666669</v>
      </c>
      <c r="G162" s="7">
        <v>158382.33333333331</v>
      </c>
      <c r="H162" s="7">
        <v>160471</v>
      </c>
      <c r="I162" s="7">
        <v>159508</v>
      </c>
      <c r="J162" s="4">
        <f>_xlfn.XLOOKUP(C162,[1]Planilha2!$C$3:$C$329,[1]Planilha2!$D$3:$D$329,"")</f>
        <v>9</v>
      </c>
      <c r="K162" s="8" t="s">
        <v>141</v>
      </c>
      <c r="L162" s="4">
        <f>_xlfn.XLOOKUP(C162,[1]Planilha2!$C$3:$C$329,[1]Planilha2!$J$3:$J$329,"")</f>
        <v>1</v>
      </c>
      <c r="M162" s="42">
        <v>0.60214452366378701</v>
      </c>
      <c r="N162" s="43">
        <v>0.58970945833605204</v>
      </c>
      <c r="O162" s="43">
        <v>0.53972642907441204</v>
      </c>
      <c r="P162" s="43">
        <v>0.52417801614965998</v>
      </c>
      <c r="Q162" s="67">
        <v>0.37280076502640203</v>
      </c>
      <c r="R162" s="67">
        <v>0.82071497136675597</v>
      </c>
      <c r="S162" s="67">
        <v>0.88908682618221302</v>
      </c>
      <c r="T162" s="49">
        <v>1595.11727187834</v>
      </c>
      <c r="U162" s="49">
        <v>1185.13847251222</v>
      </c>
      <c r="V162" s="49">
        <v>1108.07138874917</v>
      </c>
      <c r="W162" s="49">
        <v>954.135225866356</v>
      </c>
      <c r="X162" s="49">
        <v>868.29249473380696</v>
      </c>
      <c r="Y162" s="4"/>
      <c r="Z162" s="69">
        <v>9.0466910930255207</v>
      </c>
      <c r="AA162" s="69">
        <v>17.655283536760901</v>
      </c>
      <c r="AB162" s="69">
        <v>13.4758653637716</v>
      </c>
      <c r="AC162" s="69">
        <v>12.1058197431312</v>
      </c>
      <c r="AD162" s="70">
        <v>12.7548774983073</v>
      </c>
    </row>
    <row r="163" spans="1:30" ht="25.5" x14ac:dyDescent="0.25">
      <c r="A163" s="6">
        <v>215</v>
      </c>
      <c r="B163" s="3" t="s">
        <v>470</v>
      </c>
      <c r="C163" s="3" t="s">
        <v>471</v>
      </c>
      <c r="D163" s="4">
        <f>_xlfn.XLOOKUP(C163,[1]Planilha2!$C$3:$C$329,[1]Planilha2!$I$3:$I$329)</f>
        <v>22</v>
      </c>
      <c r="E163" s="7">
        <v>1072513</v>
      </c>
      <c r="F163" s="7">
        <v>1063614.6666666665</v>
      </c>
      <c r="G163" s="7">
        <v>1054716.3333333335</v>
      </c>
      <c r="H163" s="7">
        <v>1045818</v>
      </c>
      <c r="I163" s="7">
        <v>1035633</v>
      </c>
      <c r="J163" s="4">
        <f>_xlfn.XLOOKUP(C163,[1]Planilha2!$C$3:$C$329,[1]Planilha2!$D$3:$D$329,"")</f>
        <v>30</v>
      </c>
      <c r="K163" s="8" t="s">
        <v>141</v>
      </c>
      <c r="L163" s="4">
        <f>_xlfn.XLOOKUP(C163,[1]Planilha2!$C$3:$C$329,[1]Planilha2!$J$3:$J$329,"")</f>
        <v>1</v>
      </c>
      <c r="M163" s="42">
        <v>0.75854403740828502</v>
      </c>
      <c r="N163" s="43">
        <v>0.74039749654646503</v>
      </c>
      <c r="O163" s="43">
        <v>0.72266228741520999</v>
      </c>
      <c r="P163" s="43">
        <v>0.70292343928785594</v>
      </c>
      <c r="Q163" s="67">
        <v>0.67346961849773801</v>
      </c>
      <c r="R163" s="67">
        <v>0.87683140054403197</v>
      </c>
      <c r="S163" s="67">
        <v>0.96250859943700495</v>
      </c>
      <c r="T163" s="49">
        <v>1624.7809541422801</v>
      </c>
      <c r="U163" s="49">
        <v>1399.0462010396</v>
      </c>
      <c r="V163" s="49">
        <v>1231.67884827168</v>
      </c>
      <c r="W163" s="49">
        <v>1101.79566405436</v>
      </c>
      <c r="X163" s="49">
        <v>1007.3056519056501</v>
      </c>
      <c r="Y163" s="4"/>
      <c r="Z163" s="69">
        <v>14.5580165461864</v>
      </c>
      <c r="AA163" s="69">
        <v>14.853765649464499</v>
      </c>
      <c r="AB163" s="69">
        <v>13.410926286973201</v>
      </c>
      <c r="AC163" s="69">
        <v>11.6357186432056</v>
      </c>
      <c r="AD163" s="70">
        <v>11.611963890683301</v>
      </c>
    </row>
    <row r="164" spans="1:30" x14ac:dyDescent="0.25">
      <c r="A164" s="6">
        <v>216</v>
      </c>
      <c r="B164" s="3" t="s">
        <v>162</v>
      </c>
      <c r="C164" s="3" t="s">
        <v>163</v>
      </c>
      <c r="D164" s="4">
        <f>_xlfn.XLOOKUP(C164,[1]Planilha2!$C$3:$C$329,[1]Planilha2!$I$3:$I$329)</f>
        <v>29</v>
      </c>
      <c r="E164" s="7">
        <v>391300</v>
      </c>
      <c r="F164" s="7">
        <v>391857.33333333337</v>
      </c>
      <c r="G164" s="7">
        <v>392414.66666666663</v>
      </c>
      <c r="H164" s="7">
        <v>392972</v>
      </c>
      <c r="I164" s="7">
        <v>389991</v>
      </c>
      <c r="J164" s="4">
        <f>_xlfn.XLOOKUP(C164,[1]Planilha2!$C$3:$C$329,[1]Planilha2!$D$3:$D$329,"")</f>
        <v>18</v>
      </c>
      <c r="K164" s="8" t="s">
        <v>141</v>
      </c>
      <c r="L164" s="4">
        <f>_xlfn.XLOOKUP(C164,[1]Planilha2!$C$3:$C$329,[1]Planilha2!$J$3:$J$329,"")</f>
        <v>1</v>
      </c>
      <c r="M164" s="42">
        <v>0.79335857625053996</v>
      </c>
      <c r="N164" s="43">
        <v>0.76420027292557902</v>
      </c>
      <c r="O164" s="43">
        <v>0.74712176567287203</v>
      </c>
      <c r="P164" s="43">
        <v>0.71433931090717495</v>
      </c>
      <c r="Q164" s="67">
        <v>0.60438213615868897</v>
      </c>
      <c r="R164" s="67">
        <v>0.92100005292021003</v>
      </c>
      <c r="S164" s="67">
        <v>0.95594852553931098</v>
      </c>
      <c r="T164" s="49">
        <v>1673.4151851009501</v>
      </c>
      <c r="U164" s="49">
        <v>1353.4576975889199</v>
      </c>
      <c r="V164" s="49">
        <v>1223.1799694201</v>
      </c>
      <c r="W164" s="49">
        <v>1067.73194492228</v>
      </c>
      <c r="X164" s="49">
        <v>910.67483821421501</v>
      </c>
      <c r="Y164" s="4"/>
      <c r="Z164" s="69">
        <v>10.9171275236392</v>
      </c>
      <c r="AA164" s="69">
        <v>10.6714782250683</v>
      </c>
      <c r="AB164" s="69">
        <v>11.6982324819664</v>
      </c>
      <c r="AC164" s="69">
        <v>8.3300769520474702</v>
      </c>
      <c r="AD164" s="70">
        <v>8.4431153539440693</v>
      </c>
    </row>
    <row r="165" spans="1:30" x14ac:dyDescent="0.25">
      <c r="A165" s="6">
        <v>217</v>
      </c>
      <c r="B165" s="3" t="s">
        <v>164</v>
      </c>
      <c r="C165" s="3" t="s">
        <v>165</v>
      </c>
      <c r="D165" s="4">
        <f>_xlfn.XLOOKUP(C165,[1]Planilha2!$C$3:$C$329,[1]Planilha2!$I$3:$I$329)</f>
        <v>29</v>
      </c>
      <c r="E165" s="7">
        <v>282324</v>
      </c>
      <c r="F165" s="7">
        <v>279324.66666666663</v>
      </c>
      <c r="G165" s="7">
        <v>276325.33333333337</v>
      </c>
      <c r="H165" s="7">
        <v>273326</v>
      </c>
      <c r="I165" s="7">
        <v>272749</v>
      </c>
      <c r="J165" s="4">
        <f>_xlfn.XLOOKUP(C165,[1]Planilha2!$C$3:$C$329,[1]Planilha2!$D$3:$D$329,"")</f>
        <v>22</v>
      </c>
      <c r="K165" s="8" t="s">
        <v>141</v>
      </c>
      <c r="L165" s="4">
        <f>_xlfn.XLOOKUP(C165,[1]Planilha2!$C$3:$C$329,[1]Planilha2!$J$3:$J$329,"")</f>
        <v>4</v>
      </c>
      <c r="M165" s="42">
        <v>0.72835553811932097</v>
      </c>
      <c r="N165" s="43">
        <v>0.69436758350060801</v>
      </c>
      <c r="O165" s="43">
        <v>0.68845225079209404</v>
      </c>
      <c r="P165" s="43">
        <v>0.65182163967603901</v>
      </c>
      <c r="Q165" s="67">
        <v>0.63579040647738905</v>
      </c>
      <c r="R165" s="67">
        <v>0.83266690712396996</v>
      </c>
      <c r="S165" s="67">
        <v>0.933931838798711</v>
      </c>
      <c r="T165" s="49">
        <v>1426.6576485527301</v>
      </c>
      <c r="U165" s="49">
        <v>1448.13350333065</v>
      </c>
      <c r="V165" s="49">
        <v>1257.36182463666</v>
      </c>
      <c r="W165" s="49">
        <v>995.56736259997194</v>
      </c>
      <c r="X165" s="49">
        <v>884.41571906771401</v>
      </c>
      <c r="Y165" s="4"/>
      <c r="Z165" s="69">
        <v>6.4362399229254299</v>
      </c>
      <c r="AA165" s="69">
        <v>10.6128865573395</v>
      </c>
      <c r="AB165" s="69">
        <v>6.2070277064716004</v>
      </c>
      <c r="AC165" s="69">
        <v>5.5677176704740896</v>
      </c>
      <c r="AD165" s="70">
        <v>3.8969125459671701</v>
      </c>
    </row>
    <row r="166" spans="1:30" ht="25.5" x14ac:dyDescent="0.25">
      <c r="A166" s="6">
        <v>218</v>
      </c>
      <c r="B166" s="3" t="s">
        <v>472</v>
      </c>
      <c r="C166" s="3" t="s">
        <v>473</v>
      </c>
      <c r="D166" s="4">
        <f>_xlfn.XLOOKUP(C166,[1]Planilha2!$C$3:$C$329,[1]Planilha2!$I$3:$I$329)</f>
        <v>14</v>
      </c>
      <c r="E166" s="7">
        <v>117271</v>
      </c>
      <c r="F166" s="7">
        <v>115108.66666666667</v>
      </c>
      <c r="G166" s="7">
        <v>112946.33333333333</v>
      </c>
      <c r="H166" s="7">
        <v>110784</v>
      </c>
      <c r="I166" s="7">
        <v>110574</v>
      </c>
      <c r="J166" s="4">
        <f>_xlfn.XLOOKUP(C166,[1]Planilha2!$C$3:$C$329,[1]Planilha2!$D$3:$D$329,"")</f>
        <v>4</v>
      </c>
      <c r="K166" s="8" t="s">
        <v>141</v>
      </c>
      <c r="L166" s="4">
        <f>_xlfn.XLOOKUP(C166,[1]Planilha2!$C$3:$C$329,[1]Planilha2!$J$3:$J$329,"")</f>
        <v>33</v>
      </c>
      <c r="M166" s="42">
        <v>0.734915629289425</v>
      </c>
      <c r="N166" s="43">
        <v>0.69606705515008604</v>
      </c>
      <c r="O166" s="43">
        <v>0.70091931055026002</v>
      </c>
      <c r="P166" s="43">
        <v>0.66357830683524199</v>
      </c>
      <c r="Q166" s="67">
        <v>0.82029173648842102</v>
      </c>
      <c r="R166" s="67">
        <v>0.86636225670598699</v>
      </c>
      <c r="S166" s="67">
        <v>0.95348202951844396</v>
      </c>
      <c r="T166" s="49">
        <v>1081.52552822096</v>
      </c>
      <c r="U166" s="49">
        <v>1187.7423813150499</v>
      </c>
      <c r="V166" s="49">
        <v>1017.7258044381</v>
      </c>
      <c r="W166" s="49">
        <v>813.16055630776998</v>
      </c>
      <c r="X166" s="49">
        <v>770.65223352686905</v>
      </c>
      <c r="Y166" s="4"/>
      <c r="Z166" s="69">
        <v>8.7945101516999102</v>
      </c>
      <c r="AA166" s="69">
        <v>15.023351847240001</v>
      </c>
      <c r="AB166" s="69">
        <v>8.9214759812182205</v>
      </c>
      <c r="AC166" s="69">
        <v>7.4883015597920304</v>
      </c>
      <c r="AD166" s="70">
        <v>4.0824153960243796</v>
      </c>
    </row>
    <row r="167" spans="1:30" ht="25.5" x14ac:dyDescent="0.25">
      <c r="A167" s="6">
        <v>219</v>
      </c>
      <c r="B167" s="3" t="s">
        <v>474</v>
      </c>
      <c r="C167" s="3" t="s">
        <v>475</v>
      </c>
      <c r="D167" s="4">
        <f>_xlfn.XLOOKUP(C167,[1]Planilha2!$C$3:$C$329,[1]Planilha2!$I$3:$I$329)</f>
        <v>17</v>
      </c>
      <c r="E167" s="7">
        <v>62130</v>
      </c>
      <c r="F167" s="7">
        <v>62512</v>
      </c>
      <c r="G167" s="7">
        <v>62894</v>
      </c>
      <c r="H167" s="7">
        <v>63276</v>
      </c>
      <c r="I167" s="7">
        <v>63153</v>
      </c>
      <c r="J167" s="4">
        <f>_xlfn.XLOOKUP(C167,[1]Planilha2!$C$3:$C$329,[1]Planilha2!$D$3:$D$329,"")</f>
        <v>7</v>
      </c>
      <c r="K167" s="8" t="s">
        <v>141</v>
      </c>
      <c r="L167" s="4">
        <f>_xlfn.XLOOKUP(C167,[1]Planilha2!$C$3:$C$329,[1]Planilha2!$J$3:$J$329,"")</f>
        <v>11</v>
      </c>
      <c r="M167" s="42">
        <v>0.72051975620680797</v>
      </c>
      <c r="N167" s="43">
        <v>0.695007885224876</v>
      </c>
      <c r="O167" s="43">
        <v>0.67653619223718298</v>
      </c>
      <c r="P167" s="43">
        <v>0.62490763542507899</v>
      </c>
      <c r="Q167" s="67">
        <v>0.26629908735332503</v>
      </c>
      <c r="R167" s="67">
        <v>0.75302816166884001</v>
      </c>
      <c r="S167" s="67">
        <v>0.89164075905491802</v>
      </c>
      <c r="T167" s="49">
        <v>1805.4581197489099</v>
      </c>
      <c r="U167" s="49">
        <v>1637.1879121875299</v>
      </c>
      <c r="V167" s="49">
        <v>1458.5404312547</v>
      </c>
      <c r="W167" s="49">
        <v>1247.1930668816001</v>
      </c>
      <c r="X167" s="49">
        <v>1018.03335851028</v>
      </c>
      <c r="Y167" s="4"/>
      <c r="Z167" s="69">
        <v>2.77880251086432</v>
      </c>
      <c r="AA167" s="69">
        <v>10.0348253135398</v>
      </c>
      <c r="AB167" s="69">
        <v>2.48370273794003</v>
      </c>
      <c r="AC167" s="69">
        <v>2.5350211770655502</v>
      </c>
      <c r="AD167" s="70">
        <v>2.9519737779677899</v>
      </c>
    </row>
    <row r="168" spans="1:30" ht="25.5" x14ac:dyDescent="0.25">
      <c r="A168" s="6">
        <v>220</v>
      </c>
      <c r="B168" s="3" t="s">
        <v>166</v>
      </c>
      <c r="C168" s="3" t="s">
        <v>167</v>
      </c>
      <c r="D168" s="4">
        <f>_xlfn.XLOOKUP(C168,[1]Planilha2!$C$3:$C$329,[1]Planilha2!$I$3:$I$329)</f>
        <v>12</v>
      </c>
      <c r="E168" s="7">
        <v>14075</v>
      </c>
      <c r="F168" s="7">
        <v>13908</v>
      </c>
      <c r="G168" s="7">
        <v>13741</v>
      </c>
      <c r="H168" s="7">
        <v>13574</v>
      </c>
      <c r="I168" s="7">
        <v>13662</v>
      </c>
      <c r="J168" s="4">
        <f>_xlfn.XLOOKUP(C168,[1]Planilha2!$C$3:$C$329,[1]Planilha2!$D$3:$D$329,"")</f>
        <v>3</v>
      </c>
      <c r="K168" s="8" t="s">
        <v>141</v>
      </c>
      <c r="L168" s="4">
        <f>_xlfn.XLOOKUP(C168,[1]Planilha2!$C$3:$C$329,[1]Planilha2!$J$3:$J$329,"")</f>
        <v>16</v>
      </c>
      <c r="M168" s="42">
        <v>0.63643011216566003</v>
      </c>
      <c r="N168" s="43">
        <v>0.62076666424083604</v>
      </c>
      <c r="O168" s="43">
        <v>0.61651091793133905</v>
      </c>
      <c r="P168" s="43">
        <v>0.57525766359244601</v>
      </c>
      <c r="Q168" s="67">
        <v>0.25967448269170101</v>
      </c>
      <c r="R168" s="67">
        <v>0.62978532130121501</v>
      </c>
      <c r="S168" s="67">
        <v>0.84637628750939997</v>
      </c>
      <c r="T168" s="49">
        <v>2331.3381250444099</v>
      </c>
      <c r="U168" s="49">
        <v>1999.59197152718</v>
      </c>
      <c r="V168" s="49">
        <v>1551.4616515052301</v>
      </c>
      <c r="W168" s="49">
        <v>1297.16691911006</v>
      </c>
      <c r="X168" s="49">
        <v>1178.3829131898699</v>
      </c>
      <c r="Y168" s="4"/>
      <c r="Z168" s="69">
        <v>12.020319715808199</v>
      </c>
      <c r="AA168" s="69">
        <v>7.4103393730227198</v>
      </c>
      <c r="AB168" s="69">
        <v>7.8587439051015204</v>
      </c>
      <c r="AC168" s="69">
        <v>10.967585089141</v>
      </c>
      <c r="AD168" s="70">
        <v>10.9061630800761</v>
      </c>
    </row>
    <row r="169" spans="1:30" ht="25.5" x14ac:dyDescent="0.25">
      <c r="A169" s="6">
        <v>221</v>
      </c>
      <c r="B169" s="3" t="s">
        <v>476</v>
      </c>
      <c r="C169" s="3" t="s">
        <v>477</v>
      </c>
      <c r="D169" s="4">
        <f>_xlfn.XLOOKUP(C169,[1]Planilha2!$C$3:$C$329,[1]Planilha2!$I$3:$I$329)</f>
        <v>26</v>
      </c>
      <c r="E169" s="7">
        <v>136304</v>
      </c>
      <c r="F169" s="7">
        <v>132823.33333333334</v>
      </c>
      <c r="G169" s="7">
        <v>129342.66666666667</v>
      </c>
      <c r="H169" s="7">
        <v>125862</v>
      </c>
      <c r="I169" s="7">
        <v>127237</v>
      </c>
      <c r="J169" s="4">
        <f>_xlfn.XLOOKUP(C169,[1]Planilha2!$C$3:$C$329,[1]Planilha2!$D$3:$D$329,"")</f>
        <v>16</v>
      </c>
      <c r="K169" s="8" t="s">
        <v>141</v>
      </c>
      <c r="L169" s="4">
        <f>_xlfn.XLOOKUP(C169,[1]Planilha2!$C$3:$C$329,[1]Planilha2!$J$3:$J$329,"")</f>
        <v>2</v>
      </c>
      <c r="M169" s="42">
        <v>0.66826808417195804</v>
      </c>
      <c r="N169" s="43">
        <v>0.63025999489727502</v>
      </c>
      <c r="O169" s="43">
        <v>0.60237867585132898</v>
      </c>
      <c r="P169" s="43">
        <v>0.59339881559609198</v>
      </c>
      <c r="Q169" s="67">
        <v>0.1671699521684</v>
      </c>
      <c r="R169" s="67">
        <v>0.69388026817652304</v>
      </c>
      <c r="S169" s="67">
        <v>0.7598965126228</v>
      </c>
      <c r="T169" s="49">
        <v>1788.3910246948001</v>
      </c>
      <c r="U169" s="49">
        <v>1740.7153537280101</v>
      </c>
      <c r="V169" s="49">
        <v>1566.13385495377</v>
      </c>
      <c r="W169" s="49">
        <v>1114.04339204843</v>
      </c>
      <c r="X169" s="49">
        <v>1077.7325148345201</v>
      </c>
      <c r="Y169" s="4"/>
      <c r="Z169" s="69">
        <v>2.34930743044958</v>
      </c>
      <c r="AA169" s="69">
        <v>2.17769719175848</v>
      </c>
      <c r="AB169" s="69">
        <v>2.08480315853495</v>
      </c>
      <c r="AC169" s="69">
        <v>1.3055171537080299</v>
      </c>
      <c r="AD169" s="70">
        <v>3.1668539811532801</v>
      </c>
    </row>
    <row r="170" spans="1:30" x14ac:dyDescent="0.25">
      <c r="A170" s="6">
        <v>222</v>
      </c>
      <c r="B170" s="3" t="s">
        <v>478</v>
      </c>
      <c r="C170" s="3" t="s">
        <v>479</v>
      </c>
      <c r="D170" s="4">
        <f>_xlfn.XLOOKUP(C170,[1]Planilha2!$C$3:$C$329,[1]Planilha2!$I$3:$I$329)</f>
        <v>13</v>
      </c>
      <c r="E170" s="7">
        <v>85440</v>
      </c>
      <c r="F170" s="7">
        <v>83221.000000000015</v>
      </c>
      <c r="G170" s="7">
        <v>81001.999999999985</v>
      </c>
      <c r="H170" s="7">
        <v>78783</v>
      </c>
      <c r="I170" s="7">
        <v>79416</v>
      </c>
      <c r="J170" s="4">
        <f>_xlfn.XLOOKUP(C170,[1]Planilha2!$C$3:$C$329,[1]Planilha2!$D$3:$D$329,"")</f>
        <v>7</v>
      </c>
      <c r="K170" s="8" t="s">
        <v>141</v>
      </c>
      <c r="L170" s="4">
        <f>_xlfn.XLOOKUP(C170,[1]Planilha2!$C$3:$C$329,[1]Planilha2!$J$3:$J$329,"")</f>
        <v>1</v>
      </c>
      <c r="M170" s="42">
        <v>0.67001824459371195</v>
      </c>
      <c r="N170" s="43">
        <v>0.61317455371472296</v>
      </c>
      <c r="O170" s="43">
        <v>0.62425512356726698</v>
      </c>
      <c r="P170" s="43">
        <v>0.60802128538329803</v>
      </c>
      <c r="Q170" s="67">
        <v>0.27678355390401899</v>
      </c>
      <c r="R170" s="67">
        <v>0.62747049044056502</v>
      </c>
      <c r="S170" s="67">
        <v>0.71661664650255597</v>
      </c>
      <c r="T170" s="49">
        <v>1655.36772331461</v>
      </c>
      <c r="U170" s="49">
        <v>1899.1123582989901</v>
      </c>
      <c r="V170" s="49">
        <v>1437.09520876028</v>
      </c>
      <c r="W170" s="49">
        <v>970.42603645456495</v>
      </c>
      <c r="X170" s="49">
        <v>902.89683073939796</v>
      </c>
      <c r="Y170" s="4"/>
      <c r="Z170" s="69">
        <v>1.77183988764045</v>
      </c>
      <c r="AA170" s="69">
        <v>1.8784561589022</v>
      </c>
      <c r="AB170" s="69">
        <v>1.4719019283474499</v>
      </c>
      <c r="AC170" s="69">
        <v>1.4021045149334199</v>
      </c>
      <c r="AD170" s="70">
        <v>1.5241135287599501</v>
      </c>
    </row>
    <row r="171" spans="1:30" ht="38.25" x14ac:dyDescent="0.25">
      <c r="A171" s="6">
        <v>223</v>
      </c>
      <c r="B171" s="3" t="s">
        <v>168</v>
      </c>
      <c r="C171" s="3" t="s">
        <v>169</v>
      </c>
      <c r="D171" s="4">
        <f>_xlfn.XLOOKUP(C171,[1]Planilha2!$C$3:$C$329,[1]Planilha2!$I$3:$I$329)</f>
        <v>14</v>
      </c>
      <c r="E171" s="7">
        <v>481191</v>
      </c>
      <c r="F171" s="7">
        <v>473301</v>
      </c>
      <c r="G171" s="7">
        <v>465411</v>
      </c>
      <c r="H171" s="7">
        <v>457521</v>
      </c>
      <c r="I171" s="7">
        <v>459083</v>
      </c>
      <c r="J171" s="4">
        <f>_xlfn.XLOOKUP(C171,[1]Planilha2!$C$3:$C$329,[1]Planilha2!$D$3:$D$329,"")</f>
        <v>31</v>
      </c>
      <c r="K171" s="8" t="s">
        <v>141</v>
      </c>
      <c r="L171" s="4">
        <f>_xlfn.XLOOKUP(C171,[1]Planilha2!$C$3:$C$329,[1]Planilha2!$J$3:$J$329,"")</f>
        <v>23</v>
      </c>
      <c r="M171" s="42">
        <v>0.71845930412147896</v>
      </c>
      <c r="N171" s="43">
        <v>0.68585977755861705</v>
      </c>
      <c r="O171" s="43">
        <v>0.67435013037652902</v>
      </c>
      <c r="P171" s="43">
        <v>0.651745494387725</v>
      </c>
      <c r="Q171" s="67">
        <v>0.49333594672235898</v>
      </c>
      <c r="R171" s="67">
        <v>0.80725774888575197</v>
      </c>
      <c r="S171" s="67">
        <v>0.85401132604658403</v>
      </c>
      <c r="T171" s="49">
        <v>1603.8189876577101</v>
      </c>
      <c r="U171" s="49">
        <v>1594.70405260078</v>
      </c>
      <c r="V171" s="49">
        <v>1359.7364409092199</v>
      </c>
      <c r="W171" s="49">
        <v>1021.73358617419</v>
      </c>
      <c r="X171" s="49">
        <v>912.46912562652096</v>
      </c>
      <c r="Y171" s="4"/>
      <c r="Z171" s="69">
        <v>6.93087775955909</v>
      </c>
      <c r="AA171" s="69">
        <v>6.1836463476730499</v>
      </c>
      <c r="AB171" s="69">
        <v>5.2970127478723104</v>
      </c>
      <c r="AC171" s="69">
        <v>4.1606374352215498</v>
      </c>
      <c r="AD171" s="70">
        <v>4.4431769418601901</v>
      </c>
    </row>
    <row r="172" spans="1:30" ht="25.5" x14ac:dyDescent="0.25">
      <c r="A172" s="6">
        <v>224</v>
      </c>
      <c r="B172" s="3" t="s">
        <v>480</v>
      </c>
      <c r="C172" s="3" t="s">
        <v>481</v>
      </c>
      <c r="D172" s="4">
        <f>_xlfn.XLOOKUP(C172,[1]Planilha2!$C$3:$C$329,[1]Planilha2!$I$3:$I$329)</f>
        <v>25</v>
      </c>
      <c r="E172" s="7">
        <v>178391</v>
      </c>
      <c r="F172" s="7">
        <v>179514.00000000003</v>
      </c>
      <c r="G172" s="7">
        <v>180636.99999999997</v>
      </c>
      <c r="H172" s="7">
        <v>181760</v>
      </c>
      <c r="I172" s="7">
        <v>181840</v>
      </c>
      <c r="J172" s="4">
        <f>_xlfn.XLOOKUP(C172,[1]Planilha2!$C$3:$C$329,[1]Planilha2!$D$3:$D$329,"")</f>
        <v>13</v>
      </c>
      <c r="K172" s="8" t="s">
        <v>141</v>
      </c>
      <c r="L172" s="4">
        <f>_xlfn.XLOOKUP(C172,[1]Planilha2!$C$3:$C$329,[1]Planilha2!$J$3:$J$329,"")</f>
        <v>2</v>
      </c>
      <c r="M172" s="42">
        <v>0.68213049325772201</v>
      </c>
      <c r="N172" s="43">
        <v>0.64798668102326795</v>
      </c>
      <c r="O172" s="43">
        <v>0.63950128191021105</v>
      </c>
      <c r="P172" s="43">
        <v>0.61850753024636995</v>
      </c>
      <c r="Q172" s="67">
        <v>0.45217161747962298</v>
      </c>
      <c r="R172" s="67">
        <v>0.67178847633651995</v>
      </c>
      <c r="S172" s="67">
        <v>0.76375601934634996</v>
      </c>
      <c r="T172" s="49">
        <v>1548.39023358802</v>
      </c>
      <c r="U172" s="49">
        <v>1427.30757835043</v>
      </c>
      <c r="V172" s="49">
        <v>1211.3965051825901</v>
      </c>
      <c r="W172" s="49">
        <v>926.68818948063404</v>
      </c>
      <c r="X172" s="49">
        <v>789.303161570611</v>
      </c>
      <c r="Y172" s="4"/>
      <c r="Z172" s="69">
        <v>9.2327808017220594</v>
      </c>
      <c r="AA172" s="69">
        <v>7.5190737212696499</v>
      </c>
      <c r="AB172" s="69">
        <v>6.7486063209641403</v>
      </c>
      <c r="AC172" s="69">
        <v>6.3270191461267604</v>
      </c>
      <c r="AD172" s="70">
        <v>5.7654586449626004</v>
      </c>
    </row>
    <row r="173" spans="1:30" ht="25.5" x14ac:dyDescent="0.25">
      <c r="A173" s="6">
        <v>225</v>
      </c>
      <c r="B173" s="3" t="s">
        <v>170</v>
      </c>
      <c r="C173" s="3" t="s">
        <v>171</v>
      </c>
      <c r="D173" s="4">
        <f>_xlfn.XLOOKUP(C173,[1]Planilha2!$C$3:$C$329,[1]Planilha2!$I$3:$I$329)</f>
        <v>6</v>
      </c>
      <c r="E173" s="7">
        <v>438166</v>
      </c>
      <c r="F173" s="7">
        <v>436727.66666666674</v>
      </c>
      <c r="G173" s="7">
        <v>435289.33333333326</v>
      </c>
      <c r="H173" s="7">
        <v>433851</v>
      </c>
      <c r="I173" s="7">
        <v>432931</v>
      </c>
      <c r="J173" s="4">
        <f>_xlfn.XLOOKUP(C173,[1]Planilha2!$C$3:$C$329,[1]Planilha2!$D$3:$D$329,"")</f>
        <v>20</v>
      </c>
      <c r="K173" s="8" t="s">
        <v>141</v>
      </c>
      <c r="L173" s="4">
        <f>_xlfn.XLOOKUP(C173,[1]Planilha2!$C$3:$C$329,[1]Planilha2!$J$3:$J$329,"")</f>
        <v>3</v>
      </c>
      <c r="M173" s="42">
        <v>0.71894663226434796</v>
      </c>
      <c r="N173" s="43">
        <v>0.69070997359610597</v>
      </c>
      <c r="O173" s="43">
        <v>0.679789163099774</v>
      </c>
      <c r="P173" s="43">
        <v>0.65540554060577805</v>
      </c>
      <c r="Q173" s="67">
        <v>0.57509019004983697</v>
      </c>
      <c r="R173" s="67">
        <v>0.77594424122499395</v>
      </c>
      <c r="S173" s="67">
        <v>0.82951865479512499</v>
      </c>
      <c r="T173" s="49">
        <v>1434.83213679291</v>
      </c>
      <c r="U173" s="49">
        <v>1321.16605497858</v>
      </c>
      <c r="V173" s="49">
        <v>1122.9833430101701</v>
      </c>
      <c r="W173" s="49">
        <v>899.55531428992902</v>
      </c>
      <c r="X173" s="49">
        <v>747.69655222194797</v>
      </c>
      <c r="Y173" s="4"/>
      <c r="Z173" s="69">
        <v>6.9940456356723297</v>
      </c>
      <c r="AA173" s="69">
        <v>5.7926259156163704</v>
      </c>
      <c r="AB173" s="69">
        <v>4.8784976735780301</v>
      </c>
      <c r="AC173" s="69">
        <v>4.5686214852564602</v>
      </c>
      <c r="AD173" s="70">
        <v>3.76457680323192</v>
      </c>
    </row>
    <row r="174" spans="1:30" x14ac:dyDescent="0.25">
      <c r="A174" s="6">
        <v>226</v>
      </c>
      <c r="B174" s="3" t="s">
        <v>172</v>
      </c>
      <c r="C174" s="3" t="s">
        <v>173</v>
      </c>
      <c r="D174" s="4">
        <f>_xlfn.XLOOKUP(C174,[1]Planilha2!$C$3:$C$329,[1]Planilha2!$I$3:$I$329)</f>
        <v>23</v>
      </c>
      <c r="E174" s="7">
        <v>841896</v>
      </c>
      <c r="F174" s="7">
        <v>840870.66666666663</v>
      </c>
      <c r="G174" s="7">
        <v>839845.33333333337</v>
      </c>
      <c r="H174" s="7">
        <v>838820</v>
      </c>
      <c r="I174" s="7">
        <v>832374</v>
      </c>
      <c r="J174" s="4">
        <f>_xlfn.XLOOKUP(C174,[1]Planilha2!$C$3:$C$329,[1]Planilha2!$D$3:$D$329,"")</f>
        <v>19</v>
      </c>
      <c r="K174" s="8" t="s">
        <v>141</v>
      </c>
      <c r="L174" s="4">
        <f>_xlfn.XLOOKUP(C174,[1]Planilha2!$C$3:$C$329,[1]Planilha2!$J$3:$J$329,"")</f>
        <v>1</v>
      </c>
      <c r="M174" s="42">
        <v>0.77923358895462302</v>
      </c>
      <c r="N174" s="43">
        <v>0.7421098165694</v>
      </c>
      <c r="O174" s="43">
        <v>0.74426846284065695</v>
      </c>
      <c r="P174" s="43">
        <v>0.70765455924860698</v>
      </c>
      <c r="Q174" s="67">
        <v>0.745400474968407</v>
      </c>
      <c r="R174" s="67">
        <v>0.87640680526096904</v>
      </c>
      <c r="S174" s="67">
        <v>0.92657797935810404</v>
      </c>
      <c r="T174" s="49">
        <v>1261.6172701497601</v>
      </c>
      <c r="U174" s="49">
        <v>1120.9738956446699</v>
      </c>
      <c r="V174" s="49">
        <v>955.60903674327301</v>
      </c>
      <c r="W174" s="49">
        <v>851.457903352328</v>
      </c>
      <c r="X174" s="49">
        <v>742.78816690574195</v>
      </c>
      <c r="Y174" s="4"/>
      <c r="Z174" s="69">
        <v>5.7455837775687302</v>
      </c>
      <c r="AA174" s="69">
        <v>4.1349688338912198</v>
      </c>
      <c r="AB174" s="69">
        <v>3.8474786627378998</v>
      </c>
      <c r="AC174" s="69">
        <v>2.6629229155241898</v>
      </c>
      <c r="AD174" s="70">
        <v>3.2823646581945098</v>
      </c>
    </row>
    <row r="175" spans="1:30" x14ac:dyDescent="0.25">
      <c r="A175" s="6">
        <v>227</v>
      </c>
      <c r="B175" s="3" t="s">
        <v>174</v>
      </c>
      <c r="C175" s="3" t="s">
        <v>175</v>
      </c>
      <c r="D175" s="4">
        <f>_xlfn.XLOOKUP(C175,[1]Planilha2!$C$3:$C$329,[1]Planilha2!$I$3:$I$329)</f>
        <v>30</v>
      </c>
      <c r="E175" s="7">
        <v>167738</v>
      </c>
      <c r="F175" s="7">
        <v>170887.33333333334</v>
      </c>
      <c r="G175" s="7">
        <v>174036.66666666666</v>
      </c>
      <c r="H175" s="7">
        <v>177186</v>
      </c>
      <c r="I175" s="7">
        <v>176074</v>
      </c>
      <c r="J175" s="4">
        <f>_xlfn.XLOOKUP(C175,[1]Planilha2!$C$3:$C$329,[1]Planilha2!$D$3:$D$329,"")</f>
        <v>9</v>
      </c>
      <c r="K175" s="8" t="s">
        <v>141</v>
      </c>
      <c r="L175" s="4">
        <f>_xlfn.XLOOKUP(C175,[1]Planilha2!$C$3:$C$329,[1]Planilha2!$J$3:$J$329,"")</f>
        <v>2</v>
      </c>
      <c r="M175" s="42">
        <v>0.74089903835275495</v>
      </c>
      <c r="N175" s="43">
        <v>0.71147159774760105</v>
      </c>
      <c r="O175" s="43">
        <v>0.68726536125879001</v>
      </c>
      <c r="P175" s="43">
        <v>0.66239548201324405</v>
      </c>
      <c r="Q175" s="67">
        <v>0.518546158855414</v>
      </c>
      <c r="R175" s="67">
        <v>0.75926879584761797</v>
      </c>
      <c r="S175" s="67">
        <v>0.84139081821838302</v>
      </c>
      <c r="T175" s="49">
        <v>1460.0072235867799</v>
      </c>
      <c r="U175" s="49">
        <v>1225.3975914735199</v>
      </c>
      <c r="V175" s="49">
        <v>1114.6207841068001</v>
      </c>
      <c r="W175" s="49">
        <v>920.29348932759899</v>
      </c>
      <c r="X175" s="49">
        <v>798.65502498949297</v>
      </c>
      <c r="Y175" s="4"/>
      <c r="Z175" s="69">
        <v>4.3371269479783896</v>
      </c>
      <c r="AA175" s="69">
        <v>4.7736949491087701</v>
      </c>
      <c r="AB175" s="69">
        <v>6.0889640114152197</v>
      </c>
      <c r="AC175" s="69">
        <v>4.4697267278453197</v>
      </c>
      <c r="AD175" s="70">
        <v>5.6898974294898697</v>
      </c>
    </row>
    <row r="176" spans="1:30" x14ac:dyDescent="0.25">
      <c r="A176" s="6">
        <v>228</v>
      </c>
      <c r="B176" s="3" t="s">
        <v>482</v>
      </c>
      <c r="C176" s="3" t="s">
        <v>483</v>
      </c>
      <c r="D176" s="4">
        <f>_xlfn.XLOOKUP(C176,[1]Planilha2!$C$3:$C$329,[1]Planilha2!$I$3:$I$329)</f>
        <v>19</v>
      </c>
      <c r="E176" s="7">
        <v>1920051</v>
      </c>
      <c r="F176" s="7">
        <v>1880933.333333333</v>
      </c>
      <c r="G176" s="7">
        <v>1841815.666666667</v>
      </c>
      <c r="H176" s="7">
        <v>1802698</v>
      </c>
      <c r="I176" s="7">
        <v>1779328</v>
      </c>
      <c r="J176" s="4">
        <f>_xlfn.XLOOKUP(C176,[1]Planilha2!$C$3:$C$329,[1]Planilha2!$D$3:$D$329,"")</f>
        <v>32</v>
      </c>
      <c r="K176" s="8" t="s">
        <v>141</v>
      </c>
      <c r="L176" s="4">
        <f>_xlfn.XLOOKUP(C176,[1]Planilha2!$C$3:$C$329,[1]Planilha2!$J$3:$J$329,"")</f>
        <v>9</v>
      </c>
      <c r="M176" s="42">
        <v>0.72206092817395595</v>
      </c>
      <c r="N176" s="43">
        <v>0.69598765198544099</v>
      </c>
      <c r="O176" s="43">
        <v>0.68768572423112495</v>
      </c>
      <c r="P176" s="43">
        <v>0.64653451522147698</v>
      </c>
      <c r="Q176" s="67">
        <v>0.73318533972002597</v>
      </c>
      <c r="R176" s="67">
        <v>0.88470491690536501</v>
      </c>
      <c r="S176" s="67">
        <v>0.97026874209453096</v>
      </c>
      <c r="T176" s="49">
        <v>1345.5707170174101</v>
      </c>
      <c r="U176" s="49">
        <v>1169.88042806408</v>
      </c>
      <c r="V176" s="49">
        <v>1108.2520399001201</v>
      </c>
      <c r="W176" s="49">
        <v>897.99539236743999</v>
      </c>
      <c r="X176" s="49">
        <v>803.33895355437596</v>
      </c>
      <c r="Y176" s="4"/>
      <c r="Z176" s="69">
        <v>11.296156195850999</v>
      </c>
      <c r="AA176" s="69">
        <v>10.5934897568583</v>
      </c>
      <c r="AB176" s="69">
        <v>9.5304564499487494</v>
      </c>
      <c r="AC176" s="69">
        <v>7.8491194864586298</v>
      </c>
      <c r="AD176" s="70">
        <v>7.1898699958636101</v>
      </c>
    </row>
    <row r="177" spans="1:30" x14ac:dyDescent="0.25">
      <c r="A177" s="6">
        <v>229</v>
      </c>
      <c r="B177" s="3" t="s">
        <v>176</v>
      </c>
      <c r="C177" s="3" t="s">
        <v>177</v>
      </c>
      <c r="D177" s="4">
        <f>_xlfn.XLOOKUP(C177,[1]Planilha2!$C$3:$C$329,[1]Planilha2!$I$3:$I$329)</f>
        <v>29</v>
      </c>
      <c r="E177" s="7">
        <v>165037</v>
      </c>
      <c r="F177" s="7">
        <v>169730.33333333331</v>
      </c>
      <c r="G177" s="7">
        <v>174423.66666666669</v>
      </c>
      <c r="H177" s="7">
        <v>179117</v>
      </c>
      <c r="I177" s="7">
        <v>178227</v>
      </c>
      <c r="J177" s="4">
        <f>_xlfn.XLOOKUP(C177,[1]Planilha2!$C$3:$C$329,[1]Planilha2!$D$3:$D$329,"")</f>
        <v>9</v>
      </c>
      <c r="K177" s="8" t="s">
        <v>141</v>
      </c>
      <c r="L177" s="4">
        <f>_xlfn.XLOOKUP(C177,[1]Planilha2!$C$3:$C$329,[1]Planilha2!$J$3:$J$329,"")</f>
        <v>1</v>
      </c>
      <c r="M177" s="42">
        <v>0.76907621855060304</v>
      </c>
      <c r="N177" s="43">
        <v>0.72463658983585899</v>
      </c>
      <c r="O177" s="43">
        <v>0.70748538441354003</v>
      </c>
      <c r="P177" s="43">
        <v>0.684098031162506</v>
      </c>
      <c r="Q177" s="67">
        <v>0.43622558368417103</v>
      </c>
      <c r="R177" s="67">
        <v>0.68297035073604295</v>
      </c>
      <c r="S177" s="67">
        <v>0.80554362729828299</v>
      </c>
      <c r="T177" s="49">
        <v>1499.46761689803</v>
      </c>
      <c r="U177" s="49">
        <v>1217.4573270148101</v>
      </c>
      <c r="V177" s="49">
        <v>1033.3917520176001</v>
      </c>
      <c r="W177" s="49">
        <v>855.522195492332</v>
      </c>
      <c r="X177" s="49">
        <v>713.14529291297094</v>
      </c>
      <c r="Y177" s="4"/>
      <c r="Z177" s="69">
        <v>4.4412040936274897</v>
      </c>
      <c r="AA177" s="69">
        <v>5.5373602439948897</v>
      </c>
      <c r="AB177" s="69">
        <v>6.5180145660661504</v>
      </c>
      <c r="AC177" s="69">
        <v>4.9415130892098498</v>
      </c>
      <c r="AD177" s="70">
        <v>5.6305834693957699</v>
      </c>
    </row>
    <row r="178" spans="1:30" x14ac:dyDescent="0.25">
      <c r="A178" s="6">
        <v>230</v>
      </c>
      <c r="B178" s="3" t="s">
        <v>178</v>
      </c>
      <c r="C178" s="3" t="s">
        <v>179</v>
      </c>
      <c r="D178" s="4">
        <f>_xlfn.XLOOKUP(C178,[1]Planilha2!$C$3:$C$329,[1]Planilha2!$I$3:$I$329)</f>
        <v>15</v>
      </c>
      <c r="E178" s="7">
        <v>29255</v>
      </c>
      <c r="F178" s="7">
        <v>29307</v>
      </c>
      <c r="G178" s="7">
        <v>29359</v>
      </c>
      <c r="H178" s="7">
        <v>29411</v>
      </c>
      <c r="I178" s="7">
        <v>29363</v>
      </c>
      <c r="J178" s="4">
        <f>_xlfn.XLOOKUP(C178,[1]Planilha2!$C$3:$C$329,[1]Planilha2!$D$3:$D$329,"")</f>
        <v>3</v>
      </c>
      <c r="K178" s="8" t="s">
        <v>141</v>
      </c>
      <c r="L178" s="4">
        <f>_xlfn.XLOOKUP(C178,[1]Planilha2!$C$3:$C$329,[1]Planilha2!$J$3:$J$329,"")</f>
        <v>31</v>
      </c>
      <c r="M178" s="42">
        <v>0.70034555680667898</v>
      </c>
      <c r="N178" s="43">
        <v>0.66880097982447195</v>
      </c>
      <c r="O178" s="43">
        <v>0.65296594811465103</v>
      </c>
      <c r="P178" s="43">
        <v>0.66005212682627801</v>
      </c>
      <c r="Q178" s="67">
        <v>0.20465424798755599</v>
      </c>
      <c r="R178" s="67">
        <v>0.83264649908602695</v>
      </c>
      <c r="S178" s="67">
        <v>0.78374959183441795</v>
      </c>
      <c r="T178" s="49">
        <v>1870.3896995385401</v>
      </c>
      <c r="U178" s="49">
        <v>1718.45847567703</v>
      </c>
      <c r="V178" s="49">
        <v>1502.3675307969199</v>
      </c>
      <c r="W178" s="49">
        <v>1009.98866308524</v>
      </c>
      <c r="X178" s="49">
        <v>1184.63134965773</v>
      </c>
      <c r="Y178" s="4"/>
      <c r="Z178" s="69">
        <v>24.5868398564348</v>
      </c>
      <c r="AA178" s="69">
        <v>24.6455113112908</v>
      </c>
      <c r="AB178" s="69">
        <v>21.915766885793101</v>
      </c>
      <c r="AC178" s="69">
        <v>20.356873278705201</v>
      </c>
      <c r="AD178" s="70">
        <v>15.0676020842557</v>
      </c>
    </row>
    <row r="179" spans="1:30" x14ac:dyDescent="0.25">
      <c r="A179" s="6">
        <v>231</v>
      </c>
      <c r="B179" s="3" t="s">
        <v>180</v>
      </c>
      <c r="C179" s="3" t="s">
        <v>181</v>
      </c>
      <c r="D179" s="4">
        <f>_xlfn.XLOOKUP(C179,[1]Planilha2!$C$3:$C$329,[1]Planilha2!$I$3:$I$329)</f>
        <v>29</v>
      </c>
      <c r="E179" s="7">
        <v>139056</v>
      </c>
      <c r="F179" s="7">
        <v>134089.33333333331</v>
      </c>
      <c r="G179" s="7">
        <v>129122.66666666667</v>
      </c>
      <c r="H179" s="7">
        <v>124156</v>
      </c>
      <c r="I179" s="7">
        <v>123299</v>
      </c>
      <c r="J179" s="4">
        <f>_xlfn.XLOOKUP(C179,[1]Planilha2!$C$3:$C$329,[1]Planilha2!$D$3:$D$329,"")</f>
        <v>7</v>
      </c>
      <c r="K179" s="8" t="s">
        <v>141</v>
      </c>
      <c r="L179" s="4">
        <f>_xlfn.XLOOKUP(C179,[1]Planilha2!$C$3:$C$329,[1]Planilha2!$J$3:$J$329,"")</f>
        <v>1</v>
      </c>
      <c r="M179" s="42">
        <v>0.78593648811240302</v>
      </c>
      <c r="N179" s="43">
        <v>0.74470938513248397</v>
      </c>
      <c r="O179" s="43">
        <v>0.72837160829923697</v>
      </c>
      <c r="P179" s="43">
        <v>0.69480582080957698</v>
      </c>
      <c r="Q179" s="67">
        <v>0.38999901824621502</v>
      </c>
      <c r="R179" s="67">
        <v>0.84892152191198</v>
      </c>
      <c r="S179" s="67">
        <v>0.94177983906775997</v>
      </c>
      <c r="T179" s="49">
        <v>2059.7755401421</v>
      </c>
      <c r="U179" s="49">
        <v>1889.3052583849601</v>
      </c>
      <c r="V179" s="49">
        <v>1703.32115174718</v>
      </c>
      <c r="W179" s="49">
        <v>1330.6946845903501</v>
      </c>
      <c r="X179" s="49">
        <v>1271.0571913803001</v>
      </c>
      <c r="Y179" s="4"/>
      <c r="Z179" s="69">
        <v>16.261556495224902</v>
      </c>
      <c r="AA179" s="69">
        <v>15.7163955373035</v>
      </c>
      <c r="AB179" s="69">
        <v>11.1915517027736</v>
      </c>
      <c r="AC179" s="69">
        <v>9.0160443313251104</v>
      </c>
      <c r="AD179" s="70">
        <v>9.9401211688659306</v>
      </c>
    </row>
    <row r="180" spans="1:30" x14ac:dyDescent="0.25">
      <c r="A180" s="6">
        <v>240</v>
      </c>
      <c r="B180" s="3" t="s">
        <v>182</v>
      </c>
      <c r="C180" s="3" t="s">
        <v>183</v>
      </c>
      <c r="D180" s="4">
        <f>_xlfn.XLOOKUP(C180,[1]Planilha2!$C$3:$C$329,[1]Planilha2!$I$3:$I$329)</f>
        <v>30</v>
      </c>
      <c r="E180" s="7">
        <v>264069</v>
      </c>
      <c r="F180" s="7">
        <v>259849.66666666663</v>
      </c>
      <c r="G180" s="7">
        <v>255630.33333333337</v>
      </c>
      <c r="H180" s="7">
        <v>251411</v>
      </c>
      <c r="I180" s="7">
        <v>252081</v>
      </c>
      <c r="J180" s="4">
        <f>_xlfn.XLOOKUP(C180,[1]Planilha2!$C$3:$C$329,[1]Planilha2!$D$3:$D$329,"")</f>
        <v>25</v>
      </c>
      <c r="K180" s="8" t="s">
        <v>141</v>
      </c>
      <c r="L180" s="4">
        <f>_xlfn.XLOOKUP(C180,[1]Planilha2!$C$3:$C$329,[1]Planilha2!$J$3:$J$329,"")</f>
        <v>5</v>
      </c>
      <c r="M180" s="42">
        <v>0.73447639725020497</v>
      </c>
      <c r="N180" s="43">
        <v>0.70957906521265701</v>
      </c>
      <c r="O180" s="43">
        <v>0.696976826391844</v>
      </c>
      <c r="P180" s="43">
        <v>0.666128842316557</v>
      </c>
      <c r="Q180" s="67">
        <v>0.17825720252291399</v>
      </c>
      <c r="R180" s="67">
        <v>0.86742117549951703</v>
      </c>
      <c r="S180" s="67">
        <v>0.86599564031915899</v>
      </c>
      <c r="T180" s="49">
        <v>1920.9816025735699</v>
      </c>
      <c r="U180" s="49">
        <v>1783.6901450197499</v>
      </c>
      <c r="V180" s="49">
        <v>1604.3299451682201</v>
      </c>
      <c r="W180" s="49">
        <v>1386.88460835047</v>
      </c>
      <c r="X180" s="49">
        <v>1280.6165130255699</v>
      </c>
      <c r="Y180" s="4"/>
      <c r="Z180" s="69">
        <v>17.260992392139901</v>
      </c>
      <c r="AA180" s="69">
        <v>11.971179489679299</v>
      </c>
      <c r="AB180" s="69">
        <v>12.650670043070001</v>
      </c>
      <c r="AC180" s="69">
        <v>9.72321417917275</v>
      </c>
      <c r="AD180" s="70">
        <v>9.0466794403386199</v>
      </c>
    </row>
    <row r="181" spans="1:30" x14ac:dyDescent="0.25">
      <c r="A181" s="6">
        <v>241</v>
      </c>
      <c r="B181" s="3" t="s">
        <v>484</v>
      </c>
      <c r="C181" s="3" t="s">
        <v>485</v>
      </c>
      <c r="D181" s="4">
        <f>_xlfn.XLOOKUP(C181,[1]Planilha2!$C$3:$C$329,[1]Planilha2!$I$3:$I$329)</f>
        <v>26</v>
      </c>
      <c r="E181" s="7">
        <v>222098</v>
      </c>
      <c r="F181" s="7">
        <v>219470.33333333331</v>
      </c>
      <c r="G181" s="7">
        <v>216842.66666666669</v>
      </c>
      <c r="H181" s="7">
        <v>214215</v>
      </c>
      <c r="I181" s="7">
        <v>214773</v>
      </c>
      <c r="J181" s="4">
        <f>_xlfn.XLOOKUP(C181,[1]Planilha2!$C$3:$C$329,[1]Planilha2!$D$3:$D$329,"")</f>
        <v>28</v>
      </c>
      <c r="K181" s="8" t="s">
        <v>141</v>
      </c>
      <c r="L181" s="4">
        <f>_xlfn.XLOOKUP(C181,[1]Planilha2!$C$3:$C$329,[1]Planilha2!$J$3:$J$329,"")</f>
        <v>1</v>
      </c>
      <c r="M181" s="42">
        <v>0.67311925393105498</v>
      </c>
      <c r="N181" s="43">
        <v>0.64554051186113404</v>
      </c>
      <c r="O181" s="43">
        <v>0.61822115724855897</v>
      </c>
      <c r="P181" s="43">
        <v>0.60235941109916102</v>
      </c>
      <c r="Q181" s="67">
        <v>0.187349391724876</v>
      </c>
      <c r="R181" s="67">
        <v>0.82279383131855999</v>
      </c>
      <c r="S181" s="67">
        <v>0.80940653392321305</v>
      </c>
      <c r="T181" s="49">
        <v>1745.9345973399099</v>
      </c>
      <c r="U181" s="49">
        <v>1513.6607601027299</v>
      </c>
      <c r="V181" s="49">
        <v>1460.4631924836399</v>
      </c>
      <c r="W181" s="49">
        <v>1121.12969203837</v>
      </c>
      <c r="X181" s="49">
        <v>1004.29582256615</v>
      </c>
      <c r="Y181" s="4"/>
      <c r="Z181" s="69">
        <v>4.3043746454267904</v>
      </c>
      <c r="AA181" s="69">
        <v>3.8501057849884002</v>
      </c>
      <c r="AB181" s="69">
        <v>2.9998109228196199</v>
      </c>
      <c r="AC181" s="69">
        <v>2.47034054571342</v>
      </c>
      <c r="AD181" s="70">
        <v>1.7353345159773299</v>
      </c>
    </row>
    <row r="182" spans="1:30" ht="25.5" x14ac:dyDescent="0.25">
      <c r="A182" s="6">
        <v>242</v>
      </c>
      <c r="B182" s="3" t="s">
        <v>486</v>
      </c>
      <c r="C182" s="3" t="s">
        <v>487</v>
      </c>
      <c r="D182" s="4">
        <f>_xlfn.XLOOKUP(C182,[1]Planilha2!$C$3:$C$329,[1]Planilha2!$I$3:$I$329)</f>
        <v>3</v>
      </c>
      <c r="E182" s="7">
        <v>42725</v>
      </c>
      <c r="F182" s="7">
        <v>42578.666666666664</v>
      </c>
      <c r="G182" s="7">
        <v>42432.333333333336</v>
      </c>
      <c r="H182" s="7">
        <v>42286</v>
      </c>
      <c r="I182" s="7">
        <v>42266</v>
      </c>
      <c r="J182" s="4">
        <f>_xlfn.XLOOKUP(C182,[1]Planilha2!$C$3:$C$329,[1]Planilha2!$D$3:$D$329,"")</f>
        <v>6</v>
      </c>
      <c r="K182" s="8" t="s">
        <v>141</v>
      </c>
      <c r="L182" s="4">
        <f>_xlfn.XLOOKUP(C182,[1]Planilha2!$C$3:$C$329,[1]Planilha2!$J$3:$J$329,"")</f>
        <v>26</v>
      </c>
      <c r="M182" s="42">
        <v>0.53522816825327202</v>
      </c>
      <c r="N182" s="43">
        <v>0.51861261066639397</v>
      </c>
      <c r="O182" s="43">
        <v>0.46321301849311802</v>
      </c>
      <c r="P182" s="43">
        <v>0.45420999384848298</v>
      </c>
      <c r="Q182" s="67">
        <v>2.8854933737637201E-2</v>
      </c>
      <c r="R182" s="67">
        <v>0.75176604868928598</v>
      </c>
      <c r="S182" s="67">
        <v>0.831598890782972</v>
      </c>
      <c r="T182" s="49">
        <v>1783.6366560561701</v>
      </c>
      <c r="U182" s="49">
        <v>1485.1622936368799</v>
      </c>
      <c r="V182" s="49">
        <v>1285.8945587877199</v>
      </c>
      <c r="W182" s="49">
        <v>1029.3640074729201</v>
      </c>
      <c r="X182" s="49">
        <v>859.67117754223204</v>
      </c>
      <c r="Y182" s="4"/>
      <c r="Z182" s="69">
        <v>5.2154944411936803</v>
      </c>
      <c r="AA182" s="69">
        <v>3.8011523767770998</v>
      </c>
      <c r="AB182" s="69">
        <v>3.57305356764103</v>
      </c>
      <c r="AC182" s="69">
        <v>2.3767677245423999</v>
      </c>
      <c r="AD182" s="70">
        <v>1.6299626177069</v>
      </c>
    </row>
    <row r="183" spans="1:30" ht="25.5" x14ac:dyDescent="0.25">
      <c r="A183" s="6">
        <v>243</v>
      </c>
      <c r="B183" s="3" t="s">
        <v>185</v>
      </c>
      <c r="C183" s="3" t="s">
        <v>186</v>
      </c>
      <c r="D183" s="4">
        <f>_xlfn.XLOOKUP(C183,[1]Planilha2!$C$3:$C$329,[1]Planilha2!$I$3:$I$329)</f>
        <v>33</v>
      </c>
      <c r="E183" s="7">
        <v>74150</v>
      </c>
      <c r="F183" s="7">
        <v>73016.333333333328</v>
      </c>
      <c r="G183" s="7">
        <v>71882.666666666672</v>
      </c>
      <c r="H183" s="7">
        <v>70749</v>
      </c>
      <c r="I183" s="7">
        <v>71367</v>
      </c>
      <c r="J183" s="4">
        <f>_xlfn.XLOOKUP(C183,[1]Planilha2!$C$3:$C$329,[1]Planilha2!$D$3:$D$329,"")</f>
        <v>9</v>
      </c>
      <c r="K183" s="8" t="s">
        <v>141</v>
      </c>
      <c r="L183" s="4">
        <f>_xlfn.XLOOKUP(C183,[1]Planilha2!$C$3:$C$329,[1]Planilha2!$J$3:$J$329,"")</f>
        <v>4</v>
      </c>
      <c r="M183" s="42">
        <v>0.63066008929508899</v>
      </c>
      <c r="N183" s="43">
        <v>0.61112921102908402</v>
      </c>
      <c r="O183" s="43">
        <v>0.58199244512289905</v>
      </c>
      <c r="P183" s="43">
        <v>0.56891854918940099</v>
      </c>
      <c r="Q183" s="67">
        <v>0.20798294210936299</v>
      </c>
      <c r="R183" s="67">
        <v>0.85995427594969598</v>
      </c>
      <c r="S183" s="67">
        <v>0.84278472974476903</v>
      </c>
      <c r="T183" s="49">
        <v>1504.4235488873901</v>
      </c>
      <c r="U183" s="49">
        <v>1479.1359246561301</v>
      </c>
      <c r="V183" s="49">
        <v>1341.9779275022299</v>
      </c>
      <c r="W183" s="49">
        <v>1034.17498424006</v>
      </c>
      <c r="X183" s="49">
        <v>1010.65227177827</v>
      </c>
      <c r="Y183" s="4"/>
      <c r="Z183" s="69">
        <v>1.1827242076871201</v>
      </c>
      <c r="AA183" s="69">
        <v>1.34883519212596</v>
      </c>
      <c r="AB183" s="69">
        <v>1.2771785502299999</v>
      </c>
      <c r="AC183" s="69">
        <v>1.3684857736505101</v>
      </c>
      <c r="AD183" s="70">
        <v>1.3855843737301601</v>
      </c>
    </row>
    <row r="184" spans="1:30" ht="25.5" x14ac:dyDescent="0.25">
      <c r="A184" s="6">
        <v>244</v>
      </c>
      <c r="B184" s="3" t="s">
        <v>488</v>
      </c>
      <c r="C184" s="3" t="s">
        <v>489</v>
      </c>
      <c r="D184" s="4">
        <f>_xlfn.XLOOKUP(C184,[1]Planilha2!$C$3:$C$329,[1]Planilha2!$I$3:$I$329)</f>
        <v>25</v>
      </c>
      <c r="E184" s="7">
        <v>295016</v>
      </c>
      <c r="F184" s="7">
        <v>294915.33333333337</v>
      </c>
      <c r="G184" s="7">
        <v>294814.66666666669</v>
      </c>
      <c r="H184" s="7">
        <v>294714</v>
      </c>
      <c r="I184" s="7">
        <v>294891</v>
      </c>
      <c r="J184" s="4">
        <f>_xlfn.XLOOKUP(C184,[1]Planilha2!$C$3:$C$329,[1]Planilha2!$D$3:$D$329,"")</f>
        <v>29</v>
      </c>
      <c r="K184" s="8" t="s">
        <v>141</v>
      </c>
      <c r="L184" s="4">
        <f>_xlfn.XLOOKUP(C184,[1]Planilha2!$C$3:$C$329,[1]Planilha2!$J$3:$J$329,"")</f>
        <v>20</v>
      </c>
      <c r="M184" s="42">
        <v>0.66775595843326796</v>
      </c>
      <c r="N184" s="43">
        <v>0.65640470589432398</v>
      </c>
      <c r="O184" s="43">
        <v>0.63960297576633596</v>
      </c>
      <c r="P184" s="43">
        <v>0.62345105004900103</v>
      </c>
      <c r="Q184" s="67">
        <v>0.295466359091135</v>
      </c>
      <c r="R184" s="67">
        <v>0.80747080990995501</v>
      </c>
      <c r="S184" s="67">
        <v>0.84044719891818997</v>
      </c>
      <c r="T184" s="49">
        <v>1946.69725045421</v>
      </c>
      <c r="U184" s="49">
        <v>1710.61341509315</v>
      </c>
      <c r="V184" s="49">
        <v>1551.6836409767</v>
      </c>
      <c r="W184" s="49">
        <v>1307.7396409061</v>
      </c>
      <c r="X184" s="49">
        <v>1140.60323631443</v>
      </c>
      <c r="Y184" s="4"/>
      <c r="Z184" s="69">
        <v>6.0647591995010401</v>
      </c>
      <c r="AA184" s="69">
        <v>11.303979899315699</v>
      </c>
      <c r="AB184" s="69">
        <v>9.1967575109334199</v>
      </c>
      <c r="AC184" s="69">
        <v>8.8517613686489298</v>
      </c>
      <c r="AD184" s="70">
        <v>6.2190877307208403</v>
      </c>
    </row>
    <row r="185" spans="1:30" ht="25.5" x14ac:dyDescent="0.25">
      <c r="A185" s="6">
        <v>245</v>
      </c>
      <c r="B185" s="3" t="s">
        <v>490</v>
      </c>
      <c r="C185" s="3" t="s">
        <v>491</v>
      </c>
      <c r="D185" s="4">
        <f>_xlfn.XLOOKUP(C185,[1]Planilha2!$C$3:$C$329,[1]Planilha2!$I$3:$I$329)</f>
        <v>30</v>
      </c>
      <c r="E185" s="7">
        <v>277392</v>
      </c>
      <c r="F185" s="7" t="e">
        <v>#VALUE!</v>
      </c>
      <c r="G185" s="7" t="e">
        <v>#VALUE!</v>
      </c>
      <c r="H185" s="7">
        <v>289410</v>
      </c>
      <c r="I185" s="7">
        <v>289945</v>
      </c>
      <c r="J185" s="4">
        <f>_xlfn.XLOOKUP(C185,[1]Planilha2!$C$3:$C$329,[1]Planilha2!$D$3:$D$329,"")</f>
        <v>33</v>
      </c>
      <c r="K185" s="8" t="s">
        <v>141</v>
      </c>
      <c r="L185" s="4">
        <f>_xlfn.XLOOKUP(C185,[1]Planilha2!$C$3:$C$329,[1]Planilha2!$J$3:$J$329,"")</f>
        <v>16</v>
      </c>
      <c r="M185" s="42">
        <v>0.64023156241337897</v>
      </c>
      <c r="N185" s="43">
        <v>0.62631252808883797</v>
      </c>
      <c r="O185" s="43">
        <v>0.59281784285270001</v>
      </c>
      <c r="P185" s="43">
        <v>0.58963110348514403</v>
      </c>
      <c r="Q185" s="67">
        <v>0.44815783766169998</v>
      </c>
      <c r="R185" s="67">
        <v>0.75773915724143104</v>
      </c>
      <c r="S185" s="67">
        <v>0.86701668745590998</v>
      </c>
      <c r="T185" s="49">
        <v>1552.8416324551499</v>
      </c>
      <c r="U185" s="49">
        <v>1353.9160689959899</v>
      </c>
      <c r="V185" s="49">
        <v>1211.77588643934</v>
      </c>
      <c r="W185" s="49">
        <v>1008.35527524965</v>
      </c>
      <c r="X185" s="49">
        <v>908.39930738588396</v>
      </c>
      <c r="Y185" s="4"/>
      <c r="Z185" s="69">
        <v>5.2719040203034</v>
      </c>
      <c r="AA185" s="69">
        <v>5.0054975515106701</v>
      </c>
      <c r="AB185" s="69">
        <v>5.3900505949461097</v>
      </c>
      <c r="AC185" s="69">
        <v>4.6648802736602004</v>
      </c>
      <c r="AD185" s="70">
        <v>4.2743175429822902</v>
      </c>
    </row>
    <row r="186" spans="1:30" x14ac:dyDescent="0.25">
      <c r="A186" s="6">
        <v>246</v>
      </c>
      <c r="B186" s="3" t="s">
        <v>492</v>
      </c>
      <c r="C186" s="3" t="s">
        <v>493</v>
      </c>
      <c r="D186" s="4">
        <f>_xlfn.XLOOKUP(C186,[1]Planilha2!$C$3:$C$329,[1]Planilha2!$I$3:$I$329)</f>
        <v>19</v>
      </c>
      <c r="E186" s="7">
        <v>380847</v>
      </c>
      <c r="F186" s="7">
        <v>384081.66666666674</v>
      </c>
      <c r="G186" s="7">
        <v>387316.33333333326</v>
      </c>
      <c r="H186" s="7">
        <v>390551</v>
      </c>
      <c r="I186" s="7">
        <v>388893</v>
      </c>
      <c r="J186" s="4">
        <f>_xlfn.XLOOKUP(C186,[1]Planilha2!$C$3:$C$329,[1]Planilha2!$D$3:$D$329,"")</f>
        <v>17</v>
      </c>
      <c r="K186" s="8" t="s">
        <v>141</v>
      </c>
      <c r="L186" s="4">
        <f>_xlfn.XLOOKUP(C186,[1]Planilha2!$C$3:$C$329,[1]Planilha2!$J$3:$J$329,"")</f>
        <v>10</v>
      </c>
      <c r="M186" s="42">
        <v>0.714527531991894</v>
      </c>
      <c r="N186" s="43">
        <v>0.68903427637529702</v>
      </c>
      <c r="O186" s="43">
        <v>0.65740557648040798</v>
      </c>
      <c r="P186" s="43">
        <v>0.65784213678312498</v>
      </c>
      <c r="Q186" s="67">
        <v>0.589612836019481</v>
      </c>
      <c r="R186" s="67">
        <v>0.81541132614254197</v>
      </c>
      <c r="S186" s="67">
        <v>0.93063773754269796</v>
      </c>
      <c r="T186" s="49">
        <v>1798.3034727331401</v>
      </c>
      <c r="U186" s="49">
        <v>1502.94529699847</v>
      </c>
      <c r="V186" s="49">
        <v>1366.5268785979399</v>
      </c>
      <c r="W186" s="49">
        <v>1180.2185552207</v>
      </c>
      <c r="X186" s="49">
        <v>1135.174121905</v>
      </c>
      <c r="Y186" s="4"/>
      <c r="Z186" s="69">
        <v>15.5209178489</v>
      </c>
      <c r="AA186" s="69">
        <v>14.9157861392325</v>
      </c>
      <c r="AB186" s="69">
        <v>13.4828266989343</v>
      </c>
      <c r="AC186" s="69">
        <v>11.017278153173301</v>
      </c>
      <c r="AD186" s="70">
        <v>10.148292718048401</v>
      </c>
    </row>
    <row r="187" spans="1:30" ht="25.5" x14ac:dyDescent="0.25">
      <c r="A187" s="6">
        <v>247</v>
      </c>
      <c r="B187" s="3" t="s">
        <v>187</v>
      </c>
      <c r="C187" s="3" t="s">
        <v>188</v>
      </c>
      <c r="D187" s="4">
        <f>_xlfn.XLOOKUP(C187,[1]Planilha2!$C$3:$C$329,[1]Planilha2!$I$3:$I$329)</f>
        <v>14</v>
      </c>
      <c r="E187" s="7">
        <v>127365</v>
      </c>
      <c r="F187" s="7">
        <v>125041</v>
      </c>
      <c r="G187" s="7">
        <v>122717</v>
      </c>
      <c r="H187" s="7">
        <v>120393</v>
      </c>
      <c r="I187" s="7">
        <v>119718</v>
      </c>
      <c r="J187" s="4">
        <f>_xlfn.XLOOKUP(C187,[1]Planilha2!$C$3:$C$329,[1]Planilha2!$D$3:$D$329,"")</f>
        <v>8</v>
      </c>
      <c r="K187" s="8" t="s">
        <v>141</v>
      </c>
      <c r="L187" s="4">
        <f>_xlfn.XLOOKUP(C187,[1]Planilha2!$C$3:$C$329,[1]Planilha2!$J$3:$J$329,"")</f>
        <v>22</v>
      </c>
      <c r="M187" s="42">
        <v>0.54730847108814995</v>
      </c>
      <c r="N187" s="43">
        <v>0.51186379474726396</v>
      </c>
      <c r="O187" s="43">
        <v>0.48674544699442701</v>
      </c>
      <c r="P187" s="43">
        <v>0.48905222439399298</v>
      </c>
      <c r="Q187" s="67">
        <v>7.3685008053760506E-2</v>
      </c>
      <c r="R187" s="67">
        <v>0.68735909721826105</v>
      </c>
      <c r="S187" s="67">
        <v>0.83758401851414199</v>
      </c>
      <c r="T187" s="49">
        <v>2302.41714003062</v>
      </c>
      <c r="U187" s="49">
        <v>3375.6596531004502</v>
      </c>
      <c r="V187" s="49">
        <v>1816.65668125307</v>
      </c>
      <c r="W187" s="49">
        <v>1576.7709699899499</v>
      </c>
      <c r="X187" s="49">
        <v>1485.5228691591899</v>
      </c>
      <c r="Y187" s="4"/>
      <c r="Z187" s="69">
        <v>5.6585404153417302</v>
      </c>
      <c r="AA187" s="69">
        <v>4.3813069313265203</v>
      </c>
      <c r="AB187" s="69">
        <v>3.6615301873416102</v>
      </c>
      <c r="AC187" s="69">
        <v>4.2220810179993897</v>
      </c>
      <c r="AD187" s="70">
        <v>3.6794132878932202</v>
      </c>
    </row>
    <row r="188" spans="1:30" x14ac:dyDescent="0.25">
      <c r="A188" s="6">
        <v>248</v>
      </c>
      <c r="B188" s="3" t="s">
        <v>189</v>
      </c>
      <c r="C188" s="3" t="s">
        <v>190</v>
      </c>
      <c r="D188" s="4">
        <f>_xlfn.XLOOKUP(C188,[1]Planilha2!$C$3:$C$329,[1]Planilha2!$I$3:$I$329)</f>
        <v>19</v>
      </c>
      <c r="E188" s="7">
        <v>346413</v>
      </c>
      <c r="F188" s="7">
        <v>347684.66666666669</v>
      </c>
      <c r="G188" s="7">
        <v>348956.33333333331</v>
      </c>
      <c r="H188" s="7">
        <v>350228</v>
      </c>
      <c r="I188" s="7">
        <v>347751</v>
      </c>
      <c r="J188" s="4">
        <f>_xlfn.XLOOKUP(C188,[1]Planilha2!$C$3:$C$329,[1]Planilha2!$D$3:$D$329,"")</f>
        <v>30</v>
      </c>
      <c r="K188" s="8" t="s">
        <v>141</v>
      </c>
      <c r="L188" s="4">
        <f>_xlfn.XLOOKUP(C188,[1]Planilha2!$C$3:$C$329,[1]Planilha2!$J$3:$J$329,"")</f>
        <v>27</v>
      </c>
      <c r="M188" s="42">
        <v>0.72216892672862598</v>
      </c>
      <c r="N188" s="43">
        <v>0.70473735271557403</v>
      </c>
      <c r="O188" s="43">
        <v>0.68083002672544801</v>
      </c>
      <c r="P188" s="43">
        <v>0.65792109756693695</v>
      </c>
      <c r="Q188" s="67">
        <v>0.37615005592867901</v>
      </c>
      <c r="R188" s="67">
        <v>0.72078251452665099</v>
      </c>
      <c r="S188" s="67">
        <v>0.92639637347175197</v>
      </c>
      <c r="T188" s="49">
        <v>1603.1721304339001</v>
      </c>
      <c r="U188" s="49">
        <v>1349.1132379723399</v>
      </c>
      <c r="V188" s="49">
        <v>1184.6189963787299</v>
      </c>
      <c r="W188" s="49">
        <v>988.33829431113497</v>
      </c>
      <c r="X188" s="49">
        <v>911.14550810781304</v>
      </c>
      <c r="Y188" s="4"/>
      <c r="Z188" s="69">
        <v>5.7985958956505703</v>
      </c>
      <c r="AA188" s="69">
        <v>5.82577603844096</v>
      </c>
      <c r="AB188" s="69">
        <v>6.1078960213742102</v>
      </c>
      <c r="AC188" s="69">
        <v>4.3362323971812602</v>
      </c>
      <c r="AD188" s="70">
        <v>3.9038622462624102</v>
      </c>
    </row>
    <row r="189" spans="1:30" ht="25.5" x14ac:dyDescent="0.25">
      <c r="A189" s="6">
        <v>249</v>
      </c>
      <c r="B189" s="3" t="s">
        <v>494</v>
      </c>
      <c r="C189" s="3" t="s">
        <v>495</v>
      </c>
      <c r="D189" s="4">
        <f>_xlfn.XLOOKUP(C189,[1]Planilha2!$C$3:$C$329,[1]Planilha2!$I$3:$I$329)</f>
        <v>7</v>
      </c>
      <c r="E189" s="7">
        <v>68945</v>
      </c>
      <c r="F189" s="7">
        <v>67280.333333333343</v>
      </c>
      <c r="G189" s="7">
        <v>65615.666666666657</v>
      </c>
      <c r="H189" s="7">
        <v>63951</v>
      </c>
      <c r="I189" s="7">
        <v>63664</v>
      </c>
      <c r="J189" s="4">
        <f>_xlfn.XLOOKUP(C189,[1]Planilha2!$C$3:$C$329,[1]Planilha2!$D$3:$D$329,"")</f>
        <v>7</v>
      </c>
      <c r="K189" s="8" t="s">
        <v>141</v>
      </c>
      <c r="L189" s="4">
        <f>_xlfn.XLOOKUP(C189,[1]Planilha2!$C$3:$C$329,[1]Planilha2!$J$3:$J$329,"")</f>
        <v>8</v>
      </c>
      <c r="M189" s="42">
        <v>0.714508753920165</v>
      </c>
      <c r="N189" s="43">
        <v>0.68514705735926895</v>
      </c>
      <c r="O189" s="43">
        <v>0.68907844287032305</v>
      </c>
      <c r="P189" s="43">
        <v>0.66126759864287499</v>
      </c>
      <c r="Q189" s="67">
        <v>0.324925797192744</v>
      </c>
      <c r="R189" s="67">
        <v>0.74793863965414797</v>
      </c>
      <c r="S189" s="67">
        <v>0.99351798503406197</v>
      </c>
      <c r="T189" s="49">
        <v>1642.51579824498</v>
      </c>
      <c r="U189" s="49">
        <v>1551.4902601057299</v>
      </c>
      <c r="V189" s="49">
        <v>1389.99202888538</v>
      </c>
      <c r="W189" s="49">
        <v>1278.61242216697</v>
      </c>
      <c r="X189" s="49">
        <v>1115.75949610455</v>
      </c>
      <c r="Y189" s="4"/>
      <c r="Z189" s="69">
        <v>1.62509246500834</v>
      </c>
      <c r="AA189" s="69">
        <v>2.02326583796156</v>
      </c>
      <c r="AB189" s="69">
        <v>2.3346710897295901</v>
      </c>
      <c r="AC189" s="69">
        <v>11.073165392253401</v>
      </c>
      <c r="AD189" s="70">
        <v>1.80491329479769</v>
      </c>
    </row>
    <row r="190" spans="1:30" x14ac:dyDescent="0.25">
      <c r="A190" s="6">
        <v>250</v>
      </c>
      <c r="B190" s="3" t="s">
        <v>191</v>
      </c>
      <c r="C190" s="3" t="s">
        <v>192</v>
      </c>
      <c r="D190" s="4">
        <f>_xlfn.XLOOKUP(C190,[1]Planilha2!$C$3:$C$329,[1]Planilha2!$I$3:$I$329)</f>
        <v>18</v>
      </c>
      <c r="E190" s="7">
        <v>290403</v>
      </c>
      <c r="F190" s="7">
        <v>296290.66666666669</v>
      </c>
      <c r="G190" s="7">
        <v>302178.33333333331</v>
      </c>
      <c r="H190" s="7">
        <v>308066</v>
      </c>
      <c r="I190" s="7">
        <v>307273</v>
      </c>
      <c r="J190" s="4">
        <f>_xlfn.XLOOKUP(C190,[1]Planilha2!$C$3:$C$329,[1]Planilha2!$D$3:$D$329,"")</f>
        <v>14</v>
      </c>
      <c r="K190" s="8" t="s">
        <v>141</v>
      </c>
      <c r="L190" s="4">
        <f>_xlfn.XLOOKUP(C190,[1]Planilha2!$C$3:$C$329,[1]Planilha2!$J$3:$J$329,"")</f>
        <v>25</v>
      </c>
      <c r="M190" s="42">
        <v>0.62934696919241495</v>
      </c>
      <c r="N190" s="43">
        <v>0.60489625883170495</v>
      </c>
      <c r="O190" s="43">
        <v>0.57582817675433196</v>
      </c>
      <c r="P190" s="43">
        <v>0.56266127645448805</v>
      </c>
      <c r="Q190" s="67">
        <v>0.63624598642082197</v>
      </c>
      <c r="R190" s="67">
        <v>0.73444942776616495</v>
      </c>
      <c r="S190" s="67">
        <v>0.8886932335762</v>
      </c>
      <c r="T190" s="49">
        <v>1245.6136458645401</v>
      </c>
      <c r="U190" s="49">
        <v>1005.85014540901</v>
      </c>
      <c r="V190" s="49">
        <v>883.78894564467998</v>
      </c>
      <c r="W190" s="49">
        <v>720.07478838950101</v>
      </c>
      <c r="X190" s="49">
        <v>669.37317984333197</v>
      </c>
      <c r="Y190" s="4"/>
      <c r="Z190" s="69">
        <v>3.0865452491881999</v>
      </c>
      <c r="AA190" s="69">
        <v>2.1119531271094099</v>
      </c>
      <c r="AB190" s="69">
        <v>2.3485767234580002</v>
      </c>
      <c r="AC190" s="69">
        <v>2.1466601312705702</v>
      </c>
      <c r="AD190" s="70">
        <v>2.4523241547418699</v>
      </c>
    </row>
    <row r="191" spans="1:30" x14ac:dyDescent="0.25">
      <c r="A191" s="6">
        <v>251</v>
      </c>
      <c r="B191" s="3" t="s">
        <v>496</v>
      </c>
      <c r="C191" s="3" t="s">
        <v>497</v>
      </c>
      <c r="D191" s="4">
        <f>_xlfn.XLOOKUP(C191,[1]Planilha2!$C$3:$C$329,[1]Planilha2!$I$3:$I$329)</f>
        <v>15</v>
      </c>
      <c r="E191" s="7">
        <v>837269</v>
      </c>
      <c r="F191" s="7">
        <v>847131.33333333337</v>
      </c>
      <c r="G191" s="7">
        <v>856993.66666666663</v>
      </c>
      <c r="H191" s="7">
        <v>866856</v>
      </c>
      <c r="I191" s="7">
        <v>865419</v>
      </c>
      <c r="J191" s="4">
        <f>_xlfn.XLOOKUP(C191,[1]Planilha2!$C$3:$C$329,[1]Planilha2!$D$3:$D$329,"")</f>
        <v>20</v>
      </c>
      <c r="K191" s="8" t="s">
        <v>141</v>
      </c>
      <c r="L191" s="4">
        <f>_xlfn.XLOOKUP(C191,[1]Planilha2!$C$3:$C$329,[1]Planilha2!$J$3:$J$329,"")</f>
        <v>31</v>
      </c>
      <c r="M191" s="42">
        <v>0.64073206161657703</v>
      </c>
      <c r="N191" s="43">
        <v>0.62339790570214304</v>
      </c>
      <c r="O191" s="43">
        <v>0.60566595720627203</v>
      </c>
      <c r="P191" s="43">
        <v>0.58344662539186198</v>
      </c>
      <c r="Q191" s="67">
        <v>0.59549786474501398</v>
      </c>
      <c r="R191" s="67">
        <v>0.848923679677135</v>
      </c>
      <c r="S191" s="67">
        <v>0.92482717908067003</v>
      </c>
      <c r="T191" s="49">
        <v>1380.2195851751301</v>
      </c>
      <c r="U191" s="49">
        <v>1140.6232301721</v>
      </c>
      <c r="V191" s="49">
        <v>1049.49355943509</v>
      </c>
      <c r="W191" s="49">
        <v>895.43704283064301</v>
      </c>
      <c r="X191" s="49">
        <v>795.99647821459905</v>
      </c>
      <c r="Y191" s="4"/>
      <c r="Z191" s="69">
        <v>5.1589501104185196</v>
      </c>
      <c r="AA191" s="69">
        <v>5.4181504324004903</v>
      </c>
      <c r="AB191" s="69">
        <v>5.1472364050920598</v>
      </c>
      <c r="AC191" s="69">
        <v>5.0750470666408303</v>
      </c>
      <c r="AD191" s="70">
        <v>2.9847542057662202</v>
      </c>
    </row>
    <row r="192" spans="1:30" ht="25.5" x14ac:dyDescent="0.25">
      <c r="A192" s="6">
        <v>252</v>
      </c>
      <c r="B192" s="3" t="s">
        <v>498</v>
      </c>
      <c r="C192" s="3" t="s">
        <v>499</v>
      </c>
      <c r="D192" s="4">
        <f>_xlfn.XLOOKUP(C192,[1]Planilha2!$C$3:$C$329,[1]Planilha2!$I$3:$I$329)</f>
        <v>15</v>
      </c>
      <c r="E192" s="7">
        <v>58955</v>
      </c>
      <c r="F192" s="7">
        <v>60364</v>
      </c>
      <c r="G192" s="7">
        <v>61773</v>
      </c>
      <c r="H192" s="7">
        <v>63182</v>
      </c>
      <c r="I192" s="7">
        <v>63092</v>
      </c>
      <c r="J192" s="4">
        <f>_xlfn.XLOOKUP(C192,[1]Planilha2!$C$3:$C$329,[1]Planilha2!$D$3:$D$329,"")</f>
        <v>7</v>
      </c>
      <c r="K192" s="8" t="s">
        <v>141</v>
      </c>
      <c r="L192" s="4">
        <f>_xlfn.XLOOKUP(C192,[1]Planilha2!$C$3:$C$329,[1]Planilha2!$J$3:$J$329,"")</f>
        <v>7</v>
      </c>
      <c r="M192" s="42">
        <v>0.56193362876328001</v>
      </c>
      <c r="N192" s="43">
        <v>0.55500000053960996</v>
      </c>
      <c r="O192" s="43">
        <v>0.52190037827229296</v>
      </c>
      <c r="P192" s="43">
        <v>0.50733069485830196</v>
      </c>
      <c r="Q192" s="67">
        <v>0.52788193547342699</v>
      </c>
      <c r="R192" s="67">
        <v>0.69829714168541801</v>
      </c>
      <c r="S192" s="67">
        <v>0.76685196552970802</v>
      </c>
      <c r="T192" s="49">
        <v>1646.13771062675</v>
      </c>
      <c r="U192" s="49">
        <v>1494.4490717977601</v>
      </c>
      <c r="V192" s="49">
        <v>1248.5378773898001</v>
      </c>
      <c r="W192" s="49">
        <v>1013.17939270678</v>
      </c>
      <c r="X192" s="49">
        <v>888.89431211564101</v>
      </c>
      <c r="Y192" s="4"/>
      <c r="Z192" s="69">
        <v>1.55633958103638</v>
      </c>
      <c r="AA192" s="69">
        <v>1.50563249618978</v>
      </c>
      <c r="AB192" s="69">
        <v>1.6117397568517</v>
      </c>
      <c r="AC192" s="69">
        <v>1.67728150422589</v>
      </c>
      <c r="AD192" s="70">
        <v>2.1780732897990198</v>
      </c>
    </row>
    <row r="193" spans="1:30" ht="25.5" x14ac:dyDescent="0.25">
      <c r="A193" s="6">
        <v>253</v>
      </c>
      <c r="B193" s="3" t="s">
        <v>500</v>
      </c>
      <c r="C193" s="3" t="s">
        <v>501</v>
      </c>
      <c r="D193" s="4">
        <f>_xlfn.XLOOKUP(C193,[1]Planilha2!$C$3:$C$329,[1]Planilha2!$I$3:$I$329)</f>
        <v>13</v>
      </c>
      <c r="E193" s="7">
        <v>881764</v>
      </c>
      <c r="F193" s="7">
        <v>896692.99999999977</v>
      </c>
      <c r="G193" s="7">
        <v>911622.00000000023</v>
      </c>
      <c r="H193" s="7">
        <v>926551</v>
      </c>
      <c r="I193" s="7">
        <v>916578</v>
      </c>
      <c r="J193" s="4">
        <f>_xlfn.XLOOKUP(C193,[1]Planilha2!$C$3:$C$329,[1]Planilha2!$D$3:$D$329,"")</f>
        <v>22</v>
      </c>
      <c r="K193" s="8" t="s">
        <v>141</v>
      </c>
      <c r="L193" s="4">
        <f>_xlfn.XLOOKUP(C193,[1]Planilha2!$C$3:$C$329,[1]Planilha2!$J$3:$J$329,"")</f>
        <v>47</v>
      </c>
      <c r="M193" s="42">
        <v>0.81134425126548304</v>
      </c>
      <c r="N193" s="43">
        <v>0.79425133271611803</v>
      </c>
      <c r="O193" s="43">
        <v>0.78581362893138096</v>
      </c>
      <c r="P193" s="43">
        <v>0.75757656969728704</v>
      </c>
      <c r="Q193" s="67">
        <v>0.82703463094718299</v>
      </c>
      <c r="R193" s="67">
        <v>0.92835702824196897</v>
      </c>
      <c r="S193" s="67">
        <v>0.99063602300807396</v>
      </c>
      <c r="T193" s="49">
        <v>1841.93423958111</v>
      </c>
      <c r="U193" s="49">
        <v>1475.59499247792</v>
      </c>
      <c r="V193" s="49">
        <v>1279.321597826</v>
      </c>
      <c r="W193" s="49">
        <v>1197.4989606940101</v>
      </c>
      <c r="X193" s="49">
        <v>1096.1076135364401</v>
      </c>
      <c r="Y193" s="4"/>
      <c r="Z193" s="69">
        <v>10.9459991562368</v>
      </c>
      <c r="AA193" s="69">
        <v>9.6608203699593993</v>
      </c>
      <c r="AB193" s="69">
        <v>9.8770016520004997</v>
      </c>
      <c r="AC193" s="69">
        <v>9.4581841690311705</v>
      </c>
      <c r="AD193" s="70">
        <v>8.3341559583581493</v>
      </c>
    </row>
    <row r="194" spans="1:30" x14ac:dyDescent="0.25">
      <c r="A194" s="6">
        <v>254</v>
      </c>
      <c r="B194" s="3" t="s">
        <v>193</v>
      </c>
      <c r="C194" s="3" t="s">
        <v>194</v>
      </c>
      <c r="D194" s="4">
        <f>_xlfn.XLOOKUP(C194,[1]Planilha2!$C$3:$C$329,[1]Planilha2!$I$3:$I$329)</f>
        <v>27</v>
      </c>
      <c r="E194" s="7">
        <v>294066</v>
      </c>
      <c r="F194" s="7">
        <v>291997.66666666674</v>
      </c>
      <c r="G194" s="7">
        <v>289929.33333333326</v>
      </c>
      <c r="H194" s="7">
        <v>287861</v>
      </c>
      <c r="I194" s="7">
        <v>286287</v>
      </c>
      <c r="J194" s="4">
        <f>_xlfn.XLOOKUP(C194,[1]Planilha2!$C$3:$C$329,[1]Planilha2!$D$3:$D$329,"")</f>
        <v>19</v>
      </c>
      <c r="K194" s="8" t="s">
        <v>141</v>
      </c>
      <c r="L194" s="4">
        <f>_xlfn.XLOOKUP(C194,[1]Planilha2!$C$3:$C$329,[1]Planilha2!$J$3:$J$329,"")</f>
        <v>1</v>
      </c>
      <c r="M194" s="42">
        <v>0.67970464079050796</v>
      </c>
      <c r="N194" s="43">
        <v>0.65079203254126305</v>
      </c>
      <c r="O194" s="43">
        <v>0.624918425212168</v>
      </c>
      <c r="P194" s="43">
        <v>0.61466668867255603</v>
      </c>
      <c r="Q194" s="67">
        <v>0.28174667551173399</v>
      </c>
      <c r="R194" s="67">
        <v>0.68078891454009505</v>
      </c>
      <c r="S194" s="67">
        <v>0.84812409437702097</v>
      </c>
      <c r="T194" s="49">
        <v>1592.21736991016</v>
      </c>
      <c r="U194" s="49">
        <v>1400.20868826577</v>
      </c>
      <c r="V194" s="49">
        <v>1231.25832117712</v>
      </c>
      <c r="W194" s="49">
        <v>1056.94749795908</v>
      </c>
      <c r="X194" s="49">
        <v>1024.9917752465201</v>
      </c>
      <c r="Y194" s="4"/>
      <c r="Z194" s="69">
        <v>12.916851999211101</v>
      </c>
      <c r="AA194" s="69">
        <v>10.974673313599499</v>
      </c>
      <c r="AB194" s="69">
        <v>12.357290512170801</v>
      </c>
      <c r="AC194" s="69">
        <v>9.4345534824099104</v>
      </c>
      <c r="AD194" s="70">
        <v>7.3920646064962803</v>
      </c>
    </row>
    <row r="195" spans="1:30" x14ac:dyDescent="0.25">
      <c r="A195" s="6">
        <v>255</v>
      </c>
      <c r="B195" s="3" t="s">
        <v>502</v>
      </c>
      <c r="C195" s="3" t="s">
        <v>503</v>
      </c>
      <c r="D195" s="4">
        <f>_xlfn.XLOOKUP(C195,[1]Planilha2!$C$3:$C$329,[1]Planilha2!$I$3:$I$329)</f>
        <v>9</v>
      </c>
      <c r="E195" s="7">
        <v>56074</v>
      </c>
      <c r="F195" s="7">
        <v>54599.666666666672</v>
      </c>
      <c r="G195" s="7">
        <v>53125.333333333328</v>
      </c>
      <c r="H195" s="7">
        <v>51651</v>
      </c>
      <c r="I195" s="7">
        <v>51249</v>
      </c>
      <c r="J195" s="4">
        <f>_xlfn.XLOOKUP(C195,[1]Planilha2!$C$3:$C$329,[1]Planilha2!$D$3:$D$329,"")</f>
        <v>5</v>
      </c>
      <c r="K195" s="8" t="s">
        <v>141</v>
      </c>
      <c r="L195" s="4">
        <f>_xlfn.XLOOKUP(C195,[1]Planilha2!$C$3:$C$329,[1]Planilha2!$J$3:$J$329,"")</f>
        <v>25</v>
      </c>
      <c r="M195" s="42">
        <v>0.75525426712006805</v>
      </c>
      <c r="N195" s="43">
        <v>0.70919820926613797</v>
      </c>
      <c r="O195" s="43">
        <v>0.71350442392209201</v>
      </c>
      <c r="P195" s="43">
        <v>0.67532229311791403</v>
      </c>
      <c r="Q195" s="67">
        <v>0.38896165420138501</v>
      </c>
      <c r="R195" s="67">
        <v>0.78921835721815103</v>
      </c>
      <c r="S195" s="67">
        <v>0.93200340640999901</v>
      </c>
      <c r="T195" s="49">
        <v>2411.2234638156701</v>
      </c>
      <c r="U195" s="49">
        <v>2374.10133163206</v>
      </c>
      <c r="V195" s="49">
        <v>1969.0639519752001</v>
      </c>
      <c r="W195" s="49">
        <v>1743.31577665486</v>
      </c>
      <c r="X195" s="49">
        <v>1818.9808710413899</v>
      </c>
      <c r="Y195" s="4"/>
      <c r="Z195" s="69">
        <v>21.418464885686799</v>
      </c>
      <c r="AA195" s="69">
        <v>23.721097198395601</v>
      </c>
      <c r="AB195" s="69">
        <v>16.303878877622701</v>
      </c>
      <c r="AC195" s="69">
        <v>13.6878860041432</v>
      </c>
      <c r="AD195" s="70">
        <v>9.9879022029698099</v>
      </c>
    </row>
    <row r="196" spans="1:30" x14ac:dyDescent="0.25">
      <c r="A196" s="6">
        <v>256</v>
      </c>
      <c r="B196" s="3" t="s">
        <v>504</v>
      </c>
      <c r="C196" s="3" t="s">
        <v>505</v>
      </c>
      <c r="D196" s="4">
        <f>_xlfn.XLOOKUP(C196,[1]Planilha2!$C$3:$C$329,[1]Planilha2!$I$3:$I$329)</f>
        <v>28</v>
      </c>
      <c r="E196" s="7">
        <v>92902</v>
      </c>
      <c r="F196" s="7">
        <v>91689.666666666642</v>
      </c>
      <c r="G196" s="7">
        <v>90477.333333333358</v>
      </c>
      <c r="H196" s="7">
        <v>89265</v>
      </c>
      <c r="I196" s="7">
        <v>89496</v>
      </c>
      <c r="J196" s="4">
        <f>_xlfn.XLOOKUP(C196,[1]Planilha2!$C$3:$C$329,[1]Planilha2!$D$3:$D$329,"")</f>
        <v>16</v>
      </c>
      <c r="K196" s="8" t="s">
        <v>141</v>
      </c>
      <c r="L196" s="4">
        <f>_xlfn.XLOOKUP(C196,[1]Planilha2!$C$3:$C$329,[1]Planilha2!$J$3:$J$329,"")</f>
        <v>1</v>
      </c>
      <c r="M196" s="42">
        <v>0.70912711465123301</v>
      </c>
      <c r="N196" s="43">
        <v>0.71044659914822095</v>
      </c>
      <c r="O196" s="43">
        <v>0.67471737411079302</v>
      </c>
      <c r="P196" s="43">
        <v>0.67496905783498695</v>
      </c>
      <c r="Q196" s="67">
        <v>9.4442420201008001E-2</v>
      </c>
      <c r="R196" s="67">
        <v>0.68465053862477498</v>
      </c>
      <c r="S196" s="67">
        <v>0.77841935622918401</v>
      </c>
      <c r="T196" s="49">
        <v>1796.0937146670699</v>
      </c>
      <c r="U196" s="49">
        <v>1642.45388771545</v>
      </c>
      <c r="V196" s="49">
        <v>1538.3414898022299</v>
      </c>
      <c r="W196" s="49">
        <v>1212.2303228589001</v>
      </c>
      <c r="X196" s="49">
        <v>1104.66714255386</v>
      </c>
      <c r="Y196" s="4"/>
      <c r="Z196" s="69">
        <v>16.037631052076399</v>
      </c>
      <c r="AA196" s="69">
        <v>16.799733884952499</v>
      </c>
      <c r="AB196" s="69">
        <v>12.2434200831147</v>
      </c>
      <c r="AC196" s="69">
        <v>10.1722399596706</v>
      </c>
      <c r="AD196" s="70">
        <v>8.0688745865737008</v>
      </c>
    </row>
    <row r="197" spans="1:30" x14ac:dyDescent="0.25">
      <c r="A197" s="6">
        <v>257</v>
      </c>
      <c r="B197" s="3" t="s">
        <v>506</v>
      </c>
      <c r="C197" s="3" t="s">
        <v>507</v>
      </c>
      <c r="D197" s="4">
        <f>_xlfn.XLOOKUP(C197,[1]Planilha2!$C$3:$C$329,[1]Planilha2!$I$3:$I$329)</f>
        <v>13</v>
      </c>
      <c r="E197" s="7">
        <v>123304</v>
      </c>
      <c r="F197" s="7">
        <v>120364.33333333333</v>
      </c>
      <c r="G197" s="7">
        <v>117424.66666666667</v>
      </c>
      <c r="H197" s="7">
        <v>114485</v>
      </c>
      <c r="I197" s="7">
        <v>114116</v>
      </c>
      <c r="J197" s="4">
        <f>_xlfn.XLOOKUP(C197,[1]Planilha2!$C$3:$C$329,[1]Planilha2!$D$3:$D$329,"")</f>
        <v>17</v>
      </c>
      <c r="K197" s="8" t="s">
        <v>141</v>
      </c>
      <c r="L197" s="4">
        <f>_xlfn.XLOOKUP(C197,[1]Planilha2!$C$3:$C$329,[1]Planilha2!$J$3:$J$329,"")</f>
        <v>24</v>
      </c>
      <c r="M197" s="42">
        <v>0.70709640701979803</v>
      </c>
      <c r="N197" s="43">
        <v>0.69894585578271495</v>
      </c>
      <c r="O197" s="43">
        <v>0.67471877451194495</v>
      </c>
      <c r="P197" s="43">
        <v>0.67250700953415798</v>
      </c>
      <c r="Q197" s="67">
        <v>0.46013997428138298</v>
      </c>
      <c r="R197" s="67">
        <v>0.71678790401789505</v>
      </c>
      <c r="S197" s="67">
        <v>0.84833745692273599</v>
      </c>
      <c r="T197" s="49">
        <v>1809.29490778888</v>
      </c>
      <c r="U197" s="49">
        <v>1805.1291456771501</v>
      </c>
      <c r="V197" s="49">
        <v>1611.5947403441601</v>
      </c>
      <c r="W197" s="49">
        <v>1267.64613128357</v>
      </c>
      <c r="X197" s="49">
        <v>1187.6294779873101</v>
      </c>
      <c r="Y197" s="4"/>
      <c r="Z197" s="69">
        <v>12.8030315318238</v>
      </c>
      <c r="AA197" s="69">
        <v>11.727460792649</v>
      </c>
      <c r="AB197" s="69">
        <v>12.480640069945601</v>
      </c>
      <c r="AC197" s="69">
        <v>14.095942699917</v>
      </c>
      <c r="AD197" s="70">
        <v>8.0264204844193596</v>
      </c>
    </row>
    <row r="198" spans="1:30" ht="25.5" x14ac:dyDescent="0.25">
      <c r="A198" s="6">
        <v>258</v>
      </c>
      <c r="B198" s="3" t="s">
        <v>508</v>
      </c>
      <c r="C198" s="3" t="s">
        <v>509</v>
      </c>
      <c r="D198" s="4">
        <f>_xlfn.XLOOKUP(C198,[1]Planilha2!$C$3:$C$329,[1]Planilha2!$I$3:$I$329)</f>
        <v>16</v>
      </c>
      <c r="E198" s="7">
        <v>362696</v>
      </c>
      <c r="F198" s="7">
        <v>363368</v>
      </c>
      <c r="G198" s="7">
        <v>364040</v>
      </c>
      <c r="H198" s="7">
        <v>364712</v>
      </c>
      <c r="I198" s="7">
        <v>362442</v>
      </c>
      <c r="J198" s="4">
        <f>_xlfn.XLOOKUP(C198,[1]Planilha2!$C$3:$C$329,[1]Planilha2!$D$3:$D$329,"")</f>
        <v>27</v>
      </c>
      <c r="K198" s="8" t="s">
        <v>141</v>
      </c>
      <c r="L198" s="4">
        <f>_xlfn.XLOOKUP(C198,[1]Planilha2!$C$3:$C$329,[1]Planilha2!$J$3:$J$329,"")</f>
        <v>1</v>
      </c>
      <c r="M198" s="42">
        <v>0.75478657320769404</v>
      </c>
      <c r="N198" s="43">
        <v>0.74151345374134703</v>
      </c>
      <c r="O198" s="43">
        <v>0.71803045361819695</v>
      </c>
      <c r="P198" s="43">
        <v>0.72397423505002201</v>
      </c>
      <c r="Q198" s="67">
        <v>0.49644646000439502</v>
      </c>
      <c r="R198" s="67">
        <v>0.83561087820019797</v>
      </c>
      <c r="S198" s="67">
        <v>0.93625628612240397</v>
      </c>
      <c r="T198" s="49">
        <v>1504.9445934611899</v>
      </c>
      <c r="U198" s="49">
        <v>1320.7489968938701</v>
      </c>
      <c r="V198" s="49">
        <v>1199.7401064901301</v>
      </c>
      <c r="W198" s="49">
        <v>1000.38245640396</v>
      </c>
      <c r="X198" s="49">
        <v>931.97769734192002</v>
      </c>
      <c r="Y198" s="4"/>
      <c r="Z198" s="69">
        <v>14.575878973024199</v>
      </c>
      <c r="AA198" s="69">
        <v>13.734500561414301</v>
      </c>
      <c r="AB198" s="69">
        <v>14.1252060213163</v>
      </c>
      <c r="AC198" s="69">
        <v>11.630662001798701</v>
      </c>
      <c r="AD198" s="70">
        <v>8.7662357011604595</v>
      </c>
    </row>
    <row r="199" spans="1:30" ht="25.5" x14ac:dyDescent="0.25">
      <c r="A199" s="6">
        <v>259</v>
      </c>
      <c r="B199" s="3" t="s">
        <v>510</v>
      </c>
      <c r="C199" s="3" t="s">
        <v>511</v>
      </c>
      <c r="D199" s="4">
        <f>_xlfn.XLOOKUP(C199,[1]Planilha2!$C$3:$C$329,[1]Planilha2!$I$3:$I$329)</f>
        <v>3</v>
      </c>
      <c r="E199" s="7">
        <v>438575</v>
      </c>
      <c r="F199" s="7">
        <v>407232</v>
      </c>
      <c r="G199" s="7">
        <v>375889</v>
      </c>
      <c r="H199" s="7">
        <v>344546</v>
      </c>
      <c r="I199" s="7">
        <v>339010</v>
      </c>
      <c r="J199" s="4">
        <f>_xlfn.XLOOKUP(C199,[1]Planilha2!$C$3:$C$329,[1]Planilha2!$D$3:$D$329,"")</f>
        <v>13</v>
      </c>
      <c r="K199" s="8" t="s">
        <v>141</v>
      </c>
      <c r="L199" s="4">
        <f>_xlfn.XLOOKUP(C199,[1]Planilha2!$C$3:$C$329,[1]Planilha2!$J$3:$J$329,"")</f>
        <v>2</v>
      </c>
      <c r="M199" s="42">
        <v>0.70979897789630197</v>
      </c>
      <c r="N199" s="43">
        <v>0.71539843712727302</v>
      </c>
      <c r="O199" s="43">
        <v>0.69873047517602904</v>
      </c>
      <c r="P199" s="43">
        <v>0.67369270405002801</v>
      </c>
      <c r="Q199" s="67">
        <v>0.44005818809985597</v>
      </c>
      <c r="R199" s="67">
        <v>0.84517406628020497</v>
      </c>
      <c r="S199" s="67">
        <v>0.98829579397109202</v>
      </c>
      <c r="T199" s="49">
        <v>1343.3004102605</v>
      </c>
      <c r="U199" s="49">
        <v>1352.50887314029</v>
      </c>
      <c r="V199" s="49">
        <v>1182.0448339181701</v>
      </c>
      <c r="W199" s="49">
        <v>1038.27267398257</v>
      </c>
      <c r="X199" s="49">
        <v>907.080862688416</v>
      </c>
      <c r="Y199" s="4"/>
      <c r="Z199" s="69">
        <v>14.7391460981588</v>
      </c>
      <c r="AA199" s="69">
        <v>14.7330882641836</v>
      </c>
      <c r="AB199" s="69">
        <v>13.4466983604202</v>
      </c>
      <c r="AC199" s="69">
        <v>12.2018221079333</v>
      </c>
      <c r="AD199" s="70">
        <v>8.4989321848913004</v>
      </c>
    </row>
    <row r="200" spans="1:30" x14ac:dyDescent="0.25">
      <c r="A200" s="6">
        <v>260</v>
      </c>
      <c r="B200" s="3" t="s">
        <v>512</v>
      </c>
      <c r="C200" s="3" t="s">
        <v>513</v>
      </c>
      <c r="D200" s="4">
        <f>_xlfn.XLOOKUP(C200,[1]Planilha2!$C$3:$C$329,[1]Planilha2!$I$3:$I$329)</f>
        <v>26</v>
      </c>
      <c r="E200" s="7">
        <v>427259</v>
      </c>
      <c r="F200" s="7" t="e">
        <v>#VALUE!</v>
      </c>
      <c r="G200" s="7" t="e">
        <v>#VALUE!</v>
      </c>
      <c r="H200" s="7">
        <v>400545</v>
      </c>
      <c r="I200" s="7">
        <v>397103</v>
      </c>
      <c r="J200" s="4">
        <f>_xlfn.XLOOKUP(C200,[1]Planilha2!$C$3:$C$329,[1]Planilha2!$D$3:$D$329,"")</f>
        <v>19</v>
      </c>
      <c r="K200" s="8" t="s">
        <v>141</v>
      </c>
      <c r="L200" s="4">
        <f>_xlfn.XLOOKUP(C200,[1]Planilha2!$C$3:$C$329,[1]Planilha2!$J$3:$J$329,"")</f>
        <v>1</v>
      </c>
      <c r="M200" s="42">
        <v>0.71761646091688702</v>
      </c>
      <c r="N200" s="43">
        <v>0.71486062626583502</v>
      </c>
      <c r="O200" s="43">
        <v>0.69681098128799501</v>
      </c>
      <c r="P200" s="43">
        <v>0.68446410452703699</v>
      </c>
      <c r="Q200" s="67">
        <v>0.45863251335067601</v>
      </c>
      <c r="R200" s="67">
        <v>0.76756333829037304</v>
      </c>
      <c r="S200" s="67">
        <v>0.98101878468315995</v>
      </c>
      <c r="T200" s="49">
        <v>1229.6984261770999</v>
      </c>
      <c r="U200" s="49">
        <v>1220.12245731079</v>
      </c>
      <c r="V200" s="49">
        <v>1009.32439037056</v>
      </c>
      <c r="W200" s="49">
        <v>856.04442542036497</v>
      </c>
      <c r="X200" s="49">
        <v>811.51478369591803</v>
      </c>
      <c r="Y200" s="4"/>
      <c r="Z200" s="69">
        <v>14.068267725197099</v>
      </c>
      <c r="AA200" s="69">
        <v>14.2760376533311</v>
      </c>
      <c r="AB200" s="69">
        <v>10.588146558286599</v>
      </c>
      <c r="AC200" s="69">
        <v>9.6916601130959101</v>
      </c>
      <c r="AD200" s="70">
        <v>5.5266140019088201</v>
      </c>
    </row>
    <row r="201" spans="1:30" ht="25.5" x14ac:dyDescent="0.25">
      <c r="A201" s="6">
        <v>261</v>
      </c>
      <c r="B201" s="3" t="s">
        <v>514</v>
      </c>
      <c r="C201" s="3" t="s">
        <v>515</v>
      </c>
      <c r="D201" s="4">
        <f>_xlfn.XLOOKUP(C201,[1]Planilha2!$C$3:$C$329,[1]Planilha2!$I$3:$I$329)</f>
        <v>7</v>
      </c>
      <c r="E201" s="7">
        <v>394297</v>
      </c>
      <c r="F201" s="7" t="e">
        <v>#VALUE!</v>
      </c>
      <c r="G201" s="7" t="e">
        <v>#VALUE!</v>
      </c>
      <c r="H201" s="7">
        <v>376475</v>
      </c>
      <c r="I201" s="7">
        <v>373524</v>
      </c>
      <c r="J201" s="4">
        <f>_xlfn.XLOOKUP(C201,[1]Planilha2!$C$3:$C$329,[1]Planilha2!$D$3:$D$329,"")</f>
        <v>18</v>
      </c>
      <c r="K201" s="8" t="s">
        <v>141</v>
      </c>
      <c r="L201" s="4">
        <f>_xlfn.XLOOKUP(C201,[1]Planilha2!$C$3:$C$329,[1]Planilha2!$J$3:$J$329,"")</f>
        <v>33</v>
      </c>
      <c r="M201" s="42">
        <v>0.71677097349212104</v>
      </c>
      <c r="N201" s="43">
        <v>0.71188980489503995</v>
      </c>
      <c r="O201" s="43">
        <v>0.69434378511189299</v>
      </c>
      <c r="P201" s="43">
        <v>0.68206937091057096</v>
      </c>
      <c r="Q201" s="67">
        <v>0.48561865670786297</v>
      </c>
      <c r="R201" s="67">
        <v>0.76798982552987005</v>
      </c>
      <c r="S201" s="67">
        <v>0.97990444416029898</v>
      </c>
      <c r="T201" s="49">
        <v>1202.3612780467499</v>
      </c>
      <c r="U201" s="49">
        <v>1170.65596567994</v>
      </c>
      <c r="V201" s="49">
        <v>952.10012926750699</v>
      </c>
      <c r="W201" s="49">
        <v>827.35187457334496</v>
      </c>
      <c r="X201" s="49">
        <v>798.31800666088395</v>
      </c>
      <c r="Y201" s="4"/>
      <c r="Z201" s="69">
        <v>13.8416346053863</v>
      </c>
      <c r="AA201" s="69">
        <v>13.657506422385801</v>
      </c>
      <c r="AB201" s="69">
        <v>10.240949554896099</v>
      </c>
      <c r="AC201" s="69">
        <v>9.7049604887442698</v>
      </c>
      <c r="AD201" s="70">
        <v>5.49298840235166</v>
      </c>
    </row>
    <row r="202" spans="1:30" ht="25.5" x14ac:dyDescent="0.25">
      <c r="A202" s="6">
        <v>262</v>
      </c>
      <c r="B202" s="3" t="s">
        <v>516</v>
      </c>
      <c r="C202" s="3" t="s">
        <v>517</v>
      </c>
      <c r="D202" s="4">
        <f>_xlfn.XLOOKUP(C202,[1]Planilha2!$C$3:$C$329,[1]Planilha2!$I$3:$I$329)</f>
        <v>28</v>
      </c>
      <c r="E202" s="7">
        <v>606283</v>
      </c>
      <c r="F202" s="7">
        <v>587824.66666666663</v>
      </c>
      <c r="G202" s="7">
        <v>569366.33333333337</v>
      </c>
      <c r="H202" s="7">
        <v>550908</v>
      </c>
      <c r="I202" s="7">
        <v>543360</v>
      </c>
      <c r="J202" s="4">
        <f>_xlfn.XLOOKUP(C202,[1]Planilha2!$C$3:$C$329,[1]Planilha2!$D$3:$D$329,"")</f>
        <v>16</v>
      </c>
      <c r="K202" s="8" t="s">
        <v>141</v>
      </c>
      <c r="L202" s="4">
        <f>_xlfn.XLOOKUP(C202,[1]Planilha2!$C$3:$C$329,[1]Planilha2!$J$3:$J$329,"")</f>
        <v>2</v>
      </c>
      <c r="M202" s="42">
        <v>0.71215112720686502</v>
      </c>
      <c r="N202" s="43">
        <v>0.70527412000124101</v>
      </c>
      <c r="O202" s="43">
        <v>0.69402079839102004</v>
      </c>
      <c r="P202" s="43">
        <v>0.67948957983657199</v>
      </c>
      <c r="Q202" s="67">
        <v>0.697510465259918</v>
      </c>
      <c r="R202" s="67">
        <v>0.84858637204283804</v>
      </c>
      <c r="S202" s="67">
        <v>0.982598579941795</v>
      </c>
      <c r="T202" s="49">
        <v>1370.54065358917</v>
      </c>
      <c r="U202" s="49">
        <v>1416.91604849292</v>
      </c>
      <c r="V202" s="49">
        <v>1225.3997351968501</v>
      </c>
      <c r="W202" s="49">
        <v>1104.72521450042</v>
      </c>
      <c r="X202" s="49">
        <v>1007.16442675206</v>
      </c>
      <c r="Y202" s="4"/>
      <c r="Z202" s="69">
        <v>17.812460517613101</v>
      </c>
      <c r="AA202" s="69">
        <v>17.043170469198898</v>
      </c>
      <c r="AB202" s="69">
        <v>14.676283985881399</v>
      </c>
      <c r="AC202" s="69">
        <v>12.2702266077095</v>
      </c>
      <c r="AD202" s="70">
        <v>10.128826192579499</v>
      </c>
    </row>
    <row r="203" spans="1:30" x14ac:dyDescent="0.25">
      <c r="A203" s="6">
        <v>263</v>
      </c>
      <c r="B203" s="3" t="s">
        <v>518</v>
      </c>
      <c r="C203" s="3" t="s">
        <v>519</v>
      </c>
      <c r="D203" s="4">
        <f>_xlfn.XLOOKUP(C203,[1]Planilha2!$C$3:$C$329,[1]Planilha2!$I$3:$I$329)</f>
        <v>9</v>
      </c>
      <c r="E203" s="7">
        <v>43312</v>
      </c>
      <c r="F203" s="7">
        <v>42402.666666666672</v>
      </c>
      <c r="G203" s="7">
        <v>41493.333333333328</v>
      </c>
      <c r="H203" s="7">
        <v>40584</v>
      </c>
      <c r="I203" s="7">
        <v>40764</v>
      </c>
      <c r="J203" s="4">
        <f>_xlfn.XLOOKUP(C203,[1]Planilha2!$C$3:$C$329,[1]Planilha2!$D$3:$D$329,"")</f>
        <v>6</v>
      </c>
      <c r="K203" s="8" t="s">
        <v>141</v>
      </c>
      <c r="L203" s="4">
        <f>_xlfn.XLOOKUP(C203,[1]Planilha2!$C$3:$C$329,[1]Planilha2!$J$3:$J$329,"")</f>
        <v>3</v>
      </c>
      <c r="M203" s="42">
        <v>0.66793820593044495</v>
      </c>
      <c r="N203" s="43">
        <v>0.67460858852827799</v>
      </c>
      <c r="O203" s="43">
        <v>0.66963843879361296</v>
      </c>
      <c r="P203" s="43">
        <v>0.63332223775880703</v>
      </c>
      <c r="Q203" s="67">
        <v>0.19770051092544999</v>
      </c>
      <c r="R203" s="67">
        <v>0.58725270726221102</v>
      </c>
      <c r="S203" s="67">
        <v>0.83615295710154203</v>
      </c>
      <c r="T203" s="49">
        <v>1530.44126477651</v>
      </c>
      <c r="U203" s="49">
        <v>1507.93862162757</v>
      </c>
      <c r="V203" s="49">
        <v>1374.62995196015</v>
      </c>
      <c r="W203" s="49">
        <v>1069.3108722649299</v>
      </c>
      <c r="X203" s="49">
        <v>1071.7699715435199</v>
      </c>
      <c r="Y203" s="4"/>
      <c r="Z203" s="69">
        <v>33.747067787218299</v>
      </c>
      <c r="AA203" s="69">
        <v>29.230921011257202</v>
      </c>
      <c r="AB203" s="69">
        <v>23.6995661953728</v>
      </c>
      <c r="AC203" s="69">
        <v>16.798220973782801</v>
      </c>
      <c r="AD203" s="70">
        <v>16.373564910214899</v>
      </c>
    </row>
    <row r="204" spans="1:30" x14ac:dyDescent="0.25">
      <c r="A204" s="6">
        <v>301</v>
      </c>
      <c r="B204" s="3" t="s">
        <v>520</v>
      </c>
      <c r="C204" s="3" t="s">
        <v>521</v>
      </c>
      <c r="D204" s="4">
        <f>_xlfn.XLOOKUP(C204,[1]Planilha2!$C$3:$C$329,[1]Planilha2!$I$3:$I$329)</f>
        <v>31</v>
      </c>
      <c r="E204" s="7">
        <v>298263</v>
      </c>
      <c r="F204" s="7">
        <v>292969</v>
      </c>
      <c r="G204" s="7">
        <v>287675</v>
      </c>
      <c r="H204" s="7">
        <v>282381</v>
      </c>
      <c r="I204" s="7">
        <v>280785</v>
      </c>
      <c r="J204" s="4">
        <f>_xlfn.XLOOKUP(C204,[1]Planilha2!$C$3:$C$329,[1]Planilha2!$D$3:$D$329,"")</f>
        <v>18</v>
      </c>
      <c r="K204" s="8" t="s">
        <v>141</v>
      </c>
      <c r="L204" s="4">
        <f>_xlfn.XLOOKUP(C204,[1]Planilha2!$C$3:$C$329,[1]Planilha2!$J$3:$J$329,"")</f>
        <v>1</v>
      </c>
      <c r="M204" s="42">
        <v>0.74020781675421898</v>
      </c>
      <c r="N204" s="43">
        <v>0.71195099701630904</v>
      </c>
      <c r="O204" s="43">
        <v>0.67754752586045097</v>
      </c>
      <c r="P204" s="43">
        <v>0.66605400965151296</v>
      </c>
      <c r="Q204" s="67">
        <v>0.36518308218186002</v>
      </c>
      <c r="R204" s="67">
        <v>0.79741891497928796</v>
      </c>
      <c r="S204" s="67">
        <v>0.86659333727296395</v>
      </c>
      <c r="T204" s="49">
        <v>1964.7636761515801</v>
      </c>
      <c r="U204" s="49">
        <v>1778.05526670057</v>
      </c>
      <c r="V204" s="49">
        <v>1510.1659665479001</v>
      </c>
      <c r="W204" s="49">
        <v>1262.8675487727601</v>
      </c>
      <c r="X204" s="49">
        <v>1119.13751913386</v>
      </c>
      <c r="Y204" s="4"/>
      <c r="Z204" s="69">
        <v>11.930618279840299</v>
      </c>
      <c r="AA204" s="69">
        <v>10.7965859869133</v>
      </c>
      <c r="AB204" s="69">
        <v>10.1425184670201</v>
      </c>
      <c r="AC204" s="69">
        <v>8.8618249811424992</v>
      </c>
      <c r="AD204" s="70">
        <v>8.3624873123564303</v>
      </c>
    </row>
    <row r="205" spans="1:30" x14ac:dyDescent="0.25">
      <c r="A205" s="6">
        <v>302</v>
      </c>
      <c r="B205" s="3" t="s">
        <v>195</v>
      </c>
      <c r="C205" s="3" t="s">
        <v>196</v>
      </c>
      <c r="D205" s="4">
        <f>_xlfn.XLOOKUP(C205,[1]Planilha2!$C$3:$C$329,[1]Planilha2!$I$3:$I$329)</f>
        <v>29</v>
      </c>
      <c r="E205" s="7">
        <v>410246</v>
      </c>
      <c r="F205" s="7">
        <v>406798.33333333326</v>
      </c>
      <c r="G205" s="7">
        <v>403350.66666666674</v>
      </c>
      <c r="H205" s="7">
        <v>399903</v>
      </c>
      <c r="I205" s="7">
        <v>399401</v>
      </c>
      <c r="J205" s="4">
        <f>_xlfn.XLOOKUP(C205,[1]Planilha2!$C$3:$C$329,[1]Planilha2!$D$3:$D$329,"")</f>
        <v>25</v>
      </c>
      <c r="K205" s="8" t="s">
        <v>141</v>
      </c>
      <c r="L205" s="4">
        <f>_xlfn.XLOOKUP(C205,[1]Planilha2!$C$3:$C$329,[1]Planilha2!$J$3:$J$329,"")</f>
        <v>1</v>
      </c>
      <c r="M205" s="42">
        <v>0.68787968854346404</v>
      </c>
      <c r="N205" s="43">
        <v>0.65890469252561001</v>
      </c>
      <c r="O205" s="43">
        <v>0.64474417896339897</v>
      </c>
      <c r="P205" s="43">
        <v>0.61924350439783604</v>
      </c>
      <c r="Q205" s="67">
        <v>0.29676495596883401</v>
      </c>
      <c r="R205" s="67">
        <v>0.74976573948888103</v>
      </c>
      <c r="S205" s="67">
        <v>0.855260030312747</v>
      </c>
      <c r="T205" s="49">
        <v>1720.30508931227</v>
      </c>
      <c r="U205" s="49">
        <v>1380.3985742157299</v>
      </c>
      <c r="V205" s="49">
        <v>1404.57146171404</v>
      </c>
      <c r="W205" s="49">
        <v>1162.38558755498</v>
      </c>
      <c r="X205" s="49">
        <v>972.82894659753003</v>
      </c>
      <c r="Y205" s="4"/>
      <c r="Z205" s="69">
        <v>8.0279344588368904</v>
      </c>
      <c r="AA205" s="69">
        <v>7.7758012774552503</v>
      </c>
      <c r="AB205" s="69">
        <v>7.3426530430097197</v>
      </c>
      <c r="AC205" s="69">
        <v>5.5000187545479804</v>
      </c>
      <c r="AD205" s="70">
        <v>4.8945821367497802</v>
      </c>
    </row>
    <row r="206" spans="1:30" x14ac:dyDescent="0.25">
      <c r="A206" s="6">
        <v>303</v>
      </c>
      <c r="B206" s="3" t="s">
        <v>197</v>
      </c>
      <c r="C206" s="3" t="s">
        <v>198</v>
      </c>
      <c r="D206" s="4">
        <f>_xlfn.XLOOKUP(C206,[1]Planilha2!$C$3:$C$329,[1]Planilha2!$I$3:$I$329)</f>
        <v>30</v>
      </c>
      <c r="E206" s="7">
        <v>1012418</v>
      </c>
      <c r="F206" s="7">
        <v>1015963.6666666667</v>
      </c>
      <c r="G206" s="7">
        <v>1019509.3333333333</v>
      </c>
      <c r="H206" s="7">
        <v>1023055</v>
      </c>
      <c r="I206" s="7">
        <v>1014858</v>
      </c>
      <c r="J206" s="4">
        <f>_xlfn.XLOOKUP(C206,[1]Planilha2!$C$3:$C$329,[1]Planilha2!$D$3:$D$329,"")</f>
        <v>21</v>
      </c>
      <c r="K206" s="8" t="s">
        <v>141</v>
      </c>
      <c r="L206" s="4">
        <f>_xlfn.XLOOKUP(C206,[1]Planilha2!$C$3:$C$329,[1]Planilha2!$J$3:$J$329,"")</f>
        <v>1</v>
      </c>
      <c r="M206" s="42">
        <v>0.79950066459069502</v>
      </c>
      <c r="N206" s="43">
        <v>0.77642674355114605</v>
      </c>
      <c r="O206" s="43">
        <v>0.76658031317964304</v>
      </c>
      <c r="P206" s="43">
        <v>0.73412519682556598</v>
      </c>
      <c r="Q206" s="67">
        <v>0.84903339554190804</v>
      </c>
      <c r="R206" s="67">
        <v>0.94466821529834</v>
      </c>
      <c r="S206" s="67">
        <v>0.97826781860424294</v>
      </c>
      <c r="T206" s="49">
        <v>1765.6108791526799</v>
      </c>
      <c r="U206" s="49">
        <v>1516.7671211470499</v>
      </c>
      <c r="V206" s="49">
        <v>1338.6201304843401</v>
      </c>
      <c r="W206" s="49">
        <v>1275.1237834133999</v>
      </c>
      <c r="X206" s="49">
        <v>1188.81107024825</v>
      </c>
      <c r="Y206" s="4"/>
      <c r="Z206" s="69">
        <v>14.6385633206837</v>
      </c>
      <c r="AA206" s="69">
        <v>14.422503954373701</v>
      </c>
      <c r="AB206" s="69">
        <v>13.4715794656776</v>
      </c>
      <c r="AC206" s="69">
        <v>10.843422885377599</v>
      </c>
      <c r="AD206" s="70">
        <v>10.9728287110118</v>
      </c>
    </row>
    <row r="207" spans="1:30" ht="25.5" x14ac:dyDescent="0.25">
      <c r="A207" s="6">
        <v>304</v>
      </c>
      <c r="B207" s="3" t="s">
        <v>199</v>
      </c>
      <c r="C207" s="3" t="s">
        <v>200</v>
      </c>
      <c r="D207" s="4">
        <f>_xlfn.XLOOKUP(C207,[1]Planilha2!$C$3:$C$329,[1]Planilha2!$I$3:$I$329)</f>
        <v>27</v>
      </c>
      <c r="E207" s="7">
        <v>71065</v>
      </c>
      <c r="F207" s="7">
        <v>70155.333333333343</v>
      </c>
      <c r="G207" s="7">
        <v>69245.666666666672</v>
      </c>
      <c r="H207" s="7">
        <v>68336</v>
      </c>
      <c r="I207" s="7">
        <v>68447</v>
      </c>
      <c r="J207" s="4">
        <f>_xlfn.XLOOKUP(C207,[1]Planilha2!$C$3:$C$329,[1]Planilha2!$D$3:$D$329,"")</f>
        <v>6</v>
      </c>
      <c r="K207" s="8" t="s">
        <v>141</v>
      </c>
      <c r="L207" s="4">
        <f>_xlfn.XLOOKUP(C207,[1]Planilha2!$C$3:$C$329,[1]Planilha2!$J$3:$J$329,"")</f>
        <v>1</v>
      </c>
      <c r="M207" s="42">
        <v>0.65409558028375103</v>
      </c>
      <c r="N207" s="43">
        <v>0.64180290222733505</v>
      </c>
      <c r="O207" s="43">
        <v>0.61132645604073999</v>
      </c>
      <c r="P207" s="43">
        <v>0.57813166975908403</v>
      </c>
      <c r="Q207" s="67">
        <v>0.25096735246970903</v>
      </c>
      <c r="R207" s="67">
        <v>0.63194869185556701</v>
      </c>
      <c r="S207" s="67">
        <v>0.66375209279040304</v>
      </c>
      <c r="T207" s="49">
        <v>1614.16465756702</v>
      </c>
      <c r="U207" s="49">
        <v>1255.40164587154</v>
      </c>
      <c r="V207" s="49">
        <v>1112.5802339015199</v>
      </c>
      <c r="W207" s="49">
        <v>888.76443148560099</v>
      </c>
      <c r="X207" s="49">
        <v>773.294771575087</v>
      </c>
      <c r="Y207" s="4"/>
      <c r="Z207" s="69">
        <v>1.87756279462464</v>
      </c>
      <c r="AA207" s="69">
        <v>1.8071184894472301</v>
      </c>
      <c r="AB207" s="69">
        <v>1.75187857723949</v>
      </c>
      <c r="AC207" s="69">
        <v>2.8153535471786499</v>
      </c>
      <c r="AD207" s="70">
        <v>2.7509605972504301</v>
      </c>
    </row>
    <row r="208" spans="1:30" x14ac:dyDescent="0.25">
      <c r="A208" s="6">
        <v>305</v>
      </c>
      <c r="B208" s="3" t="s">
        <v>522</v>
      </c>
      <c r="C208" s="3" t="s">
        <v>523</v>
      </c>
      <c r="D208" s="4">
        <f>_xlfn.XLOOKUP(C208,[1]Planilha2!$C$3:$C$329,[1]Planilha2!$I$3:$I$329)</f>
        <v>19</v>
      </c>
      <c r="E208" s="7">
        <v>208922</v>
      </c>
      <c r="F208" s="7">
        <v>207084.66666666669</v>
      </c>
      <c r="G208" s="7">
        <v>205247.33333333331</v>
      </c>
      <c r="H208" s="7">
        <v>203410</v>
      </c>
      <c r="I208" s="7">
        <v>202366</v>
      </c>
      <c r="J208" s="4">
        <f>_xlfn.XLOOKUP(C208,[1]Planilha2!$C$3:$C$329,[1]Planilha2!$D$3:$D$329,"")</f>
        <v>3</v>
      </c>
      <c r="K208" s="8" t="s">
        <v>141</v>
      </c>
      <c r="L208" s="4">
        <f>_xlfn.XLOOKUP(C208,[1]Planilha2!$C$3:$C$329,[1]Planilha2!$J$3:$J$329,"")</f>
        <v>2</v>
      </c>
      <c r="M208" s="42">
        <v>0.76033656105232295</v>
      </c>
      <c r="N208" s="43">
        <v>0.73385995254505998</v>
      </c>
      <c r="O208" s="43">
        <v>0.72889907133375897</v>
      </c>
      <c r="P208" s="43">
        <v>0.70493138817785606</v>
      </c>
      <c r="Q208" s="67">
        <v>0.75790197144258498</v>
      </c>
      <c r="R208" s="67">
        <v>0.89937568592040196</v>
      </c>
      <c r="S208" s="67">
        <v>0.93197515225532801</v>
      </c>
      <c r="T208" s="49">
        <v>1285.3946685844501</v>
      </c>
      <c r="U208" s="49">
        <v>1247.31107733713</v>
      </c>
      <c r="V208" s="49">
        <v>1054.92542948183</v>
      </c>
      <c r="W208" s="49">
        <v>886.02979150484202</v>
      </c>
      <c r="X208" s="49">
        <v>716.33537941156101</v>
      </c>
      <c r="Y208" s="4"/>
      <c r="Z208" s="69">
        <v>8.1947233895903704</v>
      </c>
      <c r="AA208" s="69">
        <v>6.2819233357048798</v>
      </c>
      <c r="AB208" s="69">
        <v>4.49893786683384</v>
      </c>
      <c r="AC208" s="69">
        <v>3.69536895924487</v>
      </c>
      <c r="AD208" s="70">
        <v>2.58145142958797</v>
      </c>
    </row>
    <row r="209" spans="1:30" x14ac:dyDescent="0.25">
      <c r="A209" s="6">
        <v>306</v>
      </c>
      <c r="B209" s="3" t="s">
        <v>524</v>
      </c>
      <c r="C209" s="3" t="s">
        <v>525</v>
      </c>
      <c r="D209" s="4">
        <f>_xlfn.XLOOKUP(C209,[1]Planilha2!$C$3:$C$329,[1]Planilha2!$I$3:$I$329)</f>
        <v>23</v>
      </c>
      <c r="E209" s="7">
        <v>140243</v>
      </c>
      <c r="F209" s="7">
        <v>130494.99999999999</v>
      </c>
      <c r="G209" s="7">
        <v>120747.00000000001</v>
      </c>
      <c r="H209" s="7">
        <v>110999</v>
      </c>
      <c r="I209" s="7">
        <v>109956</v>
      </c>
      <c r="J209" s="4">
        <f>_xlfn.XLOOKUP(C209,[1]Planilha2!$C$3:$C$329,[1]Planilha2!$D$3:$D$329,"")</f>
        <v>5</v>
      </c>
      <c r="K209" s="8" t="s">
        <v>141</v>
      </c>
      <c r="L209" s="4">
        <f>_xlfn.XLOOKUP(C209,[1]Planilha2!$C$3:$C$329,[1]Planilha2!$J$3:$J$329,"")</f>
        <v>1</v>
      </c>
      <c r="M209" s="42">
        <v>0.68395029439186705</v>
      </c>
      <c r="N209" s="43">
        <v>0.64937961163976499</v>
      </c>
      <c r="O209" s="43">
        <v>0.64684274993468405</v>
      </c>
      <c r="P209" s="43">
        <v>0.60148934119102204</v>
      </c>
      <c r="Q209" s="67">
        <v>0.39367018587073199</v>
      </c>
      <c r="R209" s="67">
        <v>0.96399821638080696</v>
      </c>
      <c r="S209" s="67">
        <v>0.98259326084015897</v>
      </c>
      <c r="T209" s="49">
        <v>994.450550330498</v>
      </c>
      <c r="U209" s="49">
        <v>1024.49598051011</v>
      </c>
      <c r="V209" s="49">
        <v>869.62027280180905</v>
      </c>
      <c r="W209" s="49">
        <v>770.46918188452196</v>
      </c>
      <c r="X209" s="49">
        <v>618.57239441231002</v>
      </c>
      <c r="Y209" s="4"/>
      <c r="Z209" s="69">
        <v>5.7135543306974297</v>
      </c>
      <c r="AA209" s="69">
        <v>5.3234453427334403</v>
      </c>
      <c r="AB209" s="69">
        <v>4.2617042245355998</v>
      </c>
      <c r="AC209" s="69">
        <v>4.0948567104208102</v>
      </c>
      <c r="AD209" s="70">
        <v>4.07421150278293</v>
      </c>
    </row>
    <row r="210" spans="1:30" ht="25.5" x14ac:dyDescent="0.25">
      <c r="A210" s="6">
        <v>307</v>
      </c>
      <c r="B210" s="3" t="s">
        <v>201</v>
      </c>
      <c r="C210" s="3" t="s">
        <v>202</v>
      </c>
      <c r="D210" s="4">
        <f>_xlfn.XLOOKUP(C210,[1]Planilha2!$C$3:$C$329,[1]Planilha2!$I$3:$I$329)</f>
        <v>9</v>
      </c>
      <c r="E210" s="7">
        <v>592908</v>
      </c>
      <c r="F210" s="7">
        <v>593926</v>
      </c>
      <c r="G210" s="7">
        <v>594944</v>
      </c>
      <c r="H210" s="7">
        <v>595962</v>
      </c>
      <c r="I210" s="7">
        <v>597167</v>
      </c>
      <c r="J210" s="4">
        <f>_xlfn.XLOOKUP(C210,[1]Planilha2!$C$3:$C$329,[1]Planilha2!$D$3:$D$329,"")</f>
        <v>16</v>
      </c>
      <c r="K210" s="8" t="s">
        <v>141</v>
      </c>
      <c r="L210" s="4">
        <f>_xlfn.XLOOKUP(C210,[1]Planilha2!$C$3:$C$329,[1]Planilha2!$J$3:$J$329,"")</f>
        <v>10</v>
      </c>
      <c r="M210" s="42">
        <v>0.63502396033624797</v>
      </c>
      <c r="N210" s="43">
        <v>0.60926107135013297</v>
      </c>
      <c r="O210" s="43">
        <v>0.58462263382564605</v>
      </c>
      <c r="P210" s="43">
        <v>0.58641271587344901</v>
      </c>
      <c r="Q210" s="67">
        <v>0.72054656219745095</v>
      </c>
      <c r="R210" s="67">
        <v>0.88936102439893505</v>
      </c>
      <c r="S210" s="67">
        <v>0.93251051482716596</v>
      </c>
      <c r="T210" s="49">
        <v>1167.4639519453301</v>
      </c>
      <c r="U210" s="49">
        <v>1022.48251209747</v>
      </c>
      <c r="V210" s="49">
        <v>914.62917911041495</v>
      </c>
      <c r="W210" s="49">
        <v>762.81134218289105</v>
      </c>
      <c r="X210" s="49">
        <v>715.34513268482704</v>
      </c>
      <c r="Y210" s="4"/>
      <c r="Z210" s="69">
        <v>5.0119833093835799</v>
      </c>
      <c r="AA210" s="69">
        <v>5.09829507379707</v>
      </c>
      <c r="AB210" s="69">
        <v>5.3592304485800302</v>
      </c>
      <c r="AC210" s="69">
        <v>4.4647376846174804</v>
      </c>
      <c r="AD210" s="70">
        <v>3.3752484648348</v>
      </c>
    </row>
    <row r="211" spans="1:30" ht="25.5" x14ac:dyDescent="0.25">
      <c r="A211" s="6">
        <v>308</v>
      </c>
      <c r="B211" s="3" t="s">
        <v>526</v>
      </c>
      <c r="C211" s="3" t="s">
        <v>527</v>
      </c>
      <c r="D211" s="4">
        <f>_xlfn.XLOOKUP(C211,[1]Planilha2!$C$3:$C$329,[1]Planilha2!$I$3:$I$329)</f>
        <v>19</v>
      </c>
      <c r="E211" s="7">
        <v>162125</v>
      </c>
      <c r="F211" s="7">
        <v>157612.00000000003</v>
      </c>
      <c r="G211" s="7">
        <v>153098.99999999997</v>
      </c>
      <c r="H211" s="7">
        <v>148586</v>
      </c>
      <c r="I211" s="7">
        <v>148067</v>
      </c>
      <c r="J211" s="4">
        <f>_xlfn.XLOOKUP(C211,[1]Planilha2!$C$3:$C$329,[1]Planilha2!$D$3:$D$329,"")</f>
        <v>13</v>
      </c>
      <c r="K211" s="8" t="s">
        <v>141</v>
      </c>
      <c r="L211" s="4">
        <f>_xlfn.XLOOKUP(C211,[1]Planilha2!$C$3:$C$329,[1]Planilha2!$J$3:$J$329,"")</f>
        <v>1</v>
      </c>
      <c r="M211" s="42">
        <v>0.77717136533597297</v>
      </c>
      <c r="N211" s="43">
        <v>0.78286425559060902</v>
      </c>
      <c r="O211" s="43">
        <v>0.771658563390898</v>
      </c>
      <c r="P211" s="43">
        <v>0.76667255971958603</v>
      </c>
      <c r="Q211" s="67">
        <v>0.27776738798642298</v>
      </c>
      <c r="R211" s="67">
        <v>0.77870903119332402</v>
      </c>
      <c r="S211" s="67">
        <v>0.95170363272566605</v>
      </c>
      <c r="T211" s="49">
        <v>1885.75044835775</v>
      </c>
      <c r="U211" s="49">
        <v>1784.45839280427</v>
      </c>
      <c r="V211" s="49">
        <v>1525.2980598828201</v>
      </c>
      <c r="W211" s="49">
        <v>1388.4664705288501</v>
      </c>
      <c r="X211" s="49">
        <v>1280.91348997413</v>
      </c>
      <c r="Y211" s="4"/>
      <c r="Z211" s="69">
        <v>13.471253662297601</v>
      </c>
      <c r="AA211" s="69">
        <v>13.519636829683</v>
      </c>
      <c r="AB211" s="69">
        <v>12.816608860933099</v>
      </c>
      <c r="AC211" s="69">
        <v>11.711473490099999</v>
      </c>
      <c r="AD211" s="70">
        <v>10.7354373358007</v>
      </c>
    </row>
    <row r="212" spans="1:30" ht="25.5" x14ac:dyDescent="0.25">
      <c r="A212" s="6">
        <v>309</v>
      </c>
      <c r="B212" s="3" t="s">
        <v>528</v>
      </c>
      <c r="C212" s="3" t="s">
        <v>529</v>
      </c>
      <c r="D212" s="4">
        <f>_xlfn.XLOOKUP(C212,[1]Planilha2!$C$3:$C$329,[1]Planilha2!$I$3:$I$329)</f>
        <v>25</v>
      </c>
      <c r="E212" s="7">
        <v>418715</v>
      </c>
      <c r="F212" s="7">
        <v>411536</v>
      </c>
      <c r="G212" s="7">
        <v>404357</v>
      </c>
      <c r="H212" s="7">
        <v>397178</v>
      </c>
      <c r="I212" s="7">
        <v>396947</v>
      </c>
      <c r="J212" s="4">
        <f>_xlfn.XLOOKUP(C212,[1]Planilha2!$C$3:$C$329,[1]Planilha2!$D$3:$D$329,"")</f>
        <v>28</v>
      </c>
      <c r="K212" s="8" t="s">
        <v>141</v>
      </c>
      <c r="L212" s="4">
        <f>_xlfn.XLOOKUP(C212,[1]Planilha2!$C$3:$C$329,[1]Planilha2!$J$3:$J$329,"")</f>
        <v>1</v>
      </c>
      <c r="M212" s="42">
        <v>0.70786101450824901</v>
      </c>
      <c r="N212" s="43">
        <v>0.70100661849141499</v>
      </c>
      <c r="O212" s="43">
        <v>0.675522948149192</v>
      </c>
      <c r="P212" s="43">
        <v>0.66349077307549897</v>
      </c>
      <c r="Q212" s="67">
        <v>0.64051506976920602</v>
      </c>
      <c r="R212" s="67">
        <v>0.81066258603164998</v>
      </c>
      <c r="S212" s="67">
        <v>0.92407515124836004</v>
      </c>
      <c r="T212" s="49">
        <v>1551.1233528294899</v>
      </c>
      <c r="U212" s="49">
        <v>1436.3660895361099</v>
      </c>
      <c r="V212" s="49">
        <v>1298.0248191161099</v>
      </c>
      <c r="W212" s="49">
        <v>1159.2898080709399</v>
      </c>
      <c r="X212" s="49">
        <v>1000.84997909041</v>
      </c>
      <c r="Y212" s="4"/>
      <c r="Z212" s="69">
        <v>11.5376449374873</v>
      </c>
      <c r="AA212" s="69">
        <v>11.3666167722872</v>
      </c>
      <c r="AB212" s="69">
        <v>8.9299950291450401</v>
      </c>
      <c r="AC212" s="69">
        <v>7.2919043854392704</v>
      </c>
      <c r="AD212" s="70">
        <v>5.6888627449004501</v>
      </c>
    </row>
    <row r="213" spans="1:30" x14ac:dyDescent="0.25">
      <c r="A213" s="6">
        <v>310</v>
      </c>
      <c r="B213" s="3" t="s">
        <v>530</v>
      </c>
      <c r="C213" s="3" t="s">
        <v>531</v>
      </c>
      <c r="D213" s="4">
        <f>_xlfn.XLOOKUP(C213,[1]Planilha2!$C$3:$C$329,[1]Planilha2!$I$3:$I$329)</f>
        <v>10</v>
      </c>
      <c r="E213" s="7">
        <v>31976</v>
      </c>
      <c r="F213" s="7">
        <v>31523.666666666668</v>
      </c>
      <c r="G213" s="7">
        <v>31071.333333333332</v>
      </c>
      <c r="H213" s="7">
        <v>30619</v>
      </c>
      <c r="I213" s="7">
        <v>30426</v>
      </c>
      <c r="J213" s="4">
        <f>_xlfn.XLOOKUP(C213,[1]Planilha2!$C$3:$C$329,[1]Planilha2!$D$3:$D$329,"")</f>
        <v>3</v>
      </c>
      <c r="K213" s="8" t="s">
        <v>141</v>
      </c>
      <c r="L213" s="4">
        <f>_xlfn.XLOOKUP(C213,[1]Planilha2!$C$3:$C$329,[1]Planilha2!$J$3:$J$329,"")</f>
        <v>1</v>
      </c>
      <c r="M213" s="42">
        <v>0.76551467468885803</v>
      </c>
      <c r="N213" s="43">
        <v>0.75708622202673403</v>
      </c>
      <c r="O213" s="43">
        <v>0.76122908651490895</v>
      </c>
      <c r="P213" s="43">
        <v>0.76012143561427703</v>
      </c>
      <c r="Q213" s="67">
        <v>0.57361039972536298</v>
      </c>
      <c r="R213" s="67">
        <v>0.68501574441607505</v>
      </c>
      <c r="S213" s="67">
        <v>0.98029798528118095</v>
      </c>
      <c r="T213" s="49">
        <v>1280.2504118714</v>
      </c>
      <c r="U213" s="49">
        <v>1253.22627094987</v>
      </c>
      <c r="V213" s="49">
        <v>1193.68503443689</v>
      </c>
      <c r="W213" s="49">
        <v>997.962470688135</v>
      </c>
      <c r="X213" s="49">
        <v>872.42728061526304</v>
      </c>
      <c r="Y213" s="4"/>
      <c r="Z213" s="69">
        <v>22.199493370027501</v>
      </c>
      <c r="AA213" s="69">
        <v>23.331169174482699</v>
      </c>
      <c r="AB213" s="69">
        <v>22.189874911494002</v>
      </c>
      <c r="AC213" s="69">
        <v>15.061954995264401</v>
      </c>
      <c r="AD213" s="70">
        <v>11.0710905146914</v>
      </c>
    </row>
    <row r="214" spans="1:30" ht="25.5" x14ac:dyDescent="0.25">
      <c r="A214" s="6">
        <v>320</v>
      </c>
      <c r="B214" s="3" t="s">
        <v>203</v>
      </c>
      <c r="C214" s="3" t="s">
        <v>204</v>
      </c>
      <c r="D214" s="4">
        <f>_xlfn.XLOOKUP(C214,[1]Planilha2!$C$3:$C$329,[1]Planilha2!$I$3:$I$329)</f>
        <v>12</v>
      </c>
      <c r="E214" s="7">
        <v>1332168</v>
      </c>
      <c r="F214" s="7">
        <v>1313980.6666666667</v>
      </c>
      <c r="G214" s="7">
        <v>1295793.333333333</v>
      </c>
      <c r="H214" s="7">
        <v>1277606</v>
      </c>
      <c r="I214" s="7">
        <v>1276128</v>
      </c>
      <c r="J214" s="4">
        <f>_xlfn.XLOOKUP(C214,[1]Planilha2!$C$3:$C$329,[1]Planilha2!$D$3:$D$329,"")</f>
        <v>100</v>
      </c>
      <c r="K214" s="8" t="s">
        <v>141</v>
      </c>
      <c r="L214" s="4">
        <f>_xlfn.XLOOKUP(C214,[1]Planilha2!$C$3:$C$329,[1]Planilha2!$J$3:$J$329,"")</f>
        <v>1</v>
      </c>
      <c r="M214" s="42">
        <v>0.69604600450742204</v>
      </c>
      <c r="N214" s="43">
        <v>0.66945236285107201</v>
      </c>
      <c r="O214" s="43">
        <v>0.65723854028550299</v>
      </c>
      <c r="P214" s="43">
        <v>0.63234044100591802</v>
      </c>
      <c r="Q214" s="67">
        <v>0.43103299754590502</v>
      </c>
      <c r="R214" s="67">
        <v>0.80798458311253296</v>
      </c>
      <c r="S214" s="67">
        <v>0.86955086793675995</v>
      </c>
      <c r="T214" s="49">
        <v>2082.2786648756</v>
      </c>
      <c r="U214" s="49">
        <v>1962.4350022045001</v>
      </c>
      <c r="V214" s="49">
        <v>1646.9068050717999</v>
      </c>
      <c r="W214" s="49">
        <v>1335.24911243372</v>
      </c>
      <c r="X214" s="49">
        <v>1253.37653602146</v>
      </c>
      <c r="Y214" s="4"/>
      <c r="Z214" s="69">
        <v>14.8503717248876</v>
      </c>
      <c r="AA214" s="69">
        <v>13.306685131338799</v>
      </c>
      <c r="AB214" s="69">
        <v>11.774107496565801</v>
      </c>
      <c r="AC214" s="69">
        <v>9.5933628990471203</v>
      </c>
      <c r="AD214" s="70">
        <v>11.1307940896211</v>
      </c>
    </row>
    <row r="215" spans="1:30" x14ac:dyDescent="0.25">
      <c r="A215" s="6">
        <v>321</v>
      </c>
      <c r="B215" s="3" t="s">
        <v>532</v>
      </c>
      <c r="C215" s="3" t="s">
        <v>533</v>
      </c>
      <c r="D215" s="4">
        <f>_xlfn.XLOOKUP(C215,[1]Planilha2!$C$3:$C$329,[1]Planilha2!$I$3:$I$329)</f>
        <v>22</v>
      </c>
      <c r="E215" s="9">
        <v>1111111</v>
      </c>
      <c r="F215" s="7">
        <v>1111111</v>
      </c>
      <c r="G215" s="7">
        <v>1111111</v>
      </c>
      <c r="H215" s="9">
        <v>1111111</v>
      </c>
      <c r="I215" s="9">
        <v>1111111</v>
      </c>
      <c r="J215" s="4">
        <f>_xlfn.XLOOKUP(C215,[1]Planilha2!$C$3:$C$329,[1]Planilha2!$D$3:$D$329,"")</f>
        <v>43</v>
      </c>
      <c r="K215" s="8" t="s">
        <v>141</v>
      </c>
      <c r="L215" s="4">
        <f>_xlfn.XLOOKUP(C215,[1]Planilha2!$C$3:$C$329,[1]Planilha2!$J$3:$J$329,"")</f>
        <v>1</v>
      </c>
      <c r="M215" s="44"/>
      <c r="N215" s="45"/>
      <c r="O215" s="45"/>
      <c r="P215" s="45"/>
      <c r="Q215" s="68"/>
      <c r="R215" s="68"/>
      <c r="S215" s="68"/>
      <c r="T215" s="50"/>
      <c r="U215" s="50"/>
      <c r="V215" s="50"/>
      <c r="W215" s="50"/>
      <c r="X215" s="50"/>
      <c r="Y215" s="4"/>
      <c r="Z215" s="69"/>
      <c r="AA215" s="69"/>
      <c r="AB215" s="69"/>
      <c r="AC215" s="69"/>
      <c r="AD215" s="70"/>
    </row>
    <row r="216" spans="1:30" x14ac:dyDescent="0.25">
      <c r="A216" s="6">
        <v>322</v>
      </c>
      <c r="B216" s="3" t="s">
        <v>205</v>
      </c>
      <c r="C216" s="3" t="s">
        <v>206</v>
      </c>
      <c r="D216" s="4">
        <f>_xlfn.XLOOKUP(C216,[1]Planilha2!$C$3:$C$329,[1]Planilha2!$I$3:$I$329)</f>
        <v>11</v>
      </c>
      <c r="E216" s="7">
        <v>1072513</v>
      </c>
      <c r="F216" s="7">
        <v>1063614.6666666665</v>
      </c>
      <c r="G216" s="7">
        <v>1054716.3333333335</v>
      </c>
      <c r="H216" s="7">
        <v>1045818</v>
      </c>
      <c r="I216" s="7">
        <v>1035633</v>
      </c>
      <c r="J216" s="4">
        <f>_xlfn.XLOOKUP(C216,[1]Planilha2!$C$3:$C$329,[1]Planilha2!$D$3:$D$329,"")</f>
        <v>30</v>
      </c>
      <c r="K216" s="8" t="s">
        <v>141</v>
      </c>
      <c r="L216" s="4">
        <f>_xlfn.XLOOKUP(C216,[1]Planilha2!$C$3:$C$329,[1]Planilha2!$J$3:$J$329,"")</f>
        <v>2</v>
      </c>
      <c r="M216" s="42">
        <v>0.75854403740828502</v>
      </c>
      <c r="N216" s="43">
        <v>0.74039749654646503</v>
      </c>
      <c r="O216" s="43">
        <v>0.72266228741520999</v>
      </c>
      <c r="P216" s="43">
        <v>0.70292343928785594</v>
      </c>
      <c r="Q216" s="67">
        <v>0.67349999999999999</v>
      </c>
      <c r="R216" s="67">
        <v>0.87680000000000002</v>
      </c>
      <c r="S216" s="67">
        <v>0.96250000000000002</v>
      </c>
      <c r="T216" s="49">
        <v>1624.7809541422801</v>
      </c>
      <c r="U216" s="49">
        <v>1399.0462010396</v>
      </c>
      <c r="V216" s="49">
        <v>1231.67884827168</v>
      </c>
      <c r="W216" s="49">
        <v>1101.79566405436</v>
      </c>
      <c r="X216" s="49">
        <v>1007.3056519056501</v>
      </c>
      <c r="Y216" s="4"/>
      <c r="Z216" s="69">
        <v>14.5580165461864</v>
      </c>
      <c r="AA216" s="69">
        <v>14.853765649464499</v>
      </c>
      <c r="AB216" s="69">
        <v>13.410926286973201</v>
      </c>
      <c r="AC216" s="69">
        <v>11.6357186432056</v>
      </c>
      <c r="AD216" s="70">
        <v>11.611963890683301</v>
      </c>
    </row>
    <row r="217" spans="1:30" x14ac:dyDescent="0.25">
      <c r="A217" s="6">
        <v>323</v>
      </c>
      <c r="B217" s="3" t="s">
        <v>535</v>
      </c>
      <c r="C217" s="3" t="s">
        <v>536</v>
      </c>
      <c r="D217" s="4">
        <f>_xlfn.XLOOKUP(C217,[1]Planilha2!$C$3:$C$329,[1]Planilha2!$I$3:$I$329)</f>
        <v>6</v>
      </c>
      <c r="E217" s="7">
        <v>1141622</v>
      </c>
      <c r="F217" s="7">
        <v>1142638.3333333333</v>
      </c>
      <c r="G217" s="7">
        <v>1143654.6666666667</v>
      </c>
      <c r="H217" s="7">
        <v>1144671</v>
      </c>
      <c r="I217" s="7">
        <v>1136471</v>
      </c>
      <c r="J217" s="4">
        <f>_xlfn.XLOOKUP(C217,[1]Planilha2!$C$3:$C$329,[1]Planilha2!$D$3:$D$329,"")</f>
        <v>29</v>
      </c>
      <c r="K217" s="8" t="s">
        <v>141</v>
      </c>
      <c r="L217" s="4">
        <f>_xlfn.XLOOKUP(C217,[1]Planilha2!$C$3:$C$329,[1]Planilha2!$J$3:$J$329,"")</f>
        <v>1</v>
      </c>
      <c r="M217" s="42">
        <v>0.77595733237259401</v>
      </c>
      <c r="N217" s="43">
        <v>0.74085821830249499</v>
      </c>
      <c r="O217" s="43">
        <v>0.737026086884354</v>
      </c>
      <c r="P217" s="43">
        <v>0.70301615131402395</v>
      </c>
      <c r="Q217" s="67">
        <v>0.70703014677507503</v>
      </c>
      <c r="R217" s="67">
        <v>0.85063903646322103</v>
      </c>
      <c r="S217" s="67">
        <v>0.90629467423732801</v>
      </c>
      <c r="T217" s="49">
        <v>1271.8446403713299</v>
      </c>
      <c r="U217" s="49">
        <v>1142.64078534328</v>
      </c>
      <c r="V217" s="49">
        <v>987.65750044593904</v>
      </c>
      <c r="W217" s="49">
        <v>862.67043680673305</v>
      </c>
      <c r="X217" s="49">
        <v>751.34297094250599</v>
      </c>
      <c r="Y217" s="4"/>
      <c r="Z217" s="69">
        <v>5.1596088722887297</v>
      </c>
      <c r="AA217" s="69">
        <v>4.1027172494067097</v>
      </c>
      <c r="AB217" s="69">
        <v>4.3392993922407799</v>
      </c>
      <c r="AC217" s="69">
        <v>3.1352781716318501</v>
      </c>
      <c r="AD217" s="70">
        <v>3.7481660332731801</v>
      </c>
    </row>
    <row r="218" spans="1:30" ht="25.5" x14ac:dyDescent="0.25">
      <c r="A218" s="6">
        <v>324</v>
      </c>
      <c r="B218" s="3" t="s">
        <v>537</v>
      </c>
      <c r="C218" s="3" t="s">
        <v>538</v>
      </c>
      <c r="D218" s="4">
        <f>_xlfn.XLOOKUP(C218,[1]Planilha2!$C$3:$C$329,[1]Planilha2!$I$3:$I$329)</f>
        <v>13</v>
      </c>
      <c r="E218" s="9">
        <v>1111111</v>
      </c>
      <c r="F218" s="7">
        <v>1111111</v>
      </c>
      <c r="G218" s="7">
        <v>1111111</v>
      </c>
      <c r="H218" s="9">
        <v>1111111</v>
      </c>
      <c r="I218" s="9">
        <v>1111111</v>
      </c>
      <c r="J218" s="4">
        <f>_xlfn.XLOOKUP(C218,[1]Planilha2!$C$3:$C$329,[1]Planilha2!$D$3:$D$329,"")</f>
        <v>42</v>
      </c>
      <c r="K218" s="8" t="s">
        <v>141</v>
      </c>
      <c r="L218" s="4">
        <f>_xlfn.XLOOKUP(C218,[1]Planilha2!$C$3:$C$329,[1]Planilha2!$J$3:$J$329,"")</f>
        <v>1</v>
      </c>
      <c r="M218" s="44"/>
      <c r="N218" s="45"/>
      <c r="O218" s="45"/>
      <c r="P218" s="46"/>
      <c r="Q218" s="68"/>
      <c r="R218" s="68"/>
      <c r="S218" s="68"/>
      <c r="T218" s="50"/>
      <c r="U218" s="50"/>
      <c r="V218" s="50"/>
      <c r="W218" s="50"/>
      <c r="X218" s="50"/>
      <c r="Y218" s="4"/>
      <c r="Z218" s="69"/>
      <c r="AA218" s="69"/>
      <c r="AB218" s="69"/>
      <c r="AC218" s="69"/>
      <c r="AD218" s="70"/>
    </row>
    <row r="219" spans="1:30" x14ac:dyDescent="0.25">
      <c r="A219" s="6">
        <v>1</v>
      </c>
      <c r="B219" s="3" t="s">
        <v>207</v>
      </c>
      <c r="C219" s="3" t="s">
        <v>208</v>
      </c>
      <c r="D219" s="4">
        <f>_xlfn.XLOOKUP(C219,[1]Planilha2!$C$3:$C$329,[1]Planilha2!$I$3:$I$329)</f>
        <v>11</v>
      </c>
      <c r="E219" s="7">
        <v>166527</v>
      </c>
      <c r="F219" s="7">
        <v>169923.33333333334</v>
      </c>
      <c r="G219" s="7">
        <v>173319.66666666666</v>
      </c>
      <c r="H219" s="7">
        <v>176716</v>
      </c>
      <c r="I219" s="7">
        <v>176213</v>
      </c>
      <c r="J219" s="4">
        <f>_xlfn.XLOOKUP(C219,[1]Planilha2!$C$3:$C$329,[1]Planilha2!$D$3:$D$329,"")</f>
        <v>8</v>
      </c>
      <c r="K219" s="8" t="s">
        <v>210</v>
      </c>
      <c r="L219" s="4">
        <f>_xlfn.XLOOKUP(C219,[1]Planilha2!$C$3:$C$329,[1]Planilha2!$J$3:$J$329,"")</f>
        <v>41</v>
      </c>
      <c r="M219" s="42">
        <v>0.53384118504423606</v>
      </c>
      <c r="N219" s="43">
        <v>0.49839267557634298</v>
      </c>
      <c r="O219" s="43">
        <v>0.44478837286946299</v>
      </c>
      <c r="P219" s="43">
        <v>0.43443259804895201</v>
      </c>
      <c r="Q219" s="67">
        <v>0.333869594718045</v>
      </c>
      <c r="R219" s="67">
        <v>0.70867942241599802</v>
      </c>
      <c r="S219" s="67">
        <v>0.74398539654088103</v>
      </c>
      <c r="T219" s="49">
        <v>1504.0052040810201</v>
      </c>
      <c r="U219" s="49">
        <v>1130.5262618239601</v>
      </c>
      <c r="V219" s="49">
        <v>1010.86110462556</v>
      </c>
      <c r="W219" s="49">
        <v>807.38898407614499</v>
      </c>
      <c r="X219" s="49">
        <v>871.750128253875</v>
      </c>
      <c r="Y219" s="4"/>
      <c r="Z219" s="69">
        <v>9.4331669939409206</v>
      </c>
      <c r="AA219" s="69">
        <v>7.9697883359162001</v>
      </c>
      <c r="AB219" s="69">
        <v>6.7363445964008699</v>
      </c>
      <c r="AC219" s="69">
        <v>5.3539634215351199</v>
      </c>
      <c r="AD219" s="70">
        <v>4.5471276239550997</v>
      </c>
    </row>
    <row r="220" spans="1:30" x14ac:dyDescent="0.25">
      <c r="A220" s="6">
        <v>2</v>
      </c>
      <c r="B220" s="3" t="s">
        <v>211</v>
      </c>
      <c r="C220" s="3" t="s">
        <v>212</v>
      </c>
      <c r="D220" s="4">
        <f>_xlfn.XLOOKUP(C220,[1]Planilha2!$C$3:$C$329,[1]Planilha2!$I$3:$I$329)</f>
        <v>11</v>
      </c>
      <c r="E220" s="7">
        <v>2024442</v>
      </c>
      <c r="F220" s="7">
        <v>2061795.3333333337</v>
      </c>
      <c r="G220" s="7">
        <v>2099148.666666666</v>
      </c>
      <c r="H220" s="7">
        <v>2136502</v>
      </c>
      <c r="I220" s="7">
        <v>2127689</v>
      </c>
      <c r="J220" s="4">
        <f>_xlfn.XLOOKUP(C220,[1]Planilha2!$C$3:$C$329,[1]Planilha2!$D$3:$D$329,"")</f>
        <v>20</v>
      </c>
      <c r="K220" s="8" t="s">
        <v>210</v>
      </c>
      <c r="L220" s="4">
        <f>_xlfn.XLOOKUP(C220,[1]Planilha2!$C$3:$C$329,[1]Planilha2!$J$3:$J$329,"")</f>
        <v>14</v>
      </c>
      <c r="M220" s="42">
        <v>0.62425251993974196</v>
      </c>
      <c r="N220" s="43">
        <v>0.58769855049173902</v>
      </c>
      <c r="O220" s="43">
        <v>0.55162011680775402</v>
      </c>
      <c r="P220" s="43">
        <v>0.55323656544730004</v>
      </c>
      <c r="Q220" s="67">
        <v>0.46138109698757201</v>
      </c>
      <c r="R220" s="67">
        <v>0.65234600061675796</v>
      </c>
      <c r="S220" s="67">
        <v>0.91535370804291205</v>
      </c>
      <c r="T220" s="49">
        <v>1417.06420532176</v>
      </c>
      <c r="U220" s="49">
        <v>1129.39505750328</v>
      </c>
      <c r="V220" s="49">
        <v>1026.27574673606</v>
      </c>
      <c r="W220" s="49">
        <v>952.51451360682097</v>
      </c>
      <c r="X220" s="49">
        <v>770.717705989926</v>
      </c>
      <c r="Y220" s="4"/>
      <c r="Z220" s="69">
        <v>14.390443885278</v>
      </c>
      <c r="AA220" s="69">
        <v>13.382432559584799</v>
      </c>
      <c r="AB220" s="69">
        <v>12.900742777310001</v>
      </c>
      <c r="AC220" s="69">
        <v>11.8394263146021</v>
      </c>
      <c r="AD220" s="70">
        <v>10.6550783502664</v>
      </c>
    </row>
    <row r="221" spans="1:30" ht="25.5" x14ac:dyDescent="0.25">
      <c r="A221" s="6">
        <v>3</v>
      </c>
      <c r="B221" s="3" t="s">
        <v>539</v>
      </c>
      <c r="C221" s="3" t="s">
        <v>540</v>
      </c>
      <c r="D221" s="4">
        <f>_xlfn.XLOOKUP(C221,[1]Planilha2!$C$3:$C$329,[1]Planilha2!$I$3:$I$329)</f>
        <v>14</v>
      </c>
      <c r="E221" s="7">
        <v>345515</v>
      </c>
      <c r="F221" s="7">
        <v>342045.33333333331</v>
      </c>
      <c r="G221" s="7">
        <v>338575.66666666669</v>
      </c>
      <c r="H221" s="7">
        <v>335106</v>
      </c>
      <c r="I221" s="7">
        <v>333790</v>
      </c>
      <c r="J221" s="4">
        <f>_xlfn.XLOOKUP(C221,[1]Planilha2!$C$3:$C$329,[1]Planilha2!$D$3:$D$329,"")</f>
        <v>16</v>
      </c>
      <c r="K221" s="8" t="s">
        <v>210</v>
      </c>
      <c r="L221" s="4">
        <f>_xlfn.XLOOKUP(C221,[1]Planilha2!$C$3:$C$329,[1]Planilha2!$J$3:$J$329,"")</f>
        <v>43</v>
      </c>
      <c r="M221" s="42">
        <v>0.51883872966156497</v>
      </c>
      <c r="N221" s="43">
        <v>0.48183367735621901</v>
      </c>
      <c r="O221" s="43">
        <v>0.43273262042458199</v>
      </c>
      <c r="P221" s="43">
        <v>0.41919361844273301</v>
      </c>
      <c r="Q221" s="67">
        <v>0.12565522428762799</v>
      </c>
      <c r="R221" s="67">
        <v>0.73382906213972898</v>
      </c>
      <c r="S221" s="67">
        <v>0.73171799115313496</v>
      </c>
      <c r="T221" s="49">
        <v>1171.14106302187</v>
      </c>
      <c r="U221" s="49">
        <v>960.23845531196605</v>
      </c>
      <c r="V221" s="49">
        <v>860.75975041521997</v>
      </c>
      <c r="W221" s="49">
        <v>695.97406778750599</v>
      </c>
      <c r="X221" s="49">
        <v>680.21429350789401</v>
      </c>
      <c r="Y221" s="4"/>
      <c r="Z221" s="69">
        <v>5.9646411877921404</v>
      </c>
      <c r="AA221" s="69">
        <v>3.6858184490164998</v>
      </c>
      <c r="AB221" s="69">
        <v>3.6786547960229501</v>
      </c>
      <c r="AC221" s="69">
        <v>2.3545146908739301</v>
      </c>
      <c r="AD221" s="70">
        <v>5.2046825848587401</v>
      </c>
    </row>
    <row r="222" spans="1:30" x14ac:dyDescent="0.25">
      <c r="A222" s="6">
        <v>4</v>
      </c>
      <c r="B222" s="3" t="s">
        <v>541</v>
      </c>
      <c r="C222" s="3" t="s">
        <v>542</v>
      </c>
      <c r="D222" s="4">
        <f>_xlfn.XLOOKUP(C222,[1]Planilha2!$C$3:$C$329,[1]Planilha2!$I$3:$I$329)</f>
        <v>6</v>
      </c>
      <c r="E222" s="7">
        <v>454733</v>
      </c>
      <c r="F222" s="7">
        <v>447595.66666666663</v>
      </c>
      <c r="G222" s="7">
        <v>440458.33333333337</v>
      </c>
      <c r="H222" s="7">
        <v>433321</v>
      </c>
      <c r="I222" s="7">
        <v>432448</v>
      </c>
      <c r="J222" s="4">
        <f>_xlfn.XLOOKUP(C222,[1]Planilha2!$C$3:$C$329,[1]Planilha2!$D$3:$D$329,"")</f>
        <v>13</v>
      </c>
      <c r="K222" s="8" t="s">
        <v>210</v>
      </c>
      <c r="L222" s="4">
        <f>_xlfn.XLOOKUP(C222,[1]Planilha2!$C$3:$C$329,[1]Planilha2!$J$3:$J$329,"")</f>
        <v>3</v>
      </c>
      <c r="M222" s="42">
        <v>0.49204081421699802</v>
      </c>
      <c r="N222" s="43">
        <v>0.44885391285592702</v>
      </c>
      <c r="O222" s="43">
        <v>0.40715466986368098</v>
      </c>
      <c r="P222" s="43">
        <v>0.41586236426113699</v>
      </c>
      <c r="Q222" s="67">
        <v>0.317589534689244</v>
      </c>
      <c r="R222" s="67">
        <v>0.71802241278970802</v>
      </c>
      <c r="S222" s="67">
        <v>0.72001956598240502</v>
      </c>
      <c r="T222" s="49">
        <v>1206.42152509275</v>
      </c>
      <c r="U222" s="49">
        <v>1016.66928434666</v>
      </c>
      <c r="V222" s="49">
        <v>904.53611634850097</v>
      </c>
      <c r="W222" s="49">
        <v>737.94288737448699</v>
      </c>
      <c r="X222" s="49">
        <v>726.83514006308303</v>
      </c>
      <c r="Y222" s="4"/>
      <c r="Z222" s="69">
        <v>8.0181886953442998</v>
      </c>
      <c r="AA222" s="69">
        <v>6.49997803076735</v>
      </c>
      <c r="AB222" s="69">
        <v>5.1997381515466801</v>
      </c>
      <c r="AC222" s="69">
        <v>3.9131175271911598</v>
      </c>
      <c r="AD222" s="70">
        <v>3.2113641408909301</v>
      </c>
    </row>
    <row r="223" spans="1:30" x14ac:dyDescent="0.25">
      <c r="A223" s="6">
        <v>5</v>
      </c>
      <c r="B223" s="3" t="s">
        <v>213</v>
      </c>
      <c r="C223" s="3" t="s">
        <v>214</v>
      </c>
      <c r="D223" s="4">
        <f>_xlfn.XLOOKUP(C223,[1]Planilha2!$C$3:$C$329,[1]Planilha2!$I$3:$I$329)</f>
        <v>15</v>
      </c>
      <c r="E223" s="7">
        <v>200271</v>
      </c>
      <c r="F223" s="7">
        <v>201077.66666666666</v>
      </c>
      <c r="G223" s="7">
        <v>201884.33333333334</v>
      </c>
      <c r="H223" s="7">
        <v>202691</v>
      </c>
      <c r="I223" s="7">
        <v>202023</v>
      </c>
      <c r="J223" s="4">
        <f>_xlfn.XLOOKUP(C223,[1]Planilha2!$C$3:$C$329,[1]Planilha2!$D$3:$D$329,"")</f>
        <v>5</v>
      </c>
      <c r="K223" s="8" t="s">
        <v>210</v>
      </c>
      <c r="L223" s="4">
        <f>_xlfn.XLOOKUP(C223,[1]Planilha2!$C$3:$C$329,[1]Planilha2!$J$3:$J$329,"")</f>
        <v>4</v>
      </c>
      <c r="M223" s="42">
        <v>0.63561289551466804</v>
      </c>
      <c r="N223" s="43">
        <v>0.60585706006574702</v>
      </c>
      <c r="O223" s="43">
        <v>0.586014440700376</v>
      </c>
      <c r="P223" s="43">
        <v>0.56678974522702896</v>
      </c>
      <c r="Q223" s="67">
        <v>0.19106629423118501</v>
      </c>
      <c r="R223" s="67">
        <v>0.825136284308011</v>
      </c>
      <c r="S223" s="67">
        <v>0.81422452741091</v>
      </c>
      <c r="T223" s="49">
        <v>1392.5917395429201</v>
      </c>
      <c r="U223" s="49">
        <v>1103.7094756255001</v>
      </c>
      <c r="V223" s="49">
        <v>949.21505470954503</v>
      </c>
      <c r="W223" s="49">
        <v>853.62228520259896</v>
      </c>
      <c r="X223" s="49">
        <v>829.60869534656899</v>
      </c>
      <c r="Y223" s="4"/>
      <c r="Z223" s="69">
        <v>11.7880521892835</v>
      </c>
      <c r="AA223" s="69">
        <v>11.419542697432</v>
      </c>
      <c r="AB223" s="69">
        <v>10.6955550455459</v>
      </c>
      <c r="AC223" s="69">
        <v>7.5169691796873099</v>
      </c>
      <c r="AD223" s="70">
        <v>6.1301633972369496</v>
      </c>
    </row>
    <row r="224" spans="1:30" x14ac:dyDescent="0.25">
      <c r="A224" s="6">
        <v>6</v>
      </c>
      <c r="B224" s="3" t="s">
        <v>216</v>
      </c>
      <c r="C224" s="3" t="s">
        <v>217</v>
      </c>
      <c r="D224" s="4">
        <f>_xlfn.XLOOKUP(C224,[1]Planilha2!$C$3:$C$329,[1]Planilha2!$I$3:$I$329)</f>
        <v>15</v>
      </c>
      <c r="E224" s="7">
        <v>286441</v>
      </c>
      <c r="F224" s="7">
        <v>292516.33333333337</v>
      </c>
      <c r="G224" s="7">
        <v>298591.66666666663</v>
      </c>
      <c r="H224" s="7">
        <v>304667</v>
      </c>
      <c r="I224" s="7">
        <v>303687</v>
      </c>
      <c r="J224" s="4">
        <f>_xlfn.XLOOKUP(C224,[1]Planilha2!$C$3:$C$329,[1]Planilha2!$D$3:$D$329,"")</f>
        <v>9</v>
      </c>
      <c r="K224" s="8" t="s">
        <v>210</v>
      </c>
      <c r="L224" s="4">
        <f>_xlfn.XLOOKUP(C224,[1]Planilha2!$C$3:$C$329,[1]Planilha2!$J$3:$J$329,"")</f>
        <v>1</v>
      </c>
      <c r="M224" s="42">
        <v>0.58298123124748602</v>
      </c>
      <c r="N224" s="43">
        <v>0.557275551561497</v>
      </c>
      <c r="O224" s="43">
        <v>0.52976196700003597</v>
      </c>
      <c r="P224" s="43">
        <v>0.504789519801638</v>
      </c>
      <c r="Q224" s="67">
        <v>0.27203759638302</v>
      </c>
      <c r="R224" s="67">
        <v>0.73242029538667697</v>
      </c>
      <c r="S224" s="67">
        <v>0.71602344450336297</v>
      </c>
      <c r="T224" s="49">
        <v>1432.9838575134099</v>
      </c>
      <c r="U224" s="49">
        <v>873.99242644000503</v>
      </c>
      <c r="V224" s="49">
        <v>1054.9876965420999</v>
      </c>
      <c r="W224" s="49">
        <v>970.27517213876104</v>
      </c>
      <c r="X224" s="49">
        <v>759.11926285945697</v>
      </c>
      <c r="Y224" s="4"/>
      <c r="Z224" s="69">
        <v>9.0183248906406597</v>
      </c>
      <c r="AA224" s="69">
        <v>6.9791692543664201</v>
      </c>
      <c r="AB224" s="69">
        <v>4.85970025955179</v>
      </c>
      <c r="AC224" s="69">
        <v>2.9469814584447902</v>
      </c>
      <c r="AD224" s="70">
        <v>4.3381507934155898</v>
      </c>
    </row>
    <row r="225" spans="1:30" ht="25.5" x14ac:dyDescent="0.25">
      <c r="A225" s="6">
        <v>7</v>
      </c>
      <c r="B225" s="3" t="s">
        <v>543</v>
      </c>
      <c r="C225" s="3" t="s">
        <v>544</v>
      </c>
      <c r="D225" s="4">
        <f>_xlfn.XLOOKUP(C225,[1]Planilha2!$C$3:$C$329,[1]Planilha2!$I$3:$I$329)</f>
        <v>15</v>
      </c>
      <c r="E225" s="7">
        <v>221095</v>
      </c>
      <c r="F225" s="7">
        <v>223147</v>
      </c>
      <c r="G225" s="7">
        <v>225199</v>
      </c>
      <c r="H225" s="7">
        <v>227251</v>
      </c>
      <c r="I225" s="7">
        <v>226204</v>
      </c>
      <c r="J225" s="4">
        <f>_xlfn.XLOOKUP(C225,[1]Planilha2!$C$3:$C$329,[1]Planilha2!$D$3:$D$329,"")</f>
        <v>11</v>
      </c>
      <c r="K225" s="8" t="s">
        <v>210</v>
      </c>
      <c r="L225" s="4">
        <f>_xlfn.XLOOKUP(C225,[1]Planilha2!$C$3:$C$329,[1]Planilha2!$J$3:$J$329,"")</f>
        <v>3</v>
      </c>
      <c r="M225" s="42">
        <v>0.624242780469078</v>
      </c>
      <c r="N225" s="43">
        <v>0.57243295204093603</v>
      </c>
      <c r="O225" s="43">
        <v>0.57159299453027701</v>
      </c>
      <c r="P225" s="43">
        <v>0.55585213214620399</v>
      </c>
      <c r="Q225" s="67">
        <v>0.31144064168431801</v>
      </c>
      <c r="R225" s="67">
        <v>0.81452323189712195</v>
      </c>
      <c r="S225" s="67">
        <v>0.78690495902142799</v>
      </c>
      <c r="T225" s="49">
        <v>1581.2164886134899</v>
      </c>
      <c r="U225" s="49">
        <v>1243.00708597173</v>
      </c>
      <c r="V225" s="49">
        <v>1183.2249487194299</v>
      </c>
      <c r="W225" s="49">
        <v>1127.5409511069299</v>
      </c>
      <c r="X225" s="49">
        <v>950.82534146168905</v>
      </c>
      <c r="Y225" s="4"/>
      <c r="Z225" s="69">
        <v>12.280666681743099</v>
      </c>
      <c r="AA225" s="69">
        <v>11.1386798836641</v>
      </c>
      <c r="AB225" s="69">
        <v>10.4939009498266</v>
      </c>
      <c r="AC225" s="69">
        <v>5.8245244245349896</v>
      </c>
      <c r="AD225" s="70">
        <v>4.2936199183038299</v>
      </c>
    </row>
    <row r="226" spans="1:30" ht="25.5" x14ac:dyDescent="0.25">
      <c r="A226" s="6">
        <v>51</v>
      </c>
      <c r="B226" s="3" t="s">
        <v>218</v>
      </c>
      <c r="C226" s="3" t="s">
        <v>219</v>
      </c>
      <c r="D226" s="4">
        <f>_xlfn.XLOOKUP(C226,[1]Planilha2!$C$3:$C$329,[1]Planilha2!$I$3:$I$329)</f>
        <v>13</v>
      </c>
      <c r="E226" s="7">
        <v>593635</v>
      </c>
      <c r="F226" s="7">
        <v>605793.33333333326</v>
      </c>
      <c r="G226" s="7">
        <v>617951.66666666674</v>
      </c>
      <c r="H226" s="7">
        <v>630110</v>
      </c>
      <c r="I226" s="7">
        <v>625977</v>
      </c>
      <c r="J226" s="4">
        <f>_xlfn.XLOOKUP(C226,[1]Planilha2!$C$3:$C$329,[1]Planilha2!$D$3:$D$329,"")</f>
        <v>24</v>
      </c>
      <c r="K226" s="8" t="s">
        <v>210</v>
      </c>
      <c r="L226" s="4">
        <f>_xlfn.XLOOKUP(C226,[1]Planilha2!$C$3:$C$329,[1]Planilha2!$J$3:$J$329,"")</f>
        <v>7</v>
      </c>
      <c r="M226" s="42">
        <v>0.52190246261101203</v>
      </c>
      <c r="N226" s="43">
        <v>0.49069266469060402</v>
      </c>
      <c r="O226" s="43">
        <v>0.46864229817016101</v>
      </c>
      <c r="P226" s="43">
        <v>0.45783768588941798</v>
      </c>
      <c r="Q226" s="67">
        <v>0.48890863087997699</v>
      </c>
      <c r="R226" s="67">
        <v>0.56978318579392695</v>
      </c>
      <c r="S226" s="67">
        <v>0.76570919920921499</v>
      </c>
      <c r="T226" s="49">
        <v>1163.58044048953</v>
      </c>
      <c r="U226" s="49">
        <v>936.60821784106804</v>
      </c>
      <c r="V226" s="49">
        <v>817.57863072893997</v>
      </c>
      <c r="W226" s="49">
        <v>684.67447223500699</v>
      </c>
      <c r="X226" s="49">
        <v>629.689244445084</v>
      </c>
      <c r="Y226" s="4"/>
      <c r="Z226" s="69">
        <v>10.5081708457217</v>
      </c>
      <c r="AA226" s="69">
        <v>9.0081678020006795</v>
      </c>
      <c r="AB226" s="69">
        <v>8.4050214283209801</v>
      </c>
      <c r="AC226" s="69">
        <v>6.7050657821650201</v>
      </c>
      <c r="AD226" s="70">
        <v>5.8196547157483396</v>
      </c>
    </row>
    <row r="227" spans="1:30" ht="25.5" x14ac:dyDescent="0.25">
      <c r="A227" s="6">
        <v>54</v>
      </c>
      <c r="B227" s="3" t="s">
        <v>545</v>
      </c>
      <c r="C227" s="3" t="s">
        <v>546</v>
      </c>
      <c r="D227" s="4">
        <f>_xlfn.XLOOKUP(C227,[1]Planilha2!$C$3:$C$329,[1]Planilha2!$I$3:$I$329)</f>
        <v>25</v>
      </c>
      <c r="E227" s="7">
        <v>195697</v>
      </c>
      <c r="F227" s="7">
        <v>196207.33333333334</v>
      </c>
      <c r="G227" s="7">
        <v>196717.66666666666</v>
      </c>
      <c r="H227" s="7">
        <v>197228</v>
      </c>
      <c r="I227" s="7">
        <v>196752</v>
      </c>
      <c r="J227" s="4">
        <f>_xlfn.XLOOKUP(C227,[1]Planilha2!$C$3:$C$329,[1]Planilha2!$D$3:$D$329,"")</f>
        <v>20</v>
      </c>
      <c r="K227" s="8" t="s">
        <v>210</v>
      </c>
      <c r="L227" s="4">
        <f>_xlfn.XLOOKUP(C227,[1]Planilha2!$C$3:$C$329,[1]Planilha2!$J$3:$J$329,"")</f>
        <v>3</v>
      </c>
      <c r="M227" s="42">
        <v>0.60549600830414096</v>
      </c>
      <c r="N227" s="43">
        <v>0.575836693365958</v>
      </c>
      <c r="O227" s="43">
        <v>0.55154830095118301</v>
      </c>
      <c r="P227" s="43">
        <v>0.55451451675205299</v>
      </c>
      <c r="Q227" s="67">
        <v>0.57574417600181604</v>
      </c>
      <c r="R227" s="67">
        <v>0.79076942555574603</v>
      </c>
      <c r="S227" s="67">
        <v>0.84827053086233595</v>
      </c>
      <c r="T227" s="49">
        <v>1531.9625454146001</v>
      </c>
      <c r="U227" s="49">
        <v>1288.8972108585799</v>
      </c>
      <c r="V227" s="49">
        <v>1140.9910468641201</v>
      </c>
      <c r="W227" s="49">
        <v>968.09004690003496</v>
      </c>
      <c r="X227" s="49">
        <v>828.84433205253299</v>
      </c>
      <c r="Y227" s="4"/>
      <c r="Z227" s="69">
        <v>13.4312687470937</v>
      </c>
      <c r="AA227" s="69">
        <v>11.7439749108936</v>
      </c>
      <c r="AB227" s="69">
        <v>16.8731769558064</v>
      </c>
      <c r="AC227" s="69">
        <v>8.1537661995254194</v>
      </c>
      <c r="AD227" s="70">
        <v>4.8026195413515502</v>
      </c>
    </row>
    <row r="228" spans="1:30" x14ac:dyDescent="0.25">
      <c r="A228" s="6">
        <v>86</v>
      </c>
      <c r="B228" s="3" t="s">
        <v>547</v>
      </c>
      <c r="C228" s="3" t="s">
        <v>548</v>
      </c>
      <c r="D228" s="4">
        <f>_xlfn.XLOOKUP(C228,[1]Planilha2!$C$3:$C$329,[1]Planilha2!$I$3:$I$329)</f>
        <v>11</v>
      </c>
      <c r="E228" s="7">
        <v>2795734</v>
      </c>
      <c r="F228" s="7">
        <v>2844337.6666666665</v>
      </c>
      <c r="G228" s="7">
        <v>2892941.3333333335</v>
      </c>
      <c r="H228" s="7">
        <v>2941545</v>
      </c>
      <c r="I228" s="7">
        <v>2929329</v>
      </c>
      <c r="J228" s="4">
        <f>_xlfn.XLOOKUP(C228,[1]Planilha2!$C$3:$C$329,[1]Planilha2!$D$3:$D$329,"")</f>
        <v>50</v>
      </c>
      <c r="K228" s="8" t="s">
        <v>210</v>
      </c>
      <c r="L228" s="4">
        <f>_xlfn.XLOOKUP(C228,[1]Planilha2!$C$3:$C$329,[1]Planilha2!$J$3:$J$329,"")</f>
        <v>12</v>
      </c>
      <c r="M228" s="42">
        <v>0.61804124045047204</v>
      </c>
      <c r="N228" s="43">
        <v>0.58094791270107604</v>
      </c>
      <c r="O228" s="43">
        <v>0.54282545495649404</v>
      </c>
      <c r="P228" s="43">
        <v>0.54112830221528596</v>
      </c>
      <c r="Q228" s="67">
        <v>0.41950092015922902</v>
      </c>
      <c r="R228" s="67">
        <v>0.67930553609567301</v>
      </c>
      <c r="S228" s="67">
        <v>0.90954268358247603</v>
      </c>
      <c r="T228" s="49">
        <v>1480.32080028715</v>
      </c>
      <c r="U228" s="49">
        <v>1169.9203885204399</v>
      </c>
      <c r="V228" s="49">
        <v>1061.8903831590501</v>
      </c>
      <c r="W228" s="49">
        <v>957.42822442967895</v>
      </c>
      <c r="X228" s="49">
        <v>801.44199602024901</v>
      </c>
      <c r="Y228" s="4"/>
      <c r="Z228" s="69">
        <v>13.844588576738699</v>
      </c>
      <c r="AA228" s="69">
        <v>12.4338342154172</v>
      </c>
      <c r="AB228" s="69">
        <v>11.8951081390751</v>
      </c>
      <c r="AC228" s="69">
        <v>10.5420138056702</v>
      </c>
      <c r="AD228" s="70">
        <v>9.4326782686410393</v>
      </c>
    </row>
    <row r="229" spans="1:30" x14ac:dyDescent="0.25">
      <c r="A229" s="6">
        <v>87</v>
      </c>
      <c r="B229" s="3" t="s">
        <v>549</v>
      </c>
      <c r="C229" s="3" t="s">
        <v>550</v>
      </c>
      <c r="D229" s="4">
        <f>_xlfn.XLOOKUP(C229,[1]Planilha2!$C$3:$C$329,[1]Planilha2!$I$3:$I$329)</f>
        <v>6</v>
      </c>
      <c r="E229" s="7">
        <v>662016</v>
      </c>
      <c r="F229" s="7" t="e">
        <v>#VALUE!</v>
      </c>
      <c r="G229" s="7" t="e">
        <v>#VALUE!</v>
      </c>
      <c r="H229" s="7">
        <v>621127</v>
      </c>
      <c r="I229" s="7">
        <v>615398</v>
      </c>
      <c r="J229" s="4">
        <f>_xlfn.XLOOKUP(C229,[1]Planilha2!$C$3:$C$329,[1]Planilha2!$D$3:$D$329,"")</f>
        <v>23</v>
      </c>
      <c r="K229" s="8" t="s">
        <v>210</v>
      </c>
      <c r="L229" s="4">
        <f>_xlfn.XLOOKUP(C229,[1]Planilha2!$C$3:$C$329,[1]Planilha2!$J$3:$J$329,"")</f>
        <v>1</v>
      </c>
      <c r="M229" s="42">
        <v>0.55715047397153705</v>
      </c>
      <c r="N229" s="43">
        <v>0.52083062732700702</v>
      </c>
      <c r="O229" s="43">
        <v>0.47989665028247003</v>
      </c>
      <c r="P229" s="43">
        <v>0.47641138368990499</v>
      </c>
      <c r="Q229" s="67">
        <v>0.35064464450944499</v>
      </c>
      <c r="R229" s="67">
        <v>0.78231664527614297</v>
      </c>
      <c r="S229" s="67">
        <v>0.73626016321214904</v>
      </c>
      <c r="T229" s="49">
        <v>1732.11338121737</v>
      </c>
      <c r="U229" s="49">
        <v>1491.97634690018</v>
      </c>
      <c r="V229" s="49">
        <v>1323.9856113733899</v>
      </c>
      <c r="W229" s="49">
        <v>1163.2243198250901</v>
      </c>
      <c r="X229" s="49">
        <v>997.19084600534995</v>
      </c>
      <c r="Y229" s="4"/>
      <c r="Z229" s="69">
        <v>10.1190726508121</v>
      </c>
      <c r="AA229" s="69">
        <v>9.4013656467157691</v>
      </c>
      <c r="AB229" s="69">
        <v>8.8865328971206807</v>
      </c>
      <c r="AC229" s="69">
        <v>7.5442316949673698</v>
      </c>
      <c r="AD229" s="70">
        <v>6.3468633307225604</v>
      </c>
    </row>
    <row r="230" spans="1:30" ht="25.5" x14ac:dyDescent="0.25">
      <c r="A230" s="6">
        <v>88</v>
      </c>
      <c r="B230" s="3" t="s">
        <v>551</v>
      </c>
      <c r="C230" s="3" t="s">
        <v>552</v>
      </c>
      <c r="D230" s="4">
        <f>_xlfn.XLOOKUP(C230,[1]Planilha2!$C$3:$C$329,[1]Planilha2!$I$3:$I$329)</f>
        <v>8</v>
      </c>
      <c r="E230" s="7">
        <v>446617</v>
      </c>
      <c r="F230" s="7">
        <v>445327.66666666674</v>
      </c>
      <c r="G230" s="7">
        <v>444038.33333333326</v>
      </c>
      <c r="H230" s="7">
        <v>442749</v>
      </c>
      <c r="I230" s="7">
        <v>441762</v>
      </c>
      <c r="J230" s="4">
        <f>_xlfn.XLOOKUP(C230,[1]Planilha2!$C$3:$C$329,[1]Planilha2!$D$3:$D$329,"")</f>
        <v>23</v>
      </c>
      <c r="K230" s="8" t="s">
        <v>210</v>
      </c>
      <c r="L230" s="4">
        <f>_xlfn.XLOOKUP(C230,[1]Planilha2!$C$3:$C$329,[1]Planilha2!$J$3:$J$329,"")</f>
        <v>1</v>
      </c>
      <c r="M230" s="42">
        <v>0.53136852063237305</v>
      </c>
      <c r="N230" s="43">
        <v>0.50149736051316895</v>
      </c>
      <c r="O230" s="43">
        <v>0.455076651104802</v>
      </c>
      <c r="P230" s="43">
        <v>0.45645493750028299</v>
      </c>
      <c r="Q230" s="67">
        <v>0.25057728101552801</v>
      </c>
      <c r="R230" s="67">
        <v>0.71795867616534603</v>
      </c>
      <c r="S230" s="67">
        <v>0.62771966279187597</v>
      </c>
      <c r="T230" s="49">
        <v>1221.1271680657001</v>
      </c>
      <c r="U230" s="49">
        <v>1099.2861138652199</v>
      </c>
      <c r="V230" s="49">
        <v>962.83879527668398</v>
      </c>
      <c r="W230" s="49">
        <v>779.60603183745195</v>
      </c>
      <c r="X230" s="49">
        <v>751.693069503488</v>
      </c>
      <c r="Y230" s="4"/>
      <c r="Z230" s="69">
        <v>6.1069910012381996</v>
      </c>
      <c r="AA230" s="69">
        <v>5.5016590779972496</v>
      </c>
      <c r="AB230" s="69">
        <v>5.3526369720332001</v>
      </c>
      <c r="AC230" s="69">
        <v>3.9953901646305199</v>
      </c>
      <c r="AD230" s="70">
        <v>4.9543464580475503</v>
      </c>
    </row>
    <row r="231" spans="1:30" x14ac:dyDescent="0.25">
      <c r="A231" s="6">
        <v>89</v>
      </c>
      <c r="B231" s="3" t="s">
        <v>553</v>
      </c>
      <c r="C231" s="3" t="s">
        <v>554</v>
      </c>
      <c r="D231" s="4">
        <f>_xlfn.XLOOKUP(C231,[1]Planilha2!$C$3:$C$329,[1]Planilha2!$I$3:$I$329)</f>
        <v>13</v>
      </c>
      <c r="E231" s="7">
        <v>430875</v>
      </c>
      <c r="F231" s="7">
        <v>429407.99999999994</v>
      </c>
      <c r="G231" s="7">
        <v>427941.00000000006</v>
      </c>
      <c r="H231" s="7">
        <v>426474</v>
      </c>
      <c r="I231" s="7">
        <v>423798</v>
      </c>
      <c r="J231" s="4">
        <f>_xlfn.XLOOKUP(C231,[1]Planilha2!$C$3:$C$329,[1]Planilha2!$D$3:$D$329,"")</f>
        <v>13</v>
      </c>
      <c r="K231" s="8" t="s">
        <v>210</v>
      </c>
      <c r="L231" s="4">
        <f>_xlfn.XLOOKUP(C231,[1]Planilha2!$C$3:$C$329,[1]Planilha2!$J$3:$J$329,"")</f>
        <v>1</v>
      </c>
      <c r="M231" s="42">
        <v>0.50414108928260903</v>
      </c>
      <c r="N231" s="43">
        <v>0.46202361197766401</v>
      </c>
      <c r="O231" s="43">
        <v>0.43913732419795798</v>
      </c>
      <c r="P231" s="43">
        <v>0.43805541909117102</v>
      </c>
      <c r="Q231" s="67">
        <v>0.147763271884053</v>
      </c>
      <c r="R231" s="67">
        <v>0.69438005464927799</v>
      </c>
      <c r="S231" s="67">
        <v>0.70484624663991802</v>
      </c>
      <c r="T231" s="49">
        <v>1556.78756588338</v>
      </c>
      <c r="U231" s="49">
        <v>1359.22954063113</v>
      </c>
      <c r="V231" s="49">
        <v>1163.3275599829601</v>
      </c>
      <c r="W231" s="49">
        <v>1053.3528547578501</v>
      </c>
      <c r="X231" s="49">
        <v>890.07509653183797</v>
      </c>
      <c r="Y231" s="4"/>
      <c r="Z231" s="69">
        <v>7.0199408181027003</v>
      </c>
      <c r="AA231" s="69">
        <v>7.2547833296072701</v>
      </c>
      <c r="AB231" s="69">
        <v>5.87278620183623</v>
      </c>
      <c r="AC231" s="69">
        <v>4.1254777547986503</v>
      </c>
      <c r="AD231" s="70">
        <v>2.86937880782826</v>
      </c>
    </row>
    <row r="232" spans="1:30" ht="25.5" x14ac:dyDescent="0.25">
      <c r="A232" s="6">
        <v>90</v>
      </c>
      <c r="B232" s="3" t="s">
        <v>221</v>
      </c>
      <c r="C232" s="3" t="s">
        <v>222</v>
      </c>
      <c r="D232" s="4">
        <f>_xlfn.XLOOKUP(C232,[1]Planilha2!$C$3:$C$329,[1]Planilha2!$I$3:$I$329)</f>
        <v>11</v>
      </c>
      <c r="E232" s="7">
        <v>307114</v>
      </c>
      <c r="F232" s="7">
        <v>300280.99999999994</v>
      </c>
      <c r="G232" s="7">
        <v>293448.00000000006</v>
      </c>
      <c r="H232" s="7">
        <v>286615</v>
      </c>
      <c r="I232" s="7">
        <v>286262</v>
      </c>
      <c r="J232" s="4">
        <f>_xlfn.XLOOKUP(C232,[1]Planilha2!$C$3:$C$329,[1]Planilha2!$D$3:$D$329,"")</f>
        <v>16</v>
      </c>
      <c r="K232" s="8" t="s">
        <v>210</v>
      </c>
      <c r="L232" s="4">
        <f>_xlfn.XLOOKUP(C232,[1]Planilha2!$C$3:$C$329,[1]Planilha2!$J$3:$J$329,"")</f>
        <v>17</v>
      </c>
      <c r="M232" s="42">
        <v>0.51163741706379495</v>
      </c>
      <c r="N232" s="43">
        <v>0.47307842241214798</v>
      </c>
      <c r="O232" s="43">
        <v>0.42585261064494201</v>
      </c>
      <c r="P232" s="43">
        <v>0.42786160126038397</v>
      </c>
      <c r="Q232" s="67">
        <v>0.28982206137600802</v>
      </c>
      <c r="R232" s="67">
        <v>0.77976914456167101</v>
      </c>
      <c r="S232" s="67">
        <v>0.74809721165817</v>
      </c>
      <c r="T232" s="49">
        <v>1092.9671993136101</v>
      </c>
      <c r="U232" s="49">
        <v>979.70345322103901</v>
      </c>
      <c r="V232" s="49">
        <v>891.77171047908496</v>
      </c>
      <c r="W232" s="49">
        <v>787.66514097308198</v>
      </c>
      <c r="X232" s="49">
        <v>748.000498948516</v>
      </c>
      <c r="Y232" s="4"/>
      <c r="Z232" s="69">
        <v>3.5875179900623202</v>
      </c>
      <c r="AA232" s="69">
        <v>3.27875889583424</v>
      </c>
      <c r="AB232" s="69">
        <v>3.10549058095472</v>
      </c>
      <c r="AC232" s="69">
        <v>1.9819548872180499</v>
      </c>
      <c r="AD232" s="70">
        <v>2.8295198105232302</v>
      </c>
    </row>
    <row r="233" spans="1:30" x14ac:dyDescent="0.25">
      <c r="A233" s="6">
        <v>91</v>
      </c>
      <c r="B233" s="3" t="s">
        <v>555</v>
      </c>
      <c r="C233" s="3" t="s">
        <v>556</v>
      </c>
      <c r="D233" s="4">
        <f>_xlfn.XLOOKUP(C233,[1]Planilha2!$C$3:$C$329,[1]Planilha2!$I$3:$I$329)</f>
        <v>11</v>
      </c>
      <c r="E233" s="7">
        <v>653556</v>
      </c>
      <c r="F233" s="7">
        <v>627248.33333333326</v>
      </c>
      <c r="G233" s="7">
        <v>600940.66666666674</v>
      </c>
      <c r="H233" s="7">
        <v>574633</v>
      </c>
      <c r="I233" s="7">
        <v>575254</v>
      </c>
      <c r="J233" s="4">
        <f>_xlfn.XLOOKUP(C233,[1]Planilha2!$C$3:$C$329,[1]Planilha2!$D$3:$D$329,"")</f>
        <v>19</v>
      </c>
      <c r="K233" s="8" t="s">
        <v>210</v>
      </c>
      <c r="L233" s="4">
        <f>_xlfn.XLOOKUP(C233,[1]Planilha2!$C$3:$C$329,[1]Planilha2!$J$3:$J$329,"")</f>
        <v>35</v>
      </c>
      <c r="M233" s="42">
        <v>0.58733349178555005</v>
      </c>
      <c r="N233" s="43">
        <v>0.53971254877076003</v>
      </c>
      <c r="O233" s="43">
        <v>0.49726886360511802</v>
      </c>
      <c r="P233" s="43">
        <v>0.49553011765237598</v>
      </c>
      <c r="Q233" s="67">
        <v>0.53110787787146996</v>
      </c>
      <c r="R233" s="67">
        <v>0.76139371740526796</v>
      </c>
      <c r="S233" s="67">
        <v>0.76970930108463298</v>
      </c>
      <c r="T233" s="49">
        <v>1099.35320662652</v>
      </c>
      <c r="U233" s="49">
        <v>1055.9342622725201</v>
      </c>
      <c r="V233" s="49">
        <v>864.96414412515503</v>
      </c>
      <c r="W233" s="49">
        <v>817.018725830226</v>
      </c>
      <c r="X233" s="49">
        <v>789.96056069145095</v>
      </c>
      <c r="Y233" s="4"/>
      <c r="Z233" s="69">
        <v>7.9057066265170803</v>
      </c>
      <c r="AA233" s="69">
        <v>6.5724574796266202</v>
      </c>
      <c r="AB233" s="69">
        <v>6.6756989874763004</v>
      </c>
      <c r="AC233" s="69">
        <v>5.52744969397859</v>
      </c>
      <c r="AD233" s="70">
        <v>4.55382318071669</v>
      </c>
    </row>
    <row r="234" spans="1:30" x14ac:dyDescent="0.25">
      <c r="A234" s="6">
        <v>92</v>
      </c>
      <c r="B234" s="3" t="s">
        <v>557</v>
      </c>
      <c r="C234" s="3" t="s">
        <v>558</v>
      </c>
      <c r="D234" s="4">
        <f>_xlfn.XLOOKUP(C234,[1]Planilha2!$C$3:$C$329,[1]Planilha2!$I$3:$I$329)</f>
        <v>8</v>
      </c>
      <c r="E234" s="7">
        <v>622028</v>
      </c>
      <c r="F234" s="7">
        <v>618222.33333333326</v>
      </c>
      <c r="G234" s="7">
        <v>614416.66666666674</v>
      </c>
      <c r="H234" s="7">
        <v>610611</v>
      </c>
      <c r="I234" s="7">
        <v>612214</v>
      </c>
      <c r="J234" s="4">
        <f>_xlfn.XLOOKUP(C234,[1]Planilha2!$C$3:$C$329,[1]Planilha2!$D$3:$D$329,"")</f>
        <v>28</v>
      </c>
      <c r="K234" s="8" t="s">
        <v>210</v>
      </c>
      <c r="L234" s="4">
        <f>_xlfn.XLOOKUP(C234,[1]Planilha2!$C$3:$C$329,[1]Planilha2!$J$3:$J$329,"")</f>
        <v>1</v>
      </c>
      <c r="M234" s="42">
        <v>0.50534935435849104</v>
      </c>
      <c r="N234" s="43">
        <v>0.46517644405262398</v>
      </c>
      <c r="O234" s="43">
        <v>0.41804802845019201</v>
      </c>
      <c r="P234" s="43">
        <v>0.424468097920008</v>
      </c>
      <c r="Q234" s="67">
        <v>0.52523886396310804</v>
      </c>
      <c r="R234" s="67">
        <v>0.814719363407025</v>
      </c>
      <c r="S234" s="67">
        <v>0.85819981939509005</v>
      </c>
      <c r="T234" s="49">
        <v>1217.5758108799</v>
      </c>
      <c r="U234" s="49">
        <v>1021.0302790474</v>
      </c>
      <c r="V234" s="49">
        <v>915.02330371897494</v>
      </c>
      <c r="W234" s="49">
        <v>770.15122644367705</v>
      </c>
      <c r="X234" s="49">
        <v>740.91120487280602</v>
      </c>
      <c r="Y234" s="4"/>
      <c r="Z234" s="69">
        <v>3.69169233539326</v>
      </c>
      <c r="AA234" s="69">
        <v>4.4601462149269899</v>
      </c>
      <c r="AB234" s="69">
        <v>4.3744483927844797</v>
      </c>
      <c r="AC234" s="69">
        <v>3.9386041194803201</v>
      </c>
      <c r="AD234" s="70">
        <v>4.2365153361406298</v>
      </c>
    </row>
    <row r="235" spans="1:30" ht="25.5" x14ac:dyDescent="0.25">
      <c r="A235" s="6">
        <v>93</v>
      </c>
      <c r="B235" s="3" t="s">
        <v>559</v>
      </c>
      <c r="C235" s="3" t="s">
        <v>560</v>
      </c>
      <c r="D235" s="4">
        <f>_xlfn.XLOOKUP(C235,[1]Planilha2!$C$3:$C$329,[1]Planilha2!$I$3:$I$329)</f>
        <v>7</v>
      </c>
      <c r="E235" s="7">
        <v>965334</v>
      </c>
      <c r="F235" s="7">
        <v>942405</v>
      </c>
      <c r="G235" s="7">
        <v>919476</v>
      </c>
      <c r="H235" s="7">
        <v>896547</v>
      </c>
      <c r="I235" s="7">
        <v>896733</v>
      </c>
      <c r="J235" s="4">
        <f>_xlfn.XLOOKUP(C235,[1]Planilha2!$C$3:$C$329,[1]Planilha2!$D$3:$D$329,"")</f>
        <v>31</v>
      </c>
      <c r="K235" s="8" t="s">
        <v>210</v>
      </c>
      <c r="L235" s="4">
        <f>_xlfn.XLOOKUP(C235,[1]Planilha2!$C$3:$C$329,[1]Planilha2!$J$3:$J$329,"")</f>
        <v>1</v>
      </c>
      <c r="M235" s="42">
        <v>0.55753580198180896</v>
      </c>
      <c r="N235" s="43">
        <v>0.50876069641839505</v>
      </c>
      <c r="O235" s="43">
        <v>0.45815195868147501</v>
      </c>
      <c r="P235" s="43">
        <v>0.45522222311435001</v>
      </c>
      <c r="Q235" s="67">
        <v>0.55374321533859105</v>
      </c>
      <c r="R235" s="67">
        <v>0.76954170291919899</v>
      </c>
      <c r="S235" s="67">
        <v>0.78724905366389897</v>
      </c>
      <c r="T235" s="49">
        <v>1092.3572457201301</v>
      </c>
      <c r="U235" s="49">
        <v>1002.46388574976</v>
      </c>
      <c r="V235" s="49">
        <v>815.76962560922402</v>
      </c>
      <c r="W235" s="49">
        <v>765.23460997582902</v>
      </c>
      <c r="X235" s="49">
        <v>743.18558586558095</v>
      </c>
      <c r="Y235" s="4"/>
      <c r="Z235" s="69">
        <v>7.5320386519070102</v>
      </c>
      <c r="AA235" s="69">
        <v>5.8058690265862296</v>
      </c>
      <c r="AB235" s="69">
        <v>6.52641069478703</v>
      </c>
      <c r="AC235" s="69">
        <v>5.4979092005215602</v>
      </c>
      <c r="AD235" s="70">
        <v>4.4818781064151798</v>
      </c>
    </row>
    <row r="236" spans="1:30" ht="25.5" x14ac:dyDescent="0.25">
      <c r="A236" s="6">
        <v>94</v>
      </c>
      <c r="B236" s="3" t="s">
        <v>224</v>
      </c>
      <c r="C236" s="3" t="s">
        <v>225</v>
      </c>
      <c r="D236" s="4">
        <f>_xlfn.XLOOKUP(C236,[1]Planilha2!$C$3:$C$329,[1]Planilha2!$I$3:$I$329)</f>
        <v>11</v>
      </c>
      <c r="E236" s="7">
        <v>267790</v>
      </c>
      <c r="F236" s="7">
        <v>273188.33333333331</v>
      </c>
      <c r="G236" s="7">
        <v>278586.66666666669</v>
      </c>
      <c r="H236" s="7">
        <v>283985</v>
      </c>
      <c r="I236" s="7">
        <v>284034</v>
      </c>
      <c r="J236" s="4">
        <f>_xlfn.XLOOKUP(C236,[1]Planilha2!$C$3:$C$329,[1]Planilha2!$D$3:$D$329,"")</f>
        <v>14</v>
      </c>
      <c r="K236" s="8" t="s">
        <v>210</v>
      </c>
      <c r="L236" s="4">
        <f>_xlfn.XLOOKUP(C236,[1]Planilha2!$C$3:$C$329,[1]Planilha2!$J$3:$J$329,"")</f>
        <v>23</v>
      </c>
      <c r="M236" s="42">
        <v>0.51038606736500503</v>
      </c>
      <c r="N236" s="43">
        <v>0.45785481154877</v>
      </c>
      <c r="O236" s="43">
        <v>0.40194500378541098</v>
      </c>
      <c r="P236" s="43">
        <v>0.40264368385475002</v>
      </c>
      <c r="Q236" s="67">
        <v>0.68550569098784297</v>
      </c>
      <c r="R236" s="67">
        <v>0.82152831949363403</v>
      </c>
      <c r="S236" s="67">
        <v>0.85407626411888604</v>
      </c>
      <c r="T236" s="49">
        <v>1155.7444385152501</v>
      </c>
      <c r="U236" s="49">
        <v>970.64330339875403</v>
      </c>
      <c r="V236" s="49">
        <v>796.42525214176305</v>
      </c>
      <c r="W236" s="49">
        <v>733.55065764036794</v>
      </c>
      <c r="X236" s="49">
        <v>736.61995754029499</v>
      </c>
      <c r="Y236" s="4"/>
      <c r="Z236" s="69">
        <v>7.0989133276074501</v>
      </c>
      <c r="AA236" s="69">
        <v>3.5086600818727001</v>
      </c>
      <c r="AB236" s="69">
        <v>5.6134596056284103</v>
      </c>
      <c r="AC236" s="69">
        <v>3.9035336373399998</v>
      </c>
      <c r="AD236" s="70">
        <v>3.8658435257750798</v>
      </c>
    </row>
    <row r="237" spans="1:30" ht="25.5" x14ac:dyDescent="0.25">
      <c r="A237" s="6">
        <v>95</v>
      </c>
      <c r="B237" s="3" t="s">
        <v>561</v>
      </c>
      <c r="C237" s="3" t="s">
        <v>562</v>
      </c>
      <c r="D237" s="4">
        <f>_xlfn.XLOOKUP(C237,[1]Planilha2!$C$3:$C$329,[1]Planilha2!$I$3:$I$329)</f>
        <v>8</v>
      </c>
      <c r="E237" s="7">
        <v>451460</v>
      </c>
      <c r="F237" s="7">
        <v>453695.66666666663</v>
      </c>
      <c r="G237" s="7">
        <v>455931.33333333337</v>
      </c>
      <c r="H237" s="7">
        <v>458167</v>
      </c>
      <c r="I237" s="7">
        <v>455542</v>
      </c>
      <c r="J237" s="4">
        <f>_xlfn.XLOOKUP(C237,[1]Planilha2!$C$3:$C$329,[1]Planilha2!$D$3:$D$329,"")</f>
        <v>13</v>
      </c>
      <c r="K237" s="8" t="s">
        <v>210</v>
      </c>
      <c r="L237" s="4">
        <f>_xlfn.XLOOKUP(C237,[1]Planilha2!$C$3:$C$329,[1]Planilha2!$J$3:$J$329,"")</f>
        <v>1</v>
      </c>
      <c r="M237" s="42">
        <v>0.53398172710488001</v>
      </c>
      <c r="N237" s="43">
        <v>0.49965730036833</v>
      </c>
      <c r="O237" s="43">
        <v>0.46710795386834902</v>
      </c>
      <c r="P237" s="43">
        <v>0.47141631419276397</v>
      </c>
      <c r="Q237" s="67">
        <v>0.53434321103908899</v>
      </c>
      <c r="R237" s="67">
        <v>0.70952578144077205</v>
      </c>
      <c r="S237" s="67">
        <v>0.86624932818830902</v>
      </c>
      <c r="T237" s="49">
        <v>1308.8970668719301</v>
      </c>
      <c r="U237" s="49">
        <v>1096.17630535741</v>
      </c>
      <c r="V237" s="49">
        <v>1047.43656711464</v>
      </c>
      <c r="W237" s="49">
        <v>909.77598218553499</v>
      </c>
      <c r="X237" s="49">
        <v>867.67239200776203</v>
      </c>
      <c r="Y237" s="4"/>
      <c r="Z237" s="69">
        <v>10.0978048996589</v>
      </c>
      <c r="AA237" s="69">
        <v>6.0449905112604903</v>
      </c>
      <c r="AB237" s="69">
        <v>6.7106991257455402</v>
      </c>
      <c r="AC237" s="69">
        <v>5.9775649490251404</v>
      </c>
      <c r="AD237" s="70">
        <v>5.2512655254619798</v>
      </c>
    </row>
    <row r="238" spans="1:30" ht="25.5" x14ac:dyDescent="0.25">
      <c r="A238" s="6">
        <v>96</v>
      </c>
      <c r="B238" s="3" t="s">
        <v>563</v>
      </c>
      <c r="C238" s="3" t="s">
        <v>564</v>
      </c>
      <c r="D238" s="4">
        <f>_xlfn.XLOOKUP(C238,[1]Planilha2!$C$3:$C$329,[1]Planilha2!$I$3:$I$329)</f>
        <v>7</v>
      </c>
      <c r="E238" s="7">
        <v>316696</v>
      </c>
      <c r="F238" s="7">
        <v>321538.00000000006</v>
      </c>
      <c r="G238" s="7">
        <v>326379.99999999994</v>
      </c>
      <c r="H238" s="7">
        <v>331222</v>
      </c>
      <c r="I238" s="7">
        <v>329916</v>
      </c>
      <c r="J238" s="4">
        <f>_xlfn.XLOOKUP(C238,[1]Planilha2!$C$3:$C$329,[1]Planilha2!$D$3:$D$329,"")</f>
        <v>13</v>
      </c>
      <c r="K238" s="8" t="s">
        <v>210</v>
      </c>
      <c r="L238" s="4">
        <f>_xlfn.XLOOKUP(C238,[1]Planilha2!$C$3:$C$329,[1]Planilha2!$J$3:$J$329,"")</f>
        <v>1</v>
      </c>
      <c r="M238" s="42">
        <v>0.47832694176115997</v>
      </c>
      <c r="N238" s="43">
        <v>0.41873460179341099</v>
      </c>
      <c r="O238" s="43">
        <v>0.37963007982561497</v>
      </c>
      <c r="P238" s="43">
        <v>0.37756884358442799</v>
      </c>
      <c r="Q238" s="67">
        <v>0.47726208754621402</v>
      </c>
      <c r="R238" s="67">
        <v>0.68495533549849896</v>
      </c>
      <c r="S238" s="67">
        <v>0.73448700247155696</v>
      </c>
      <c r="T238" s="49">
        <v>1171.57855836512</v>
      </c>
      <c r="U238" s="49">
        <v>884.57682678252604</v>
      </c>
      <c r="V238" s="49">
        <v>792.005508058092</v>
      </c>
      <c r="W238" s="49">
        <v>647.80808370216903</v>
      </c>
      <c r="X238" s="49">
        <v>605.18104214406105</v>
      </c>
      <c r="Y238" s="4"/>
      <c r="Z238" s="69">
        <v>2.1922158789501598</v>
      </c>
      <c r="AA238" s="69">
        <v>2.11740758479558</v>
      </c>
      <c r="AB238" s="69">
        <v>1.76893191984803</v>
      </c>
      <c r="AC238" s="69">
        <v>1.10390614150026</v>
      </c>
      <c r="AD238" s="70">
        <v>1.05724184337831</v>
      </c>
    </row>
    <row r="239" spans="1:30" ht="25.5" x14ac:dyDescent="0.25">
      <c r="A239" s="6">
        <v>97</v>
      </c>
      <c r="B239" s="3" t="s">
        <v>565</v>
      </c>
      <c r="C239" s="3" t="s">
        <v>566</v>
      </c>
      <c r="D239" s="4">
        <f>_xlfn.XLOOKUP(C239,[1]Planilha2!$C$3:$C$329,[1]Planilha2!$I$3:$I$329)</f>
        <v>7</v>
      </c>
      <c r="E239" s="7">
        <v>807183</v>
      </c>
      <c r="F239" s="7">
        <v>807349.66666666663</v>
      </c>
      <c r="G239" s="7">
        <v>807516.33333333337</v>
      </c>
      <c r="H239" s="7">
        <v>807683</v>
      </c>
      <c r="I239" s="7">
        <v>796288</v>
      </c>
      <c r="J239" s="4">
        <f>_xlfn.XLOOKUP(C239,[1]Planilha2!$C$3:$C$329,[1]Planilha2!$D$3:$D$329,"")</f>
        <v>6</v>
      </c>
      <c r="K239" s="8" t="s">
        <v>210</v>
      </c>
      <c r="L239" s="4">
        <f>_xlfn.XLOOKUP(C239,[1]Planilha2!$C$3:$C$329,[1]Planilha2!$J$3:$J$329,"")</f>
        <v>1</v>
      </c>
      <c r="M239" s="42">
        <v>0.62368592191982897</v>
      </c>
      <c r="N239" s="43">
        <v>0.595227940157248</v>
      </c>
      <c r="O239" s="43">
        <v>0.56085030463684404</v>
      </c>
      <c r="P239" s="43">
        <v>0.55014872495880895</v>
      </c>
      <c r="Q239" s="67">
        <v>0.65455150748240798</v>
      </c>
      <c r="R239" s="67">
        <v>0.93675874403366</v>
      </c>
      <c r="S239" s="67">
        <v>0.956355545666981</v>
      </c>
      <c r="T239" s="49">
        <v>1342.88297176725</v>
      </c>
      <c r="U239" s="49">
        <v>1162.9942458389601</v>
      </c>
      <c r="V239" s="49">
        <v>1028.71105347714</v>
      </c>
      <c r="W239" s="49">
        <v>995.26705775657001</v>
      </c>
      <c r="X239" s="49">
        <v>872.12056602636198</v>
      </c>
      <c r="Y239" s="4"/>
      <c r="Z239" s="69">
        <v>8.0612265124513307</v>
      </c>
      <c r="AA239" s="69">
        <v>7.2084924788887399</v>
      </c>
      <c r="AB239" s="69">
        <v>8.0438942617878908</v>
      </c>
      <c r="AC239" s="69">
        <v>5.9466362421890802</v>
      </c>
      <c r="AD239" s="70">
        <v>4.3348713028452002</v>
      </c>
    </row>
    <row r="240" spans="1:30" ht="25.5" x14ac:dyDescent="0.25">
      <c r="A240" s="6">
        <v>98</v>
      </c>
      <c r="B240" s="3" t="s">
        <v>567</v>
      </c>
      <c r="C240" s="3" t="s">
        <v>568</v>
      </c>
      <c r="D240" s="4">
        <f>_xlfn.XLOOKUP(C240,[1]Planilha2!$C$3:$C$329,[1]Planilha2!$I$3:$I$329)</f>
        <v>10</v>
      </c>
      <c r="E240" s="7">
        <v>685289</v>
      </c>
      <c r="F240" s="7">
        <v>698457.33333333326</v>
      </c>
      <c r="G240" s="7">
        <v>711625.66666666674</v>
      </c>
      <c r="H240" s="7">
        <v>724794</v>
      </c>
      <c r="I240" s="7">
        <v>720568</v>
      </c>
      <c r="J240" s="4">
        <f>_xlfn.XLOOKUP(C240,[1]Planilha2!$C$3:$C$329,[1]Planilha2!$D$3:$D$329,"")</f>
        <v>22</v>
      </c>
      <c r="K240" s="8" t="s">
        <v>210</v>
      </c>
      <c r="L240" s="4">
        <f>_xlfn.XLOOKUP(C240,[1]Planilha2!$C$3:$C$329,[1]Planilha2!$J$3:$J$329,"")</f>
        <v>33</v>
      </c>
      <c r="M240" s="42">
        <v>0.52724124522996396</v>
      </c>
      <c r="N240" s="43">
        <v>0.488358518734335</v>
      </c>
      <c r="O240" s="43">
        <v>0.43187681092834701</v>
      </c>
      <c r="P240" s="43">
        <v>0.42692668894538699</v>
      </c>
      <c r="Q240" s="67">
        <v>0.36273916047622401</v>
      </c>
      <c r="R240" s="67">
        <v>0.83071096175564196</v>
      </c>
      <c r="S240" s="67">
        <v>0.82600150233479497</v>
      </c>
      <c r="T240" s="49">
        <v>1302.13776484082</v>
      </c>
      <c r="U240" s="49">
        <v>1056.5047091972201</v>
      </c>
      <c r="V240" s="49">
        <v>964.56756664201305</v>
      </c>
      <c r="W240" s="49">
        <v>797.22537094678</v>
      </c>
      <c r="X240" s="49">
        <v>713.37409649054598</v>
      </c>
      <c r="Y240" s="4"/>
      <c r="Z240" s="69">
        <v>7.8274654926607603</v>
      </c>
      <c r="AA240" s="69">
        <v>6.5430768379075399</v>
      </c>
      <c r="AB240" s="69">
        <v>5.9892682341886703</v>
      </c>
      <c r="AC240" s="69">
        <v>4.7883867692061504</v>
      </c>
      <c r="AD240" s="70">
        <v>5.4842318837361601</v>
      </c>
    </row>
    <row r="241" spans="1:30" ht="25.5" x14ac:dyDescent="0.25">
      <c r="A241" s="6">
        <v>99</v>
      </c>
      <c r="B241" s="3" t="s">
        <v>569</v>
      </c>
      <c r="C241" s="3" t="s">
        <v>570</v>
      </c>
      <c r="D241" s="4">
        <f>_xlfn.XLOOKUP(C241,[1]Planilha2!$C$3:$C$329,[1]Planilha2!$I$3:$I$329)</f>
        <v>7</v>
      </c>
      <c r="E241" s="7">
        <v>1196384</v>
      </c>
      <c r="F241" s="7">
        <v>1180501.6666666665</v>
      </c>
      <c r="G241" s="7">
        <v>1164619.3333333335</v>
      </c>
      <c r="H241" s="7">
        <v>1148737</v>
      </c>
      <c r="I241" s="7">
        <v>1143549</v>
      </c>
      <c r="J241" s="4">
        <f>_xlfn.XLOOKUP(C241,[1]Planilha2!$C$3:$C$329,[1]Planilha2!$D$3:$D$329,"")</f>
        <v>28</v>
      </c>
      <c r="K241" s="8" t="s">
        <v>210</v>
      </c>
      <c r="L241" s="4">
        <f>_xlfn.XLOOKUP(C241,[1]Planilha2!$C$3:$C$329,[1]Planilha2!$J$3:$J$329,"")</f>
        <v>1</v>
      </c>
      <c r="M241" s="42">
        <v>0.53843909657052602</v>
      </c>
      <c r="N241" s="43">
        <v>0.494042699417091</v>
      </c>
      <c r="O241" s="43">
        <v>0.44738653608267198</v>
      </c>
      <c r="P241" s="43">
        <v>0.44664261697574797</v>
      </c>
      <c r="Q241" s="67">
        <v>0.45966775052105702</v>
      </c>
      <c r="R241" s="67">
        <v>0.81690033707723697</v>
      </c>
      <c r="S241" s="67">
        <v>0.85280974472917903</v>
      </c>
      <c r="T241" s="49">
        <v>1132.1391072849499</v>
      </c>
      <c r="U241" s="49">
        <v>964.75983876628698</v>
      </c>
      <c r="V241" s="49">
        <v>847.82205904189595</v>
      </c>
      <c r="W241" s="49">
        <v>819.25337569870203</v>
      </c>
      <c r="X241" s="49">
        <v>734.08433803011496</v>
      </c>
      <c r="Y241" s="4"/>
      <c r="Z241" s="69">
        <v>9.1168638162997802</v>
      </c>
      <c r="AA241" s="69">
        <v>7.6937002771420602</v>
      </c>
      <c r="AB241" s="69">
        <v>7.6500825162327697</v>
      </c>
      <c r="AC241" s="69">
        <v>6.69853935234958</v>
      </c>
      <c r="AD241" s="70">
        <v>6.66197425733397</v>
      </c>
    </row>
    <row r="242" spans="1:30" x14ac:dyDescent="0.25">
      <c r="A242" s="6">
        <v>100</v>
      </c>
      <c r="B242" s="3" t="s">
        <v>571</v>
      </c>
      <c r="C242" s="3" t="s">
        <v>572</v>
      </c>
      <c r="D242" s="4">
        <f>_xlfn.XLOOKUP(C242,[1]Planilha2!$C$3:$C$329,[1]Planilha2!$I$3:$I$329)</f>
        <v>4</v>
      </c>
      <c r="E242" s="7">
        <v>397794</v>
      </c>
      <c r="F242" s="7">
        <v>397785.66666666669</v>
      </c>
      <c r="G242" s="7">
        <v>397777.33333333331</v>
      </c>
      <c r="H242" s="7">
        <v>397769</v>
      </c>
      <c r="I242" s="7">
        <v>396375</v>
      </c>
      <c r="J242" s="4">
        <f>_xlfn.XLOOKUP(C242,[1]Planilha2!$C$3:$C$329,[1]Planilha2!$D$3:$D$329,"")</f>
        <v>13</v>
      </c>
      <c r="K242" s="8" t="s">
        <v>210</v>
      </c>
      <c r="L242" s="4">
        <f>_xlfn.XLOOKUP(C242,[1]Planilha2!$C$3:$C$329,[1]Planilha2!$J$3:$J$329,"")</f>
        <v>1</v>
      </c>
      <c r="M242" s="42">
        <v>0.49105891087076198</v>
      </c>
      <c r="N242" s="43">
        <v>0.45088937462500001</v>
      </c>
      <c r="O242" s="43">
        <v>0.38734484084984</v>
      </c>
      <c r="P242" s="43">
        <v>0.40678823765373701</v>
      </c>
      <c r="Q242" s="67">
        <v>0.28001578831372997</v>
      </c>
      <c r="R242" s="67">
        <v>0.73275158472244095</v>
      </c>
      <c r="S242" s="67">
        <v>0.766400216787952</v>
      </c>
      <c r="T242" s="49">
        <v>1138.96147865478</v>
      </c>
      <c r="U242" s="49">
        <v>940.08525640692596</v>
      </c>
      <c r="V242" s="49">
        <v>823.57263698618704</v>
      </c>
      <c r="W242" s="49">
        <v>675.68051205599204</v>
      </c>
      <c r="X242" s="49">
        <v>616.91887217912301</v>
      </c>
      <c r="Y242" s="4"/>
      <c r="Z242" s="69">
        <v>7.0481882582442203</v>
      </c>
      <c r="AA242" s="69">
        <v>5.7915661449172404</v>
      </c>
      <c r="AB242" s="69">
        <v>4.8562872695947101</v>
      </c>
      <c r="AC242" s="69">
        <v>4.4659111192677203</v>
      </c>
      <c r="AD242" s="70">
        <v>4.0974077578051098</v>
      </c>
    </row>
    <row r="243" spans="1:30" ht="25.5" x14ac:dyDescent="0.25">
      <c r="A243" s="6">
        <v>101</v>
      </c>
      <c r="B243" s="3" t="s">
        <v>573</v>
      </c>
      <c r="C243" s="3" t="s">
        <v>574</v>
      </c>
      <c r="D243" s="4">
        <f>_xlfn.XLOOKUP(C243,[1]Planilha2!$C$3:$C$329,[1]Planilha2!$I$3:$I$329)</f>
        <v>6</v>
      </c>
      <c r="E243" s="7">
        <v>338985</v>
      </c>
      <c r="F243" s="7">
        <v>339744.33333333331</v>
      </c>
      <c r="G243" s="7">
        <v>340503.66666666669</v>
      </c>
      <c r="H243" s="7">
        <v>341263</v>
      </c>
      <c r="I243" s="7">
        <v>340599</v>
      </c>
      <c r="J243" s="4">
        <f>_xlfn.XLOOKUP(C243,[1]Planilha2!$C$3:$C$329,[1]Planilha2!$D$3:$D$329,"")</f>
        <v>17</v>
      </c>
      <c r="K243" s="8" t="s">
        <v>210</v>
      </c>
      <c r="L243" s="4">
        <f>_xlfn.XLOOKUP(C243,[1]Planilha2!$C$3:$C$329,[1]Planilha2!$J$3:$J$329,"")</f>
        <v>1</v>
      </c>
      <c r="M243" s="42">
        <v>0.50773902149950001</v>
      </c>
      <c r="N243" s="43">
        <v>0.45250555657256802</v>
      </c>
      <c r="O243" s="43">
        <v>0.40166963720063398</v>
      </c>
      <c r="P243" s="43">
        <v>0.41628071779423897</v>
      </c>
      <c r="Q243" s="67">
        <v>0.33925835110928798</v>
      </c>
      <c r="R243" s="67">
        <v>0.825537498764086</v>
      </c>
      <c r="S243" s="67">
        <v>0.82954562133936904</v>
      </c>
      <c r="T243" s="49">
        <v>1205.6322965028</v>
      </c>
      <c r="U243" s="49">
        <v>1017.0855761832699</v>
      </c>
      <c r="V243" s="49">
        <v>951.87043113583695</v>
      </c>
      <c r="W243" s="49">
        <v>815.96395744631002</v>
      </c>
      <c r="X243" s="49">
        <v>741.56396677617897</v>
      </c>
      <c r="Y243" s="4"/>
      <c r="Z243" s="69">
        <v>4.5735298022036401</v>
      </c>
      <c r="AA243" s="69">
        <v>3.8694390782088099</v>
      </c>
      <c r="AB243" s="69">
        <v>3.6877458979883699</v>
      </c>
      <c r="AC243" s="69">
        <v>2.9227838939469</v>
      </c>
      <c r="AD243" s="70">
        <v>2.7289833499217599</v>
      </c>
    </row>
    <row r="244" spans="1:30" ht="25.5" x14ac:dyDescent="0.25">
      <c r="A244" s="6">
        <v>102</v>
      </c>
      <c r="B244" s="3" t="s">
        <v>575</v>
      </c>
      <c r="C244" s="3" t="s">
        <v>576</v>
      </c>
      <c r="D244" s="4">
        <f>_xlfn.XLOOKUP(C244,[1]Planilha2!$C$3:$C$329,[1]Planilha2!$I$3:$I$329)</f>
        <v>6</v>
      </c>
      <c r="E244" s="7">
        <v>251835</v>
      </c>
      <c r="F244" s="7">
        <v>252897.33333333334</v>
      </c>
      <c r="G244" s="7">
        <v>253959.66666666666</v>
      </c>
      <c r="H244" s="7">
        <v>255022</v>
      </c>
      <c r="I244" s="7">
        <v>253922</v>
      </c>
      <c r="J244" s="4">
        <f>_xlfn.XLOOKUP(C244,[1]Planilha2!$C$3:$C$329,[1]Planilha2!$D$3:$D$329,"")</f>
        <v>9</v>
      </c>
      <c r="K244" s="8" t="s">
        <v>210</v>
      </c>
      <c r="L244" s="4">
        <f>_xlfn.XLOOKUP(C244,[1]Planilha2!$C$3:$C$329,[1]Planilha2!$J$3:$J$329,"")</f>
        <v>1</v>
      </c>
      <c r="M244" s="42">
        <v>0.48996595957252698</v>
      </c>
      <c r="N244" s="43">
        <v>0.44206627390963699</v>
      </c>
      <c r="O244" s="43">
        <v>0.40075317149108702</v>
      </c>
      <c r="P244" s="43">
        <v>0.40782082096076699</v>
      </c>
      <c r="Q244" s="67">
        <v>0.57273412497260101</v>
      </c>
      <c r="R244" s="67">
        <v>0.77785082276844497</v>
      </c>
      <c r="S244" s="67">
        <v>0.78241962398228604</v>
      </c>
      <c r="T244" s="49">
        <v>1328.07725268529</v>
      </c>
      <c r="U244" s="49">
        <v>1113.4402496401699</v>
      </c>
      <c r="V244" s="49">
        <v>1192.86454224358</v>
      </c>
      <c r="W244" s="49">
        <v>1036.62487150128</v>
      </c>
      <c r="X244" s="49">
        <v>896.73593060073597</v>
      </c>
      <c r="Y244" s="4"/>
      <c r="Z244" s="69">
        <v>5.1963428435285</v>
      </c>
      <c r="AA244" s="69">
        <v>5.0017886045984401</v>
      </c>
      <c r="AB244" s="69">
        <v>3.8992569686262502</v>
      </c>
      <c r="AC244" s="69">
        <v>3.5910705743033899</v>
      </c>
      <c r="AD244" s="70">
        <v>3.5133938768598201</v>
      </c>
    </row>
    <row r="245" spans="1:30" x14ac:dyDescent="0.25">
      <c r="A245" s="6">
        <v>103</v>
      </c>
      <c r="B245" s="3" t="s">
        <v>577</v>
      </c>
      <c r="C245" s="3" t="s">
        <v>578</v>
      </c>
      <c r="D245" s="4">
        <f>_xlfn.XLOOKUP(C245,[1]Planilha2!$C$3:$C$329,[1]Planilha2!$I$3:$I$329)</f>
        <v>6</v>
      </c>
      <c r="E245" s="7">
        <v>587921</v>
      </c>
      <c r="F245" s="7">
        <v>571459</v>
      </c>
      <c r="G245" s="7">
        <v>554997</v>
      </c>
      <c r="H245" s="7">
        <v>538535</v>
      </c>
      <c r="I245" s="7">
        <v>535846</v>
      </c>
      <c r="J245" s="4">
        <f>_xlfn.XLOOKUP(C245,[1]Planilha2!$C$3:$C$329,[1]Planilha2!$D$3:$D$329,"")</f>
        <v>10</v>
      </c>
      <c r="K245" s="8" t="s">
        <v>210</v>
      </c>
      <c r="L245" s="4">
        <f>_xlfn.XLOOKUP(C245,[1]Planilha2!$C$3:$C$329,[1]Planilha2!$J$3:$J$329,"")</f>
        <v>1</v>
      </c>
      <c r="M245" s="42">
        <v>0.49571485297574602</v>
      </c>
      <c r="N245" s="43">
        <v>0.46086911136456599</v>
      </c>
      <c r="O245" s="43">
        <v>0.41232977986574698</v>
      </c>
      <c r="P245" s="43">
        <v>0.41420021106810501</v>
      </c>
      <c r="Q245" s="67">
        <v>0.52889829248326303</v>
      </c>
      <c r="R245" s="67">
        <v>0.765918996679261</v>
      </c>
      <c r="S245" s="67">
        <v>0.72851702543737495</v>
      </c>
      <c r="T245" s="49">
        <v>1199.581081795</v>
      </c>
      <c r="U245" s="49">
        <v>1021.12103687229</v>
      </c>
      <c r="V245" s="49">
        <v>933.50788153209203</v>
      </c>
      <c r="W245" s="49">
        <v>804.50605056310201</v>
      </c>
      <c r="X245" s="49">
        <v>761.92224975086106</v>
      </c>
      <c r="Y245" s="4"/>
      <c r="Z245" s="69">
        <v>7.35480957475579</v>
      </c>
      <c r="AA245" s="69">
        <v>6.4564176957577004</v>
      </c>
      <c r="AB245" s="69">
        <v>5.6720937230291302</v>
      </c>
      <c r="AC245" s="69">
        <v>5.1107393205641198</v>
      </c>
      <c r="AD245" s="70">
        <v>3.5135337391713302</v>
      </c>
    </row>
    <row r="246" spans="1:30" x14ac:dyDescent="0.25">
      <c r="A246" s="6">
        <v>104</v>
      </c>
      <c r="B246" s="3" t="s">
        <v>579</v>
      </c>
      <c r="C246" s="3" t="s">
        <v>580</v>
      </c>
      <c r="D246" s="4">
        <f>_xlfn.XLOOKUP(C246,[1]Planilha2!$C$3:$C$329,[1]Planilha2!$I$3:$I$329)</f>
        <v>14</v>
      </c>
      <c r="E246" s="7">
        <v>159678</v>
      </c>
      <c r="F246" s="7">
        <v>159420.33333333334</v>
      </c>
      <c r="G246" s="7">
        <v>159162.66666666666</v>
      </c>
      <c r="H246" s="7">
        <v>158905</v>
      </c>
      <c r="I246" s="7">
        <v>158325</v>
      </c>
      <c r="J246" s="4">
        <f>_xlfn.XLOOKUP(C246,[1]Planilha2!$C$3:$C$329,[1]Planilha2!$D$3:$D$329,"")</f>
        <v>5</v>
      </c>
      <c r="K246" s="8" t="s">
        <v>210</v>
      </c>
      <c r="L246" s="4">
        <f>_xlfn.XLOOKUP(C246,[1]Planilha2!$C$3:$C$329,[1]Planilha2!$J$3:$J$329,"")</f>
        <v>1</v>
      </c>
      <c r="M246" s="42">
        <v>0.57091696270446501</v>
      </c>
      <c r="N246" s="43">
        <v>0.56311780379821097</v>
      </c>
      <c r="O246" s="43">
        <v>0.50547101412793805</v>
      </c>
      <c r="P246" s="43">
        <v>0.49070337596715602</v>
      </c>
      <c r="Q246" s="67">
        <v>0.224501111860403</v>
      </c>
      <c r="R246" s="67">
        <v>0.71532765975270596</v>
      </c>
      <c r="S246" s="67">
        <v>0.66429847074690895</v>
      </c>
      <c r="T246" s="49">
        <v>1391.50800968198</v>
      </c>
      <c r="U246" s="49">
        <v>945.20627423101598</v>
      </c>
      <c r="V246" s="49">
        <v>921.17940287504598</v>
      </c>
      <c r="W246" s="49">
        <v>819.34462918095699</v>
      </c>
      <c r="X246" s="49">
        <v>757.449351776409</v>
      </c>
      <c r="Y246" s="4"/>
      <c r="Z246" s="69">
        <v>7.2486942471724296</v>
      </c>
      <c r="AA246" s="69">
        <v>7.6091485611412999</v>
      </c>
      <c r="AB246" s="69">
        <v>4.6374128773916796</v>
      </c>
      <c r="AC246" s="69">
        <v>3.5671816494131701</v>
      </c>
      <c r="AD246" s="70">
        <v>4.2453560713721803</v>
      </c>
    </row>
    <row r="247" spans="1:30" x14ac:dyDescent="0.25">
      <c r="A247" s="6">
        <v>105</v>
      </c>
      <c r="B247" s="3" t="s">
        <v>581</v>
      </c>
      <c r="C247" s="18" t="s">
        <v>582</v>
      </c>
      <c r="D247" s="4">
        <f>_xlfn.XLOOKUP(C247,[1]Planilha2!$C$3:$C$329,[1]Planilha2!$I$3:$I$329)</f>
        <v>15</v>
      </c>
      <c r="E247" s="7">
        <v>319588</v>
      </c>
      <c r="F247" s="7" t="e">
        <v>#VALUE!</v>
      </c>
      <c r="G247" s="7" t="e">
        <v>#VALUE!</v>
      </c>
      <c r="H247" s="7">
        <v>306525</v>
      </c>
      <c r="I247" s="7">
        <v>304676</v>
      </c>
      <c r="J247" s="4">
        <f>_xlfn.XLOOKUP(C247,[1]Planilha2!$C$3:$C$329,[1]Planilha2!$D$3:$D$329,"")</f>
        <v>8</v>
      </c>
      <c r="K247" s="8" t="s">
        <v>210</v>
      </c>
      <c r="L247" s="4">
        <f>_xlfn.XLOOKUP(C247,[1]Planilha2!$C$3:$C$329,[1]Planilha2!$J$3:$J$329,"")</f>
        <v>1</v>
      </c>
      <c r="M247" s="47">
        <v>0.60822153429043602</v>
      </c>
      <c r="N247" s="43">
        <v>0.580147879992023</v>
      </c>
      <c r="O247" s="43">
        <v>0.53877882358698304</v>
      </c>
      <c r="P247" s="43">
        <v>0.52654190878178797</v>
      </c>
      <c r="Q247" s="67">
        <v>0.18955327726298901</v>
      </c>
      <c r="R247" s="67">
        <v>0.74649341555887705</v>
      </c>
      <c r="S247" s="67">
        <v>0.79600544284063002</v>
      </c>
      <c r="T247" s="49">
        <v>1249.9762108402099</v>
      </c>
      <c r="U247" s="49">
        <v>1083.48488458826</v>
      </c>
      <c r="V247" s="49">
        <v>965.767951198643</v>
      </c>
      <c r="W247" s="49">
        <v>837.02000065247501</v>
      </c>
      <c r="X247" s="49">
        <v>765.29419980569503</v>
      </c>
      <c r="Y247" s="4"/>
      <c r="Z247" s="69">
        <v>7.5516289723018399</v>
      </c>
      <c r="AA247" s="69">
        <v>7.5094136518836301</v>
      </c>
      <c r="AB247" s="69">
        <v>6.7330979436823304</v>
      </c>
      <c r="AC247" s="69">
        <v>5.03035315227143</v>
      </c>
      <c r="AD247" s="70">
        <v>4.26905959117226</v>
      </c>
    </row>
    <row r="248" spans="1:30" x14ac:dyDescent="0.25">
      <c r="A248" s="6">
        <v>106</v>
      </c>
      <c r="B248" s="3" t="s">
        <v>226</v>
      </c>
      <c r="C248" s="3" t="s">
        <v>227</v>
      </c>
      <c r="D248" s="4">
        <f>_xlfn.XLOOKUP(C248,[1]Planilha2!$C$3:$C$329,[1]Planilha2!$I$3:$I$329)</f>
        <v>14</v>
      </c>
      <c r="E248" s="7">
        <v>658665</v>
      </c>
      <c r="F248" s="7">
        <v>658614</v>
      </c>
      <c r="G248" s="7">
        <v>658563</v>
      </c>
      <c r="H248" s="7">
        <v>658512</v>
      </c>
      <c r="I248" s="7">
        <v>655053</v>
      </c>
      <c r="J248" s="4">
        <f>_xlfn.XLOOKUP(C248,[1]Planilha2!$C$3:$C$329,[1]Planilha2!$D$3:$D$329,"")</f>
        <v>24</v>
      </c>
      <c r="K248" s="8" t="s">
        <v>210</v>
      </c>
      <c r="L248" s="4">
        <f>_xlfn.XLOOKUP(C248,[1]Planilha2!$C$3:$C$329,[1]Planilha2!$J$3:$J$329,"")</f>
        <v>1</v>
      </c>
      <c r="M248" s="42">
        <v>0.66790136473463002</v>
      </c>
      <c r="N248" s="43">
        <v>0.63433019392222201</v>
      </c>
      <c r="O248" s="43">
        <v>0.60966277410282599</v>
      </c>
      <c r="P248" s="43">
        <v>0.58897178854230103</v>
      </c>
      <c r="Q248" s="67">
        <v>0.401714767101502</v>
      </c>
      <c r="R248" s="67">
        <v>0.80628290874727804</v>
      </c>
      <c r="S248" s="67">
        <v>0.81339605874203902</v>
      </c>
      <c r="T248" s="49">
        <v>1595.2607845262801</v>
      </c>
      <c r="U248" s="49">
        <v>1409.4707225729601</v>
      </c>
      <c r="V248" s="49">
        <v>1265.9607084920799</v>
      </c>
      <c r="W248" s="49">
        <v>1033.22893402094</v>
      </c>
      <c r="X248" s="49">
        <v>988.32901789626203</v>
      </c>
      <c r="Y248" s="4"/>
      <c r="Z248" s="69">
        <v>8.1103277083190992</v>
      </c>
      <c r="AA248" s="69">
        <v>7.5845108060259898</v>
      </c>
      <c r="AB248" s="69">
        <v>6.7243103545142997</v>
      </c>
      <c r="AC248" s="69">
        <v>5.3316659377505697</v>
      </c>
      <c r="AD248" s="70">
        <v>4.5479892466716398</v>
      </c>
    </row>
    <row r="249" spans="1:30" x14ac:dyDescent="0.25">
      <c r="A249" s="6">
        <v>107</v>
      </c>
      <c r="B249" s="3" t="s">
        <v>229</v>
      </c>
      <c r="C249" s="3" t="s">
        <v>230</v>
      </c>
      <c r="D249" s="4">
        <f>_xlfn.XLOOKUP(C249,[1]Planilha2!$C$3:$C$329,[1]Planilha2!$I$3:$I$329)</f>
        <v>14</v>
      </c>
      <c r="E249" s="7">
        <v>258845</v>
      </c>
      <c r="F249" s="7">
        <v>250938.66666666666</v>
      </c>
      <c r="G249" s="7">
        <v>243032.33333333334</v>
      </c>
      <c r="H249" s="7">
        <v>235126</v>
      </c>
      <c r="I249" s="7">
        <v>233385</v>
      </c>
      <c r="J249" s="4">
        <f>_xlfn.XLOOKUP(C249,[1]Planilha2!$C$3:$C$329,[1]Planilha2!$D$3:$D$329,"")</f>
        <v>7</v>
      </c>
      <c r="K249" s="8" t="s">
        <v>210</v>
      </c>
      <c r="L249" s="4">
        <f>_xlfn.XLOOKUP(C249,[1]Planilha2!$C$3:$C$329,[1]Planilha2!$J$3:$J$329,"")</f>
        <v>1</v>
      </c>
      <c r="M249" s="42">
        <v>0.61171132614078305</v>
      </c>
      <c r="N249" s="43">
        <v>0.59779475570465901</v>
      </c>
      <c r="O249" s="43">
        <v>0.55370364613015999</v>
      </c>
      <c r="P249" s="43">
        <v>0.52294501231870105</v>
      </c>
      <c r="Q249" s="67">
        <v>0.12535500214649101</v>
      </c>
      <c r="R249" s="67">
        <v>0.69412389654600104</v>
      </c>
      <c r="S249" s="67">
        <v>0.697345434420934</v>
      </c>
      <c r="T249" s="49">
        <v>1477.1413793582999</v>
      </c>
      <c r="U249" s="49">
        <v>1221.0401839891799</v>
      </c>
      <c r="V249" s="49">
        <v>1165.0167750655901</v>
      </c>
      <c r="W249" s="49">
        <v>893.36602829972003</v>
      </c>
      <c r="X249" s="49">
        <v>792.75470664352895</v>
      </c>
      <c r="Y249" s="4"/>
      <c r="Z249" s="69">
        <v>7.84963588247793</v>
      </c>
      <c r="AA249" s="69">
        <v>7.7482359567278101</v>
      </c>
      <c r="AB249" s="69">
        <v>7.1415847274093798</v>
      </c>
      <c r="AC249" s="69">
        <v>5.22856255794765</v>
      </c>
      <c r="AD249" s="70">
        <v>3.9686183773593</v>
      </c>
    </row>
    <row r="250" spans="1:30" x14ac:dyDescent="0.25">
      <c r="A250" s="6">
        <v>108</v>
      </c>
      <c r="B250" s="3" t="s">
        <v>583</v>
      </c>
      <c r="C250" s="3" t="s">
        <v>584</v>
      </c>
      <c r="D250" s="4">
        <f>_xlfn.XLOOKUP(C250,[1]Planilha2!$C$3:$C$329,[1]Planilha2!$I$3:$I$329)</f>
        <v>15</v>
      </c>
      <c r="E250" s="7">
        <v>313026</v>
      </c>
      <c r="F250" s="7">
        <v>310446.33333333331</v>
      </c>
      <c r="G250" s="7">
        <v>307866.66666666669</v>
      </c>
      <c r="H250" s="7">
        <v>305287</v>
      </c>
      <c r="I250" s="7">
        <v>302927</v>
      </c>
      <c r="J250" s="4">
        <f>_xlfn.XLOOKUP(C250,[1]Planilha2!$C$3:$C$329,[1]Planilha2!$D$3:$D$329,"")</f>
        <v>7</v>
      </c>
      <c r="K250" s="8" t="s">
        <v>210</v>
      </c>
      <c r="L250" s="4">
        <f>_xlfn.XLOOKUP(C250,[1]Planilha2!$C$3:$C$329,[1]Planilha2!$J$3:$J$329,"")</f>
        <v>1</v>
      </c>
      <c r="M250" s="42">
        <v>0.58443830968100796</v>
      </c>
      <c r="N250" s="43">
        <v>0.57041785469900397</v>
      </c>
      <c r="O250" s="43">
        <v>0.51908432655173697</v>
      </c>
      <c r="P250" s="43">
        <v>0.50012471453518503</v>
      </c>
      <c r="Q250" s="67">
        <v>0.184156480619316</v>
      </c>
      <c r="R250" s="67">
        <v>0.61552496340407103</v>
      </c>
      <c r="S250" s="67">
        <v>0.69084753421394596</v>
      </c>
      <c r="T250" s="49">
        <v>1410.9110731057499</v>
      </c>
      <c r="U250" s="49">
        <v>1113.8527020558599</v>
      </c>
      <c r="V250" s="49">
        <v>967.51113001299302</v>
      </c>
      <c r="W250" s="49">
        <v>880.18267269814999</v>
      </c>
      <c r="X250" s="49">
        <v>718.41481122514699</v>
      </c>
      <c r="Y250" s="4"/>
      <c r="Z250" s="69">
        <v>6.1261556548018401</v>
      </c>
      <c r="AA250" s="69">
        <v>4.4470455977898498</v>
      </c>
      <c r="AB250" s="69">
        <v>3.8757557384149002</v>
      </c>
      <c r="AC250" s="69">
        <v>3.06138486080311</v>
      </c>
      <c r="AD250" s="70">
        <v>6.2999204428789799</v>
      </c>
    </row>
    <row r="251" spans="1:30" x14ac:dyDescent="0.25">
      <c r="A251" s="6">
        <v>109</v>
      </c>
      <c r="B251" s="3" t="s">
        <v>231</v>
      </c>
      <c r="C251" s="3" t="s">
        <v>232</v>
      </c>
      <c r="D251" s="4">
        <f>_xlfn.XLOOKUP(C251,[1]Planilha2!$C$3:$C$329,[1]Planilha2!$I$3:$I$329)</f>
        <v>15</v>
      </c>
      <c r="E251" s="7">
        <v>194674</v>
      </c>
      <c r="F251" s="7">
        <v>199616</v>
      </c>
      <c r="G251" s="7">
        <v>204558</v>
      </c>
      <c r="H251" s="7">
        <v>209500</v>
      </c>
      <c r="I251" s="7">
        <v>208555</v>
      </c>
      <c r="J251" s="4">
        <f>_xlfn.XLOOKUP(C251,[1]Planilha2!$C$3:$C$329,[1]Planilha2!$D$3:$D$329,"")</f>
        <v>6</v>
      </c>
      <c r="K251" s="8" t="s">
        <v>210</v>
      </c>
      <c r="L251" s="4">
        <f>_xlfn.XLOOKUP(C251,[1]Planilha2!$C$3:$C$329,[1]Planilha2!$J$3:$J$329,"")</f>
        <v>2</v>
      </c>
      <c r="M251" s="42">
        <v>0.58349652065298696</v>
      </c>
      <c r="N251" s="43">
        <v>0.55591645727210204</v>
      </c>
      <c r="O251" s="43">
        <v>0.52646703675417705</v>
      </c>
      <c r="P251" s="43">
        <v>0.48081877202656398</v>
      </c>
      <c r="Q251" s="67">
        <v>0.25394736961318198</v>
      </c>
      <c r="R251" s="67">
        <v>0.66045061873242195</v>
      </c>
      <c r="S251" s="67">
        <v>0.65404710709595004</v>
      </c>
      <c r="T251" s="49">
        <v>1341.9056276133399</v>
      </c>
      <c r="U251" s="49">
        <v>1024.4845613244099</v>
      </c>
      <c r="V251" s="49">
        <v>949.85164390213697</v>
      </c>
      <c r="W251" s="49">
        <v>790.83371799522695</v>
      </c>
      <c r="X251" s="49">
        <v>718.68005058617598</v>
      </c>
      <c r="Y251" s="4"/>
      <c r="Z251" s="69">
        <v>5.8097640157391304</v>
      </c>
      <c r="AA251" s="69">
        <v>6.1523925937800596</v>
      </c>
      <c r="AB251" s="69">
        <v>4.79735820647445</v>
      </c>
      <c r="AC251" s="69">
        <v>3.6819331742243402</v>
      </c>
      <c r="AD251" s="70">
        <v>2.73233919110067</v>
      </c>
    </row>
    <row r="252" spans="1:30" x14ac:dyDescent="0.25">
      <c r="A252" s="6">
        <v>110</v>
      </c>
      <c r="B252" s="3" t="s">
        <v>233</v>
      </c>
      <c r="C252" s="3" t="s">
        <v>234</v>
      </c>
      <c r="D252" s="4">
        <f>_xlfn.XLOOKUP(C252,[1]Planilha2!$C$3:$C$329,[1]Planilha2!$I$3:$I$329)</f>
        <v>15</v>
      </c>
      <c r="E252" s="7">
        <v>139375</v>
      </c>
      <c r="F252" s="7">
        <v>140053.66666666666</v>
      </c>
      <c r="G252" s="7">
        <v>140732.33333333334</v>
      </c>
      <c r="H252" s="7">
        <v>141411</v>
      </c>
      <c r="I252" s="7">
        <v>140945</v>
      </c>
      <c r="J252" s="4">
        <f>_xlfn.XLOOKUP(C252,[1]Planilha2!$C$3:$C$329,[1]Planilha2!$D$3:$D$329,"")</f>
        <v>8</v>
      </c>
      <c r="K252" s="8" t="s">
        <v>210</v>
      </c>
      <c r="L252" s="4">
        <f>_xlfn.XLOOKUP(C252,[1]Planilha2!$C$3:$C$329,[1]Planilha2!$J$3:$J$329,"")</f>
        <v>1</v>
      </c>
      <c r="M252" s="42">
        <v>0.59437315552847603</v>
      </c>
      <c r="N252" s="43">
        <v>0.55002741540086797</v>
      </c>
      <c r="O252" s="43">
        <v>0.51236864883212796</v>
      </c>
      <c r="P252" s="43">
        <v>0.48215735073964999</v>
      </c>
      <c r="Q252" s="67">
        <v>0.21391965930596399</v>
      </c>
      <c r="R252" s="67">
        <v>0.595705172940594</v>
      </c>
      <c r="S252" s="67">
        <v>0.78710620729185599</v>
      </c>
      <c r="T252" s="49">
        <v>1866.2573267085199</v>
      </c>
      <c r="U252" s="49">
        <v>1395.9031824943299</v>
      </c>
      <c r="V252" s="49">
        <v>1310.09507535582</v>
      </c>
      <c r="W252" s="49">
        <v>1096.2583373995001</v>
      </c>
      <c r="X252" s="49">
        <v>962.00106779240105</v>
      </c>
      <c r="Y252" s="4"/>
      <c r="Z252" s="69">
        <v>13.434468161434999</v>
      </c>
      <c r="AA252" s="69">
        <v>10.9005500272515</v>
      </c>
      <c r="AB252" s="69">
        <v>8.7443799932259108</v>
      </c>
      <c r="AC252" s="69">
        <v>6.0102255128667501</v>
      </c>
      <c r="AD252" s="70">
        <v>5.9033736563907899</v>
      </c>
    </row>
    <row r="253" spans="1:30" x14ac:dyDescent="0.25">
      <c r="A253" s="6">
        <v>111</v>
      </c>
      <c r="B253" s="3" t="s">
        <v>585</v>
      </c>
      <c r="C253" s="3" t="s">
        <v>586</v>
      </c>
      <c r="D253" s="4">
        <f>_xlfn.XLOOKUP(C253,[1]Planilha2!$C$3:$C$329,[1]Planilha2!$I$3:$I$329)</f>
        <v>17</v>
      </c>
      <c r="E253" s="7">
        <v>212009</v>
      </c>
      <c r="F253" s="7">
        <v>216608.33333333334</v>
      </c>
      <c r="G253" s="7">
        <v>221207.66666666666</v>
      </c>
      <c r="H253" s="7">
        <v>225807</v>
      </c>
      <c r="I253" s="7">
        <v>225351</v>
      </c>
      <c r="J253" s="4">
        <f>_xlfn.XLOOKUP(C253,[1]Planilha2!$C$3:$C$329,[1]Planilha2!$D$3:$D$329,"")</f>
        <v>8</v>
      </c>
      <c r="K253" s="8" t="s">
        <v>210</v>
      </c>
      <c r="L253" s="4">
        <f>_xlfn.XLOOKUP(C253,[1]Planilha2!$C$3:$C$329,[1]Planilha2!$J$3:$J$329,"")</f>
        <v>28</v>
      </c>
      <c r="M253" s="42">
        <v>0.57492985449928802</v>
      </c>
      <c r="N253" s="43">
        <v>0.54584469269449698</v>
      </c>
      <c r="O253" s="43">
        <v>0.50597890056552697</v>
      </c>
      <c r="P253" s="43">
        <v>0.50212751751711804</v>
      </c>
      <c r="Q253" s="67">
        <v>0.29664908600214301</v>
      </c>
      <c r="R253" s="67">
        <v>0.65029875365983403</v>
      </c>
      <c r="S253" s="67">
        <v>0.62910568003218703</v>
      </c>
      <c r="T253" s="49">
        <v>1399.40389624969</v>
      </c>
      <c r="U253" s="49">
        <v>986.23417413919105</v>
      </c>
      <c r="V253" s="49">
        <v>973.41888569263006</v>
      </c>
      <c r="W253" s="49">
        <v>836.83169587302405</v>
      </c>
      <c r="X253" s="49">
        <v>789.06992442900196</v>
      </c>
      <c r="Y253" s="4"/>
      <c r="Z253" s="69">
        <v>8.9638741751529398</v>
      </c>
      <c r="AA253" s="69">
        <v>7.5124025699226697</v>
      </c>
      <c r="AB253" s="69">
        <v>6.27208821876276</v>
      </c>
      <c r="AC253" s="69">
        <v>4.1560049068452303</v>
      </c>
      <c r="AD253" s="70">
        <v>6.8355232503960499</v>
      </c>
    </row>
    <row r="254" spans="1:30" x14ac:dyDescent="0.25">
      <c r="A254" s="6">
        <v>112</v>
      </c>
      <c r="B254" s="3" t="s">
        <v>235</v>
      </c>
      <c r="C254" s="3" t="s">
        <v>236</v>
      </c>
      <c r="D254" s="4">
        <f>_xlfn.XLOOKUP(C254,[1]Planilha2!$C$3:$C$329,[1]Planilha2!$I$3:$I$329)</f>
        <v>15</v>
      </c>
      <c r="E254" s="7">
        <v>483137</v>
      </c>
      <c r="F254" s="7">
        <v>466915</v>
      </c>
      <c r="G254" s="7">
        <v>450693</v>
      </c>
      <c r="H254" s="7">
        <v>434471</v>
      </c>
      <c r="I254" s="7">
        <v>431954</v>
      </c>
      <c r="J254" s="4">
        <f>_xlfn.XLOOKUP(C254,[1]Planilha2!$C$3:$C$329,[1]Planilha2!$D$3:$D$329,"")</f>
        <v>6</v>
      </c>
      <c r="K254" s="8" t="s">
        <v>210</v>
      </c>
      <c r="L254" s="4">
        <f>_xlfn.XLOOKUP(C254,[1]Planilha2!$C$3:$C$329,[1]Planilha2!$J$3:$J$329,"")</f>
        <v>2</v>
      </c>
      <c r="M254" s="42">
        <v>0.62665508454429597</v>
      </c>
      <c r="N254" s="43">
        <v>0.60418532674496095</v>
      </c>
      <c r="O254" s="43">
        <v>0.57298279263748297</v>
      </c>
      <c r="P254" s="43">
        <v>0.55872975270514902</v>
      </c>
      <c r="Q254" s="67">
        <v>0.32461821964545001</v>
      </c>
      <c r="R254" s="67">
        <v>0.84543714612829601</v>
      </c>
      <c r="S254" s="67">
        <v>0.88385995160046105</v>
      </c>
      <c r="T254" s="49">
        <v>1463.1351950895901</v>
      </c>
      <c r="U254" s="49">
        <v>1376.3678743811299</v>
      </c>
      <c r="V254" s="49">
        <v>1149.36466767105</v>
      </c>
      <c r="W254" s="49">
        <v>1020.95562951267</v>
      </c>
      <c r="X254" s="49">
        <v>960.346991624108</v>
      </c>
      <c r="Y254" s="4"/>
      <c r="Z254" s="69">
        <v>8.91655989915904</v>
      </c>
      <c r="AA254" s="69">
        <v>8.2898985896790602</v>
      </c>
      <c r="AB254" s="69">
        <v>8.0949781780502494</v>
      </c>
      <c r="AC254" s="69">
        <v>5.1542634606222304</v>
      </c>
      <c r="AD254" s="70">
        <v>5.0952161572760097</v>
      </c>
    </row>
    <row r="255" spans="1:30" x14ac:dyDescent="0.25">
      <c r="A255" s="6">
        <v>113</v>
      </c>
      <c r="B255" s="3" t="s">
        <v>237</v>
      </c>
      <c r="C255" s="3" t="s">
        <v>238</v>
      </c>
      <c r="D255" s="4">
        <f>_xlfn.XLOOKUP(C255,[1]Planilha2!$C$3:$C$329,[1]Planilha2!$I$3:$I$329)</f>
        <v>15</v>
      </c>
      <c r="E255" s="7">
        <v>335724</v>
      </c>
      <c r="F255" s="7">
        <v>335422.66666666669</v>
      </c>
      <c r="G255" s="7">
        <v>335121.33333333331</v>
      </c>
      <c r="H255" s="7">
        <v>334820</v>
      </c>
      <c r="I255" s="7">
        <v>333284</v>
      </c>
      <c r="J255" s="4">
        <f>_xlfn.XLOOKUP(C255,[1]Planilha2!$C$3:$C$329,[1]Planilha2!$D$3:$D$329,"")</f>
        <v>10</v>
      </c>
      <c r="K255" s="8" t="s">
        <v>210</v>
      </c>
      <c r="L255" s="4">
        <f>_xlfn.XLOOKUP(C255,[1]Planilha2!$C$3:$C$329,[1]Planilha2!$J$3:$J$329,"")</f>
        <v>1</v>
      </c>
      <c r="M255" s="42">
        <v>0.60587411007803105</v>
      </c>
      <c r="N255" s="43">
        <v>0.58326530778901997</v>
      </c>
      <c r="O255" s="43">
        <v>0.52939155157995399</v>
      </c>
      <c r="P255" s="43">
        <v>0.53617649332101203</v>
      </c>
      <c r="Q255" s="67">
        <v>0.386454916527745</v>
      </c>
      <c r="R255" s="67">
        <v>0.73022053584572399</v>
      </c>
      <c r="S255" s="67">
        <v>0.69281134454784499</v>
      </c>
      <c r="T255" s="49">
        <v>1506.9421137005399</v>
      </c>
      <c r="U255" s="49">
        <v>1181.54355332774</v>
      </c>
      <c r="V255" s="49">
        <v>1102.0045616115201</v>
      </c>
      <c r="W255" s="49">
        <v>921.67393727973194</v>
      </c>
      <c r="X255" s="49">
        <v>834.46096212239399</v>
      </c>
      <c r="Y255" s="4"/>
      <c r="Z255" s="69">
        <v>10.7871763710667</v>
      </c>
      <c r="AA255" s="69">
        <v>8.9252346293432794</v>
      </c>
      <c r="AB255" s="69">
        <v>8.5786809553554697</v>
      </c>
      <c r="AC255" s="69">
        <v>7.3162714294247699</v>
      </c>
      <c r="AD255" s="70">
        <v>7.9510207510711597</v>
      </c>
    </row>
    <row r="256" spans="1:30" x14ac:dyDescent="0.25">
      <c r="A256" s="6">
        <v>114</v>
      </c>
      <c r="B256" s="3" t="s">
        <v>587</v>
      </c>
      <c r="C256" s="3" t="s">
        <v>588</v>
      </c>
      <c r="D256" s="4">
        <f>_xlfn.XLOOKUP(C256,[1]Planilha2!$C$3:$C$329,[1]Planilha2!$I$3:$I$329)</f>
        <v>15</v>
      </c>
      <c r="E256" s="7">
        <v>646104</v>
      </c>
      <c r="F256" s="7">
        <v>641943</v>
      </c>
      <c r="G256" s="7">
        <v>637782</v>
      </c>
      <c r="H256" s="7">
        <v>633621</v>
      </c>
      <c r="I256" s="7">
        <v>628125</v>
      </c>
      <c r="J256" s="4">
        <f>_xlfn.XLOOKUP(C256,[1]Planilha2!$C$3:$C$329,[1]Planilha2!$D$3:$D$329,"")</f>
        <v>10</v>
      </c>
      <c r="K256" s="8" t="s">
        <v>210</v>
      </c>
      <c r="L256" s="4">
        <f>_xlfn.XLOOKUP(C256,[1]Planilha2!$C$3:$C$329,[1]Planilha2!$J$3:$J$329,"")</f>
        <v>1</v>
      </c>
      <c r="M256" s="42">
        <v>0.62288858553900694</v>
      </c>
      <c r="N256" s="43">
        <v>0.58750298121719702</v>
      </c>
      <c r="O256" s="43">
        <v>0.57108510560729497</v>
      </c>
      <c r="P256" s="43">
        <v>0.55085149436815894</v>
      </c>
      <c r="Q256" s="67">
        <v>0.370362592599561</v>
      </c>
      <c r="R256" s="67">
        <v>0.728459425791258</v>
      </c>
      <c r="S256" s="67">
        <v>0.88496411245012696</v>
      </c>
      <c r="T256" s="49">
        <v>1162.0603830652699</v>
      </c>
      <c r="U256" s="49">
        <v>989.04734938564104</v>
      </c>
      <c r="V256" s="49">
        <v>878.10099954216298</v>
      </c>
      <c r="W256" s="49">
        <v>782.35464553731697</v>
      </c>
      <c r="X256" s="49">
        <v>669.05838234427904</v>
      </c>
      <c r="Y256" s="4"/>
      <c r="Z256" s="69">
        <v>8.9479278877703905</v>
      </c>
      <c r="AA256" s="69">
        <v>9.1592306482039696</v>
      </c>
      <c r="AB256" s="69">
        <v>7.2617336331222901</v>
      </c>
      <c r="AC256" s="69">
        <v>6.6298370792634698</v>
      </c>
      <c r="AD256" s="70">
        <v>5.7062511442786104</v>
      </c>
    </row>
    <row r="257" spans="1:30" x14ac:dyDescent="0.25">
      <c r="A257" s="6">
        <v>115</v>
      </c>
      <c r="B257" s="3" t="s">
        <v>589</v>
      </c>
      <c r="C257" s="3" t="s">
        <v>590</v>
      </c>
      <c r="D257" s="4">
        <f>_xlfn.XLOOKUP(C257,[1]Planilha2!$C$3:$C$329,[1]Planilha2!$I$3:$I$329)</f>
        <v>15</v>
      </c>
      <c r="E257" s="7">
        <v>126950</v>
      </c>
      <c r="F257" s="7">
        <v>124718.33333333334</v>
      </c>
      <c r="G257" s="7">
        <v>122486.66666666666</v>
      </c>
      <c r="H257" s="7">
        <v>120255</v>
      </c>
      <c r="I257" s="7">
        <v>119532</v>
      </c>
      <c r="J257" s="4">
        <f>_xlfn.XLOOKUP(C257,[1]Planilha2!$C$3:$C$329,[1]Planilha2!$D$3:$D$329,"")</f>
        <v>4</v>
      </c>
      <c r="K257" s="8" t="s">
        <v>210</v>
      </c>
      <c r="L257" s="4">
        <f>_xlfn.XLOOKUP(C257,[1]Planilha2!$C$3:$C$329,[1]Planilha2!$J$3:$J$329,"")</f>
        <v>1</v>
      </c>
      <c r="M257" s="42">
        <v>0.64605394235009495</v>
      </c>
      <c r="N257" s="43">
        <v>0.60518900859957603</v>
      </c>
      <c r="O257" s="43">
        <v>0.57942447798428298</v>
      </c>
      <c r="P257" s="43">
        <v>0.579796397617374</v>
      </c>
      <c r="Q257" s="67">
        <v>0.17256701001469499</v>
      </c>
      <c r="R257" s="67">
        <v>0.77344117754313402</v>
      </c>
      <c r="S257" s="67">
        <v>0.90256552604365103</v>
      </c>
      <c r="T257" s="49">
        <v>1364.58877920441</v>
      </c>
      <c r="U257" s="49">
        <v>1259.1597702556401</v>
      </c>
      <c r="V257" s="49">
        <v>1247.6179123442</v>
      </c>
      <c r="W257" s="49">
        <v>1151.15938064945</v>
      </c>
      <c r="X257" s="49">
        <v>945.76483376836302</v>
      </c>
      <c r="Y257" s="4"/>
      <c r="Z257" s="69">
        <v>11.353832217408399</v>
      </c>
      <c r="AA257" s="69">
        <v>5.6431879835896899</v>
      </c>
      <c r="AB257" s="69">
        <v>6.4314102215207098</v>
      </c>
      <c r="AC257" s="69">
        <v>5.1047440854850104</v>
      </c>
      <c r="AD257" s="70">
        <v>4.6174078907740199</v>
      </c>
    </row>
    <row r="258" spans="1:30" x14ac:dyDescent="0.25">
      <c r="A258" s="6">
        <v>116</v>
      </c>
      <c r="B258" s="3" t="s">
        <v>591</v>
      </c>
      <c r="C258" s="3" t="s">
        <v>592</v>
      </c>
      <c r="D258" s="4">
        <f>_xlfn.XLOOKUP(C258,[1]Planilha2!$C$3:$C$329,[1]Planilha2!$I$3:$I$329)</f>
        <v>14</v>
      </c>
      <c r="E258" s="7">
        <v>217415</v>
      </c>
      <c r="F258" s="7">
        <v>217483.66666666669</v>
      </c>
      <c r="G258" s="7">
        <v>217552.33333333331</v>
      </c>
      <c r="H258" s="7">
        <v>217621</v>
      </c>
      <c r="I258" s="7">
        <v>216924</v>
      </c>
      <c r="J258" s="4">
        <f>_xlfn.XLOOKUP(C258,[1]Planilha2!$C$3:$C$329,[1]Planilha2!$D$3:$D$329,"")</f>
        <v>9</v>
      </c>
      <c r="K258" s="8" t="s">
        <v>210</v>
      </c>
      <c r="L258" s="4">
        <f>_xlfn.XLOOKUP(C258,[1]Planilha2!$C$3:$C$329,[1]Planilha2!$J$3:$J$329,"")</f>
        <v>1</v>
      </c>
      <c r="M258" s="42">
        <v>0.59752107621875095</v>
      </c>
      <c r="N258" s="43">
        <v>0.55144873187600896</v>
      </c>
      <c r="O258" s="43">
        <v>0.51068523809742605</v>
      </c>
      <c r="P258" s="43">
        <v>0.48467240784790999</v>
      </c>
      <c r="Q258" s="67">
        <v>0.28898336553503601</v>
      </c>
      <c r="R258" s="67">
        <v>0.69209205524494499</v>
      </c>
      <c r="S258" s="67">
        <v>0.68659123107543496</v>
      </c>
      <c r="T258" s="49">
        <v>1541.63065510659</v>
      </c>
      <c r="U258" s="49">
        <v>1282.9644860993401</v>
      </c>
      <c r="V258" s="49">
        <v>1169.7718665853599</v>
      </c>
      <c r="W258" s="49">
        <v>960.92648149765</v>
      </c>
      <c r="X258" s="49">
        <v>905.22060357544603</v>
      </c>
      <c r="Y258" s="4"/>
      <c r="Z258" s="69">
        <v>7.3395441896833198</v>
      </c>
      <c r="AA258" s="69">
        <v>6.3005834920936596</v>
      </c>
      <c r="AB258" s="69">
        <v>5.0820875283648199</v>
      </c>
      <c r="AC258" s="69">
        <v>3.9532352116753402</v>
      </c>
      <c r="AD258" s="70">
        <v>3.4181879367889199</v>
      </c>
    </row>
    <row r="259" spans="1:30" x14ac:dyDescent="0.25">
      <c r="A259" s="6">
        <v>117</v>
      </c>
      <c r="B259" s="3" t="s">
        <v>239</v>
      </c>
      <c r="C259" s="3" t="s">
        <v>240</v>
      </c>
      <c r="D259" s="4">
        <f>_xlfn.XLOOKUP(C259,[1]Planilha2!$C$3:$C$329,[1]Planilha2!$I$3:$I$329)</f>
        <v>15</v>
      </c>
      <c r="E259" s="7">
        <v>609522</v>
      </c>
      <c r="F259" s="7">
        <v>610532</v>
      </c>
      <c r="G259" s="7">
        <v>611542</v>
      </c>
      <c r="H259" s="7">
        <v>612552</v>
      </c>
      <c r="I259" s="7">
        <v>607259</v>
      </c>
      <c r="J259" s="4">
        <f>_xlfn.XLOOKUP(C259,[1]Planilha2!$C$3:$C$329,[1]Planilha2!$D$3:$D$329,"")</f>
        <v>8</v>
      </c>
      <c r="K259" s="8" t="s">
        <v>210</v>
      </c>
      <c r="L259" s="4">
        <f>_xlfn.XLOOKUP(C259,[1]Planilha2!$C$3:$C$329,[1]Planilha2!$J$3:$J$329,"")</f>
        <v>1</v>
      </c>
      <c r="M259" s="42">
        <v>0.661239088751013</v>
      </c>
      <c r="N259" s="43">
        <v>0.62229660960871602</v>
      </c>
      <c r="O259" s="43">
        <v>0.58536969547075202</v>
      </c>
      <c r="P259" s="43">
        <v>0.582454463087414</v>
      </c>
      <c r="Q259" s="67">
        <v>0.39867677630209097</v>
      </c>
      <c r="R259" s="67">
        <v>0.83701823183580704</v>
      </c>
      <c r="S259" s="67">
        <v>0.95056807163966905</v>
      </c>
      <c r="T259" s="49">
        <v>1420.52555847041</v>
      </c>
      <c r="U259" s="49">
        <v>1215.4071285698401</v>
      </c>
      <c r="V259" s="49">
        <v>1052.32712060115</v>
      </c>
      <c r="W259" s="49">
        <v>933.73140440321799</v>
      </c>
      <c r="X259" s="49">
        <v>902.67073853166403</v>
      </c>
      <c r="Y259" s="4"/>
      <c r="Z259" s="69">
        <v>12.471266008445999</v>
      </c>
      <c r="AA259" s="69">
        <v>10.6507079072022</v>
      </c>
      <c r="AB259" s="69">
        <v>9.8215363785316505</v>
      </c>
      <c r="AC259" s="69">
        <v>8.0910845120087806</v>
      </c>
      <c r="AD259" s="70">
        <v>6.4620351448064204</v>
      </c>
    </row>
    <row r="260" spans="1:30" ht="25.5" x14ac:dyDescent="0.25">
      <c r="A260" s="6">
        <v>128</v>
      </c>
      <c r="B260" s="3" t="s">
        <v>593</v>
      </c>
      <c r="C260" s="3" t="s">
        <v>594</v>
      </c>
      <c r="D260" s="4">
        <f>_xlfn.XLOOKUP(C260,[1]Planilha2!$C$3:$C$329,[1]Planilha2!$I$3:$I$329)</f>
        <v>19</v>
      </c>
      <c r="E260" s="7">
        <v>958595</v>
      </c>
      <c r="F260" s="7">
        <v>975436.33333333337</v>
      </c>
      <c r="G260" s="7">
        <v>992277.66666666663</v>
      </c>
      <c r="H260" s="7">
        <v>1009119</v>
      </c>
      <c r="I260" s="7">
        <v>1001132</v>
      </c>
      <c r="J260" s="4">
        <f>_xlfn.XLOOKUP(C260,[1]Planilha2!$C$3:$C$329,[1]Planilha2!$D$3:$D$329,"")</f>
        <v>37</v>
      </c>
      <c r="K260" s="8" t="s">
        <v>210</v>
      </c>
      <c r="L260" s="4">
        <f>_xlfn.XLOOKUP(C260,[1]Planilha2!$C$3:$C$329,[1]Planilha2!$J$3:$J$329,"")</f>
        <v>32</v>
      </c>
      <c r="M260" s="42">
        <v>0.43278128994579901</v>
      </c>
      <c r="N260" s="43">
        <v>0.39686554801696999</v>
      </c>
      <c r="O260" s="43">
        <v>0.36438045998539298</v>
      </c>
      <c r="P260" s="43">
        <v>0.347601919626982</v>
      </c>
      <c r="Q260" s="67">
        <v>3.1760572763067298E-2</v>
      </c>
      <c r="R260" s="67">
        <v>0.45997740074770699</v>
      </c>
      <c r="S260" s="67">
        <v>0.49046180833792202</v>
      </c>
      <c r="T260" s="49">
        <v>1025.85789331261</v>
      </c>
      <c r="U260" s="49">
        <v>799.54918088622901</v>
      </c>
      <c r="V260" s="49">
        <v>724.21826469271195</v>
      </c>
      <c r="W260" s="49">
        <v>584.16154718125404</v>
      </c>
      <c r="X260" s="49">
        <v>575.04007996947496</v>
      </c>
      <c r="Y260" s="4"/>
      <c r="Z260" s="69">
        <v>9.0757483608823293</v>
      </c>
      <c r="AA260" s="69">
        <v>7.1999101940362404</v>
      </c>
      <c r="AB260" s="69">
        <v>8.2829920254176201</v>
      </c>
      <c r="AC260" s="69">
        <v>13.6474865699685</v>
      </c>
      <c r="AD260" s="70">
        <v>11.0669891682615</v>
      </c>
    </row>
    <row r="261" spans="1:30" x14ac:dyDescent="0.25">
      <c r="A261" s="6">
        <v>129</v>
      </c>
      <c r="B261" s="3" t="s">
        <v>595</v>
      </c>
      <c r="C261" s="3" t="s">
        <v>596</v>
      </c>
      <c r="D261" s="4">
        <f>_xlfn.XLOOKUP(C261,[1]Planilha2!$C$3:$C$329,[1]Planilha2!$I$3:$I$329)</f>
        <v>16</v>
      </c>
      <c r="E261" s="7">
        <v>146181</v>
      </c>
      <c r="F261" s="7">
        <v>148455.66666666669</v>
      </c>
      <c r="G261" s="7">
        <v>150730.33333333331</v>
      </c>
      <c r="H261" s="7">
        <v>153005</v>
      </c>
      <c r="I261" s="7">
        <v>152687</v>
      </c>
      <c r="J261" s="4">
        <f>_xlfn.XLOOKUP(C261,[1]Planilha2!$C$3:$C$329,[1]Planilha2!$D$3:$D$329,"")</f>
        <v>10</v>
      </c>
      <c r="K261" s="8" t="s">
        <v>210</v>
      </c>
      <c r="L261" s="4">
        <f>_xlfn.XLOOKUP(C261,[1]Planilha2!$C$3:$C$329,[1]Planilha2!$J$3:$J$329,"")</f>
        <v>43</v>
      </c>
      <c r="M261" s="42">
        <v>0.39086873073218298</v>
      </c>
      <c r="N261" s="43">
        <v>0.34842596093243799</v>
      </c>
      <c r="O261" s="43">
        <v>0.31769720989510197</v>
      </c>
      <c r="P261" s="43">
        <v>0.30734919344803402</v>
      </c>
      <c r="Q261" s="67">
        <v>2.4021723342569801E-2</v>
      </c>
      <c r="R261" s="67">
        <v>0.73600565756505598</v>
      </c>
      <c r="S261" s="67">
        <v>0.43170866514371098</v>
      </c>
      <c r="T261" s="49">
        <v>1235.72734062566</v>
      </c>
      <c r="U261" s="49">
        <v>814.24485323340105</v>
      </c>
      <c r="V261" s="49">
        <v>895.12523360703801</v>
      </c>
      <c r="W261" s="49">
        <v>749.26945622692097</v>
      </c>
      <c r="X261" s="49">
        <v>764.86478600011799</v>
      </c>
      <c r="Y261" s="4"/>
      <c r="Z261" s="69">
        <v>8.0288614799460891</v>
      </c>
      <c r="AA261" s="69">
        <v>7.4033819299588899</v>
      </c>
      <c r="AB261" s="69">
        <v>15.8494242477183</v>
      </c>
      <c r="AC261" s="69">
        <v>23.3853795627594</v>
      </c>
      <c r="AD261" s="70">
        <v>9.0294851559071798</v>
      </c>
    </row>
    <row r="262" spans="1:30" x14ac:dyDescent="0.25">
      <c r="A262" s="6">
        <v>130</v>
      </c>
      <c r="B262" s="3" t="s">
        <v>241</v>
      </c>
      <c r="C262" s="3" t="s">
        <v>242</v>
      </c>
      <c r="D262" s="4">
        <f>_xlfn.XLOOKUP(C262,[1]Planilha2!$C$3:$C$329,[1]Planilha2!$I$3:$I$329)</f>
        <v>11</v>
      </c>
      <c r="E262" s="7">
        <v>1887598</v>
      </c>
      <c r="F262" s="7">
        <v>1924563.6666666667</v>
      </c>
      <c r="G262" s="7">
        <v>1961529.3333333333</v>
      </c>
      <c r="H262" s="7">
        <v>1998495</v>
      </c>
      <c r="I262" s="7">
        <v>1985900</v>
      </c>
      <c r="J262" s="4">
        <f>_xlfn.XLOOKUP(C262,[1]Planilha2!$C$3:$C$329,[1]Planilha2!$D$3:$D$329,"")</f>
        <v>25</v>
      </c>
      <c r="K262" s="8" t="s">
        <v>210</v>
      </c>
      <c r="L262" s="4">
        <f>_xlfn.XLOOKUP(C262,[1]Planilha2!$C$3:$C$329,[1]Planilha2!$J$3:$J$329,"")</f>
        <v>43</v>
      </c>
      <c r="M262" s="42">
        <v>0.59168812643419899</v>
      </c>
      <c r="N262" s="43">
        <v>0.56395014561767098</v>
      </c>
      <c r="O262" s="43">
        <v>0.52801868826291798</v>
      </c>
      <c r="P262" s="43">
        <v>0.50892001279017096</v>
      </c>
      <c r="Q262" s="67">
        <v>0.339603767247597</v>
      </c>
      <c r="R262" s="67">
        <v>0.70431295944592898</v>
      </c>
      <c r="S262" s="67">
        <v>0.85372670293995101</v>
      </c>
      <c r="T262" s="49">
        <v>1339.9763622445</v>
      </c>
      <c r="U262" s="49">
        <v>1069.2682946991799</v>
      </c>
      <c r="V262" s="49">
        <v>936.41421623569897</v>
      </c>
      <c r="W262" s="49">
        <v>830.15689853114498</v>
      </c>
      <c r="X262" s="49">
        <v>769.58511344478597</v>
      </c>
      <c r="Y262" s="4"/>
      <c r="Z262" s="69">
        <v>13.6400229286109</v>
      </c>
      <c r="AA262" s="69">
        <v>12.214214269520101</v>
      </c>
      <c r="AB262" s="69">
        <v>11.048649964959299</v>
      </c>
      <c r="AC262" s="69">
        <v>10.2526336067891</v>
      </c>
      <c r="AD262" s="70">
        <v>8.6462520771438705</v>
      </c>
    </row>
    <row r="263" spans="1:30" ht="25.5" x14ac:dyDescent="0.25">
      <c r="A263" s="6">
        <v>131</v>
      </c>
      <c r="B263" s="3" t="s">
        <v>597</v>
      </c>
      <c r="C263" s="3" t="s">
        <v>598</v>
      </c>
      <c r="D263" s="4">
        <f>_xlfn.XLOOKUP(C263,[1]Planilha2!$C$3:$C$329,[1]Planilha2!$I$3:$I$329)</f>
        <v>19</v>
      </c>
      <c r="E263" s="7">
        <v>566642</v>
      </c>
      <c r="F263" s="7">
        <v>578239.00000000012</v>
      </c>
      <c r="G263" s="7">
        <v>589835.99999999988</v>
      </c>
      <c r="H263" s="7">
        <v>601433</v>
      </c>
      <c r="I263" s="7">
        <v>598821</v>
      </c>
      <c r="J263" s="4">
        <f>_xlfn.XLOOKUP(C263,[1]Planilha2!$C$3:$C$329,[1]Planilha2!$D$3:$D$329,"")</f>
        <v>23</v>
      </c>
      <c r="K263" s="8" t="s">
        <v>210</v>
      </c>
      <c r="L263" s="4">
        <f>_xlfn.XLOOKUP(C263,[1]Planilha2!$C$3:$C$329,[1]Planilha2!$J$3:$J$329,"")</f>
        <v>36</v>
      </c>
      <c r="M263" s="42">
        <v>0.41672198289404</v>
      </c>
      <c r="N263" s="43">
        <v>0.39231510295517202</v>
      </c>
      <c r="O263" s="43">
        <v>0.34708782690673801</v>
      </c>
      <c r="P263" s="43">
        <v>0.32445544528331499</v>
      </c>
      <c r="Q263" s="67">
        <v>6.6086173670873494E-2</v>
      </c>
      <c r="R263" s="67">
        <v>0.61808720214884605</v>
      </c>
      <c r="S263" s="67">
        <v>0.56301836335297695</v>
      </c>
      <c r="T263" s="49">
        <v>1176.0973564261001</v>
      </c>
      <c r="U263" s="49">
        <v>887.70655945609496</v>
      </c>
      <c r="V263" s="49">
        <v>837.69724099580196</v>
      </c>
      <c r="W263" s="49">
        <v>716.83246112202005</v>
      </c>
      <c r="X263" s="49">
        <v>646.33872761643295</v>
      </c>
      <c r="Y263" s="4"/>
      <c r="Z263" s="69">
        <v>9.5500404135238792</v>
      </c>
      <c r="AA263" s="69">
        <v>8.7125133379104494</v>
      </c>
      <c r="AB263" s="69">
        <v>9.6812419045294007</v>
      </c>
      <c r="AC263" s="69">
        <v>13.3753319156082</v>
      </c>
      <c r="AD263" s="70">
        <v>11.734276186038899</v>
      </c>
    </row>
    <row r="264" spans="1:30" ht="25.5" x14ac:dyDescent="0.25">
      <c r="A264" s="6">
        <v>132</v>
      </c>
      <c r="B264" s="3" t="s">
        <v>599</v>
      </c>
      <c r="C264" s="3" t="s">
        <v>600</v>
      </c>
      <c r="D264" s="4">
        <f>_xlfn.XLOOKUP(C264,[1]Planilha2!$C$3:$C$329,[1]Planilha2!$I$3:$I$329)</f>
        <v>5</v>
      </c>
      <c r="E264" s="7">
        <v>184340</v>
      </c>
      <c r="F264" s="7">
        <v>187174</v>
      </c>
      <c r="G264" s="7">
        <v>190008</v>
      </c>
      <c r="H264" s="7">
        <v>192842</v>
      </c>
      <c r="I264" s="7">
        <v>192340</v>
      </c>
      <c r="J264" s="4">
        <f>_xlfn.XLOOKUP(C264,[1]Planilha2!$C$3:$C$329,[1]Planilha2!$D$3:$D$329,"")</f>
        <v>10</v>
      </c>
      <c r="K264" s="8" t="s">
        <v>210</v>
      </c>
      <c r="L264" s="4">
        <f>_xlfn.XLOOKUP(C264,[1]Planilha2!$C$3:$C$329,[1]Planilha2!$J$3:$J$329,"")</f>
        <v>18</v>
      </c>
      <c r="M264" s="42">
        <v>0.47365885236909699</v>
      </c>
      <c r="N264" s="43">
        <v>0.45561645457033401</v>
      </c>
      <c r="O264" s="43">
        <v>0.418462972796383</v>
      </c>
      <c r="P264" s="43">
        <v>0.37121272694187402</v>
      </c>
      <c r="Q264" s="67">
        <v>8.55783917870125E-2</v>
      </c>
      <c r="R264" s="67">
        <v>0.67635521223667805</v>
      </c>
      <c r="S264" s="67">
        <v>0.70182916947356599</v>
      </c>
      <c r="T264" s="49">
        <v>1600.74926814582</v>
      </c>
      <c r="U264" s="49">
        <v>1068.51913490478</v>
      </c>
      <c r="V264" s="49">
        <v>1040.1646535409</v>
      </c>
      <c r="W264" s="49">
        <v>842.246785451302</v>
      </c>
      <c r="X264" s="49">
        <v>983.097358011854</v>
      </c>
      <c r="Y264" s="4"/>
      <c r="Z264" s="69">
        <v>14.142633177823599</v>
      </c>
      <c r="AA264" s="69">
        <v>13.2921826749442</v>
      </c>
      <c r="AB264" s="69">
        <v>12.0672761146899</v>
      </c>
      <c r="AC264" s="69">
        <v>30.086609763433302</v>
      </c>
      <c r="AD264" s="70">
        <v>19.0334095871894</v>
      </c>
    </row>
    <row r="265" spans="1:30" ht="25.5" x14ac:dyDescent="0.25">
      <c r="A265" s="6">
        <v>197</v>
      </c>
      <c r="B265" s="3" t="s">
        <v>601</v>
      </c>
      <c r="C265" s="3" t="s">
        <v>602</v>
      </c>
      <c r="D265" s="4">
        <f>_xlfn.XLOOKUP(C265,[1]Planilha2!$C$3:$C$329,[1]Planilha2!$I$3:$I$329)</f>
        <v>5</v>
      </c>
      <c r="E265" s="9" t="s">
        <v>534</v>
      </c>
      <c r="F265" s="7" t="s">
        <v>534</v>
      </c>
      <c r="G265" s="7" t="s">
        <v>534</v>
      </c>
      <c r="H265" s="7" t="s">
        <v>534</v>
      </c>
      <c r="I265" s="9" t="s">
        <v>534</v>
      </c>
      <c r="J265" s="4">
        <f>_xlfn.XLOOKUP(C265,[1]Planilha2!$C$3:$C$329,[1]Planilha2!$D$3:$D$329,"")</f>
        <v>0</v>
      </c>
      <c r="K265" s="8" t="s">
        <v>210</v>
      </c>
      <c r="L265" s="4">
        <f>_xlfn.XLOOKUP(C265,[1]Planilha2!$C$3:$C$329,[1]Planilha2!$J$3:$J$329,"")</f>
        <v>1</v>
      </c>
      <c r="M265" s="44"/>
      <c r="N265" s="45"/>
      <c r="O265" s="45"/>
      <c r="P265" s="45"/>
      <c r="Q265" s="68"/>
      <c r="R265" s="68"/>
      <c r="S265" s="68"/>
      <c r="T265" s="50"/>
      <c r="U265" s="50"/>
      <c r="V265" s="50"/>
      <c r="W265" s="50"/>
      <c r="X265" s="50"/>
      <c r="Y265" s="4"/>
      <c r="Z265" s="69"/>
      <c r="AA265" s="69"/>
      <c r="AB265" s="69"/>
      <c r="AC265" s="69"/>
      <c r="AD265" s="70"/>
    </row>
    <row r="266" spans="1:30" ht="25.5" x14ac:dyDescent="0.25">
      <c r="A266" s="6">
        <v>198</v>
      </c>
      <c r="B266" s="3" t="s">
        <v>603</v>
      </c>
      <c r="C266" s="3" t="s">
        <v>604</v>
      </c>
      <c r="D266" s="4">
        <f>_xlfn.XLOOKUP(C266,[1]Planilha2!$C$3:$C$329,[1]Planilha2!$I$3:$I$329)</f>
        <v>28</v>
      </c>
      <c r="E266" s="7">
        <v>158908</v>
      </c>
      <c r="F266" s="7" t="e">
        <v>#VALUE!</v>
      </c>
      <c r="G266" s="7" t="e">
        <v>#VALUE!</v>
      </c>
      <c r="H266" s="7">
        <v>167190</v>
      </c>
      <c r="I266" s="7">
        <v>166242</v>
      </c>
      <c r="J266" s="4">
        <f>_xlfn.XLOOKUP(C266,[1]Planilha2!$C$3:$C$329,[1]Planilha2!$D$3:$D$329,"")</f>
        <v>16</v>
      </c>
      <c r="K266" s="8" t="s">
        <v>210</v>
      </c>
      <c r="L266" s="4">
        <f>_xlfn.XLOOKUP(C266,[1]Planilha2!$C$3:$C$329,[1]Planilha2!$J$3:$J$329,"")</f>
        <v>1</v>
      </c>
      <c r="M266" s="42">
        <v>0.53294596706020103</v>
      </c>
      <c r="N266" s="43">
        <v>0.50954268378715895</v>
      </c>
      <c r="O266" s="43">
        <v>0.49659227047072202</v>
      </c>
      <c r="P266" s="43">
        <v>0.47732018322686198</v>
      </c>
      <c r="Q266" s="67">
        <v>0.29275648302816998</v>
      </c>
      <c r="R266" s="67">
        <v>0.45919755072087698</v>
      </c>
      <c r="S266" s="67">
        <v>0.72771107486904196</v>
      </c>
      <c r="T266" s="49">
        <v>1560.6878758149401</v>
      </c>
      <c r="U266" s="49">
        <v>1191.0750646177601</v>
      </c>
      <c r="V266" s="49">
        <v>1040.8602281020401</v>
      </c>
      <c r="W266" s="49">
        <v>918.11299688976601</v>
      </c>
      <c r="X266" s="49">
        <v>794.82229755416802</v>
      </c>
      <c r="Y266" s="4"/>
      <c r="Z266" s="69">
        <v>6.06152616608352</v>
      </c>
      <c r="AA266" s="69">
        <v>6.3280103751293799</v>
      </c>
      <c r="AB266" s="69">
        <v>6.6060840725904502</v>
      </c>
      <c r="AC266" s="69">
        <v>4.6804952449309196</v>
      </c>
      <c r="AD266" s="70">
        <v>6.8962295930029702</v>
      </c>
    </row>
    <row r="267" spans="1:30" ht="25.5" x14ac:dyDescent="0.25">
      <c r="A267" s="6">
        <v>199</v>
      </c>
      <c r="B267" s="3" t="s">
        <v>605</v>
      </c>
      <c r="C267" s="3" t="s">
        <v>606</v>
      </c>
      <c r="D267" s="4">
        <f>_xlfn.XLOOKUP(C267,[1]Planilha2!$C$3:$C$329,[1]Planilha2!$I$3:$I$329)</f>
        <v>26</v>
      </c>
      <c r="E267" s="7">
        <v>138367</v>
      </c>
      <c r="F267" s="7">
        <v>138237.66666666669</v>
      </c>
      <c r="G267" s="7">
        <v>138108.33333333331</v>
      </c>
      <c r="H267" s="7">
        <v>137979</v>
      </c>
      <c r="I267" s="7">
        <v>137507</v>
      </c>
      <c r="J267" s="4">
        <f>_xlfn.XLOOKUP(C267,[1]Planilha2!$C$3:$C$329,[1]Planilha2!$D$3:$D$329,"")</f>
        <v>18</v>
      </c>
      <c r="K267" s="8" t="s">
        <v>210</v>
      </c>
      <c r="L267" s="4">
        <f>_xlfn.XLOOKUP(C267,[1]Planilha2!$C$3:$C$329,[1]Planilha2!$J$3:$J$329,"")</f>
        <v>1</v>
      </c>
      <c r="M267" s="42">
        <v>0.56554211828421097</v>
      </c>
      <c r="N267" s="43">
        <v>0.52684415326132905</v>
      </c>
      <c r="O267" s="43">
        <v>0.50363490386218202</v>
      </c>
      <c r="P267" s="43">
        <v>0.48590725635785798</v>
      </c>
      <c r="Q267" s="67">
        <v>0.42618805671875998</v>
      </c>
      <c r="R267" s="67">
        <v>0.65083650153864703</v>
      </c>
      <c r="S267" s="67">
        <v>0.69858643263138798</v>
      </c>
      <c r="T267" s="49">
        <v>1913.93349570346</v>
      </c>
      <c r="U267" s="49">
        <v>1550.9030684593899</v>
      </c>
      <c r="V267" s="49">
        <v>1360.56336141918</v>
      </c>
      <c r="W267" s="49">
        <v>1176.3034146500599</v>
      </c>
      <c r="X267" s="49">
        <v>1095.1332417986</v>
      </c>
      <c r="Y267" s="4"/>
      <c r="Z267" s="69">
        <v>8.3789559649338408</v>
      </c>
      <c r="AA267" s="69">
        <v>8.4853935131042402</v>
      </c>
      <c r="AB267" s="69">
        <v>8.5040197912266908</v>
      </c>
      <c r="AC267" s="69">
        <v>7.7278136528022401</v>
      </c>
      <c r="AD267" s="70">
        <v>6.7096147832473996</v>
      </c>
    </row>
    <row r="268" spans="1:30" x14ac:dyDescent="0.25">
      <c r="A268" s="6">
        <v>200</v>
      </c>
      <c r="B268" s="3" t="s">
        <v>244</v>
      </c>
      <c r="C268" s="3" t="s">
        <v>245</v>
      </c>
      <c r="D268" s="4">
        <f>_xlfn.XLOOKUP(C268,[1]Planilha2!$C$3:$C$329,[1]Planilha2!$I$3:$I$329)</f>
        <v>18</v>
      </c>
      <c r="E268" s="7">
        <v>123645</v>
      </c>
      <c r="F268" s="7">
        <v>120844.66666666667</v>
      </c>
      <c r="G268" s="7">
        <v>118044.33333333333</v>
      </c>
      <c r="H268" s="7">
        <v>115244</v>
      </c>
      <c r="I268" s="7">
        <v>114966</v>
      </c>
      <c r="J268" s="4">
        <f>_xlfn.XLOOKUP(C268,[1]Planilha2!$C$3:$C$329,[1]Planilha2!$D$3:$D$329,"")</f>
        <v>8</v>
      </c>
      <c r="K268" s="8" t="s">
        <v>210</v>
      </c>
      <c r="L268" s="4">
        <f>_xlfn.XLOOKUP(C268,[1]Planilha2!$C$3:$C$329,[1]Planilha2!$J$3:$J$329,"")</f>
        <v>1</v>
      </c>
      <c r="M268" s="42">
        <v>0.52078385999657995</v>
      </c>
      <c r="N268" s="43">
        <v>0.492060957323943</v>
      </c>
      <c r="O268" s="43">
        <v>0.47005924993925902</v>
      </c>
      <c r="P268" s="43">
        <v>0.44223379259955098</v>
      </c>
      <c r="Q268" s="67">
        <v>0.36098825582478899</v>
      </c>
      <c r="R268" s="67">
        <v>0.53122298740868501</v>
      </c>
      <c r="S268" s="67">
        <v>0.71474345598969902</v>
      </c>
      <c r="T268" s="49">
        <v>1376.75059533341</v>
      </c>
      <c r="U268" s="49">
        <v>1189.3590110169</v>
      </c>
      <c r="V268" s="49">
        <v>1061.00197050261</v>
      </c>
      <c r="W268" s="49">
        <v>936.85727239595997</v>
      </c>
      <c r="X268" s="49">
        <v>866.191030913487</v>
      </c>
      <c r="Y268" s="4"/>
      <c r="Z268" s="69">
        <v>6.8282178818391399</v>
      </c>
      <c r="AA268" s="69">
        <v>7.6581782674176804</v>
      </c>
      <c r="AB268" s="69">
        <v>7.0909884139574704</v>
      </c>
      <c r="AC268" s="69">
        <v>5.3723317482905797</v>
      </c>
      <c r="AD268" s="70">
        <v>4.4530208931336199</v>
      </c>
    </row>
    <row r="269" spans="1:30" x14ac:dyDescent="0.25">
      <c r="A269" s="6">
        <v>201</v>
      </c>
      <c r="B269" s="3" t="s">
        <v>607</v>
      </c>
      <c r="C269" s="3" t="s">
        <v>608</v>
      </c>
      <c r="D269" s="4">
        <f>_xlfn.XLOOKUP(C269,[1]Planilha2!$C$3:$C$329,[1]Planilha2!$I$3:$I$329)</f>
        <v>17</v>
      </c>
      <c r="E269" s="7">
        <v>660343</v>
      </c>
      <c r="F269" s="7">
        <v>662169.33333333326</v>
      </c>
      <c r="G269" s="7">
        <v>663995.66666666674</v>
      </c>
      <c r="H269" s="7">
        <v>665822</v>
      </c>
      <c r="I269" s="7">
        <v>657954</v>
      </c>
      <c r="J269" s="4">
        <f>_xlfn.XLOOKUP(C269,[1]Planilha2!$C$3:$C$329,[1]Planilha2!$D$3:$D$329,"")</f>
        <v>13</v>
      </c>
      <c r="K269" s="8" t="s">
        <v>210</v>
      </c>
      <c r="L269" s="4">
        <f>_xlfn.XLOOKUP(C269,[1]Planilha2!$C$3:$C$329,[1]Planilha2!$J$3:$J$329,"")</f>
        <v>40</v>
      </c>
      <c r="M269" s="42">
        <v>0.56426142396607504</v>
      </c>
      <c r="N269" s="43">
        <v>0.53711484783786201</v>
      </c>
      <c r="O269" s="43">
        <v>0.52292544568968902</v>
      </c>
      <c r="P269" s="43">
        <v>0.51054522383023704</v>
      </c>
      <c r="Q269" s="67">
        <v>0.300099837047129</v>
      </c>
      <c r="R269" s="67">
        <v>0.70563799156319795</v>
      </c>
      <c r="S269" s="67">
        <v>0.75426896114281905</v>
      </c>
      <c r="T269" s="49">
        <v>1133.4816858511399</v>
      </c>
      <c r="U269" s="49">
        <v>919.64643578077698</v>
      </c>
      <c r="V269" s="49">
        <v>855.25684219826701</v>
      </c>
      <c r="W269" s="49">
        <v>743.53055474285895</v>
      </c>
      <c r="X269" s="49">
        <v>689.01931700392402</v>
      </c>
      <c r="Y269" s="4"/>
      <c r="Z269" s="69">
        <v>7.3834931240279698</v>
      </c>
      <c r="AA269" s="69">
        <v>7.6883491030491697</v>
      </c>
      <c r="AB269" s="69">
        <v>6.7285318629087403</v>
      </c>
      <c r="AC269" s="69">
        <v>5.8613368137430104</v>
      </c>
      <c r="AD269" s="70">
        <v>4.8146557358113196</v>
      </c>
    </row>
    <row r="270" spans="1:30" x14ac:dyDescent="0.25">
      <c r="A270" s="6">
        <v>202</v>
      </c>
      <c r="B270" s="3" t="s">
        <v>609</v>
      </c>
      <c r="C270" s="3" t="s">
        <v>610</v>
      </c>
      <c r="D270" s="4">
        <f>_xlfn.XLOOKUP(C270,[1]Planilha2!$C$3:$C$329,[1]Planilha2!$I$3:$I$329)</f>
        <v>10</v>
      </c>
      <c r="E270" s="7">
        <v>113480</v>
      </c>
      <c r="F270" s="7">
        <v>115134.33333333334</v>
      </c>
      <c r="G270" s="7">
        <v>116788.66666666666</v>
      </c>
      <c r="H270" s="7">
        <v>118443</v>
      </c>
      <c r="I270" s="7">
        <v>117604</v>
      </c>
      <c r="J270" s="4">
        <f>_xlfn.XLOOKUP(C270,[1]Planilha2!$C$3:$C$329,[1]Planilha2!$D$3:$D$329,"")</f>
        <v>4</v>
      </c>
      <c r="K270" s="8" t="s">
        <v>210</v>
      </c>
      <c r="L270" s="4">
        <f>_xlfn.XLOOKUP(C270,[1]Planilha2!$C$3:$C$329,[1]Planilha2!$J$3:$J$329,"")</f>
        <v>1</v>
      </c>
      <c r="M270" s="42">
        <v>0.51367213979033199</v>
      </c>
      <c r="N270" s="43">
        <v>0.48376087862406703</v>
      </c>
      <c r="O270" s="43">
        <v>0.443592333865235</v>
      </c>
      <c r="P270" s="43">
        <v>0.45963899102071398</v>
      </c>
      <c r="Q270" s="67">
        <v>0.52327424978451098</v>
      </c>
      <c r="R270" s="67">
        <v>0.83051352642665099</v>
      </c>
      <c r="S270" s="67">
        <v>0.62867725578395195</v>
      </c>
      <c r="T270" s="49">
        <v>1236.77938579485</v>
      </c>
      <c r="U270" s="49">
        <v>1010.98712645808</v>
      </c>
      <c r="V270" s="49">
        <v>832.71214392949105</v>
      </c>
      <c r="W270" s="49">
        <v>726.135805830653</v>
      </c>
      <c r="X270" s="49">
        <v>695.61868703445498</v>
      </c>
      <c r="Y270" s="4"/>
      <c r="Z270" s="69">
        <v>7.4322083186464596</v>
      </c>
      <c r="AA270" s="69">
        <v>6.9990243281036904</v>
      </c>
      <c r="AB270" s="69">
        <v>7.7655737143444297</v>
      </c>
      <c r="AC270" s="69">
        <v>4.3192759386371504</v>
      </c>
      <c r="AD270" s="70">
        <v>2.4123584231828801</v>
      </c>
    </row>
    <row r="271" spans="1:30" ht="25.5" x14ac:dyDescent="0.25">
      <c r="A271" s="6">
        <v>203</v>
      </c>
      <c r="B271" s="3" t="s">
        <v>611</v>
      </c>
      <c r="C271" s="3" t="s">
        <v>612</v>
      </c>
      <c r="D271" s="4">
        <f>_xlfn.XLOOKUP(C271,[1]Planilha2!$C$3:$C$329,[1]Planilha2!$I$3:$I$329)</f>
        <v>15</v>
      </c>
      <c r="E271" s="7">
        <v>177118</v>
      </c>
      <c r="F271" s="7">
        <v>176717</v>
      </c>
      <c r="G271" s="7">
        <v>176316</v>
      </c>
      <c r="H271" s="7">
        <v>175915</v>
      </c>
      <c r="I271" s="7">
        <v>175280</v>
      </c>
      <c r="J271" s="4">
        <f>_xlfn.XLOOKUP(C271,[1]Planilha2!$C$3:$C$329,[1]Planilha2!$D$3:$D$329,"")</f>
        <v>7</v>
      </c>
      <c r="K271" s="8" t="s">
        <v>210</v>
      </c>
      <c r="L271" s="4">
        <f>_xlfn.XLOOKUP(C271,[1]Planilha2!$C$3:$C$329,[1]Planilha2!$J$3:$J$329,"")</f>
        <v>7</v>
      </c>
      <c r="M271" s="42">
        <v>0.56372152613123405</v>
      </c>
      <c r="N271" s="43">
        <v>0.52887181424260998</v>
      </c>
      <c r="O271" s="43">
        <v>0.48970105789728002</v>
      </c>
      <c r="P271" s="43">
        <v>0.50038455043359198</v>
      </c>
      <c r="Q271" s="67">
        <v>0.45822445930412797</v>
      </c>
      <c r="R271" s="67">
        <v>0.72300936178981701</v>
      </c>
      <c r="S271" s="67">
        <v>0.71706422257008295</v>
      </c>
      <c r="T271" s="49">
        <v>1221.5970667013</v>
      </c>
      <c r="U271" s="49">
        <v>1018.75647034524</v>
      </c>
      <c r="V271" s="49">
        <v>924.22631046908202</v>
      </c>
      <c r="W271" s="49">
        <v>748.48728397237301</v>
      </c>
      <c r="X271" s="49">
        <v>663.07492195344605</v>
      </c>
      <c r="Y271" s="4"/>
      <c r="Z271" s="69">
        <v>5.0490238146320499</v>
      </c>
      <c r="AA271" s="69">
        <v>3.5743420270828499</v>
      </c>
      <c r="AB271" s="69">
        <v>3.1969191678577098</v>
      </c>
      <c r="AC271" s="69">
        <v>3.2384333342807601</v>
      </c>
      <c r="AD271" s="70">
        <v>6.77329986307622</v>
      </c>
    </row>
    <row r="272" spans="1:30" x14ac:dyDescent="0.25">
      <c r="A272" s="6">
        <v>204</v>
      </c>
      <c r="B272" s="3" t="s">
        <v>613</v>
      </c>
      <c r="C272" s="3" t="s">
        <v>614</v>
      </c>
      <c r="D272" s="4">
        <f>_xlfn.XLOOKUP(C272,[1]Planilha2!$C$3:$C$329,[1]Planilha2!$I$3:$I$329)</f>
        <v>11</v>
      </c>
      <c r="E272" s="7">
        <v>164676</v>
      </c>
      <c r="F272" s="7">
        <v>168478</v>
      </c>
      <c r="G272" s="7">
        <v>172280</v>
      </c>
      <c r="H272" s="7">
        <v>176082</v>
      </c>
      <c r="I272" s="7">
        <v>174634</v>
      </c>
      <c r="J272" s="4">
        <f>_xlfn.XLOOKUP(C272,[1]Planilha2!$C$3:$C$329,[1]Planilha2!$D$3:$D$329,"")</f>
        <v>8</v>
      </c>
      <c r="K272" s="8" t="s">
        <v>210</v>
      </c>
      <c r="L272" s="4">
        <f>_xlfn.XLOOKUP(C272,[1]Planilha2!$C$3:$C$329,[1]Planilha2!$J$3:$J$329,"")</f>
        <v>9</v>
      </c>
      <c r="M272" s="42">
        <v>0.473399223241808</v>
      </c>
      <c r="N272" s="43">
        <v>0.45356643874313102</v>
      </c>
      <c r="O272" s="43">
        <v>0.43723240989993301</v>
      </c>
      <c r="P272" s="43">
        <v>0.43269970681539699</v>
      </c>
      <c r="Q272" s="67">
        <v>0.46476195476356302</v>
      </c>
      <c r="R272" s="67">
        <v>0.65771048119340603</v>
      </c>
      <c r="S272" s="67">
        <v>0.64100867599257005</v>
      </c>
      <c r="T272" s="49">
        <v>1299.2152474556101</v>
      </c>
      <c r="U272" s="49">
        <v>1022.81045234393</v>
      </c>
      <c r="V272" s="49">
        <v>981.20032160823496</v>
      </c>
      <c r="W272" s="49">
        <v>799.15528299315099</v>
      </c>
      <c r="X272" s="49">
        <v>657.70239443636399</v>
      </c>
      <c r="Y272" s="4"/>
      <c r="Z272" s="69">
        <v>9.0741638125774209</v>
      </c>
      <c r="AA272" s="69">
        <v>7.6935326867602898</v>
      </c>
      <c r="AB272" s="69">
        <v>7.5746227072207999</v>
      </c>
      <c r="AC272" s="69">
        <v>5.57938914823775</v>
      </c>
      <c r="AD272" s="70">
        <v>4.3272329557818097</v>
      </c>
    </row>
    <row r="273" spans="1:30" x14ac:dyDescent="0.25">
      <c r="A273" s="6">
        <v>205</v>
      </c>
      <c r="B273" s="3" t="s">
        <v>247</v>
      </c>
      <c r="C273" s="3" t="s">
        <v>248</v>
      </c>
      <c r="D273" s="4">
        <f>_xlfn.XLOOKUP(C273,[1]Planilha2!$C$3:$C$329,[1]Planilha2!$I$3:$I$329)</f>
        <v>17</v>
      </c>
      <c r="E273" s="7">
        <v>424820</v>
      </c>
      <c r="F273" s="7">
        <v>421983</v>
      </c>
      <c r="G273" s="7">
        <v>419146</v>
      </c>
      <c r="H273" s="7">
        <v>416309</v>
      </c>
      <c r="I273" s="7">
        <v>414612</v>
      </c>
      <c r="J273" s="4">
        <f>_xlfn.XLOOKUP(C273,[1]Planilha2!$C$3:$C$329,[1]Planilha2!$D$3:$D$329,"")</f>
        <v>20</v>
      </c>
      <c r="K273" s="8" t="s">
        <v>210</v>
      </c>
      <c r="L273" s="4">
        <f>_xlfn.XLOOKUP(C273,[1]Planilha2!$C$3:$C$329,[1]Planilha2!$J$3:$J$329,"")</f>
        <v>15</v>
      </c>
      <c r="M273" s="42">
        <v>0.56439277664424103</v>
      </c>
      <c r="N273" s="43">
        <v>0.53398909473071399</v>
      </c>
      <c r="O273" s="43">
        <v>0.515617610236627</v>
      </c>
      <c r="P273" s="43">
        <v>0.51212297979798005</v>
      </c>
      <c r="Q273" s="67">
        <v>0.58786769224407098</v>
      </c>
      <c r="R273" s="67">
        <v>0.64076606464891295</v>
      </c>
      <c r="S273" s="67">
        <v>0.69983572852100795</v>
      </c>
      <c r="T273" s="49">
        <v>1224.94641664705</v>
      </c>
      <c r="U273" s="49">
        <v>1002.8781766880001</v>
      </c>
      <c r="V273" s="49">
        <v>907.37005461104297</v>
      </c>
      <c r="W273" s="49">
        <v>754.70612081410695</v>
      </c>
      <c r="X273" s="49">
        <v>730.43392284834999</v>
      </c>
      <c r="Y273" s="4"/>
      <c r="Z273" s="69">
        <v>10.4642436796761</v>
      </c>
      <c r="AA273" s="69">
        <v>10.0708606744821</v>
      </c>
      <c r="AB273" s="69">
        <v>9.31939467393223</v>
      </c>
      <c r="AC273" s="69">
        <v>7.8805214396037604</v>
      </c>
      <c r="AD273" s="70">
        <v>6.2502701320752898</v>
      </c>
    </row>
    <row r="274" spans="1:30" ht="25.5" x14ac:dyDescent="0.25">
      <c r="A274" s="6">
        <v>206</v>
      </c>
      <c r="B274" s="3" t="s">
        <v>249</v>
      </c>
      <c r="C274" s="3" t="s">
        <v>250</v>
      </c>
      <c r="D274" s="4">
        <f>_xlfn.XLOOKUP(C274,[1]Planilha2!$C$3:$C$329,[1]Planilha2!$I$3:$I$329)</f>
        <v>15</v>
      </c>
      <c r="E274" s="7">
        <v>587326</v>
      </c>
      <c r="F274" s="7">
        <v>580312.33333333349</v>
      </c>
      <c r="G274" s="7">
        <v>573298.66666666651</v>
      </c>
      <c r="H274" s="7">
        <v>566285</v>
      </c>
      <c r="I274" s="7">
        <v>563665</v>
      </c>
      <c r="J274" s="4">
        <f>_xlfn.XLOOKUP(C274,[1]Planilha2!$C$3:$C$329,[1]Planilha2!$D$3:$D$329,"")</f>
        <v>22</v>
      </c>
      <c r="K274" s="8" t="s">
        <v>210</v>
      </c>
      <c r="L274" s="4">
        <f>_xlfn.XLOOKUP(C274,[1]Planilha2!$C$3:$C$329,[1]Planilha2!$J$3:$J$329,"")</f>
        <v>22</v>
      </c>
      <c r="M274" s="42">
        <v>0.51008211595250097</v>
      </c>
      <c r="N274" s="43">
        <v>0.50049444007079502</v>
      </c>
      <c r="O274" s="43">
        <v>0.47284616103198901</v>
      </c>
      <c r="P274" s="43">
        <v>0.46318985869266299</v>
      </c>
      <c r="Q274" s="67">
        <v>0.46414852008493501</v>
      </c>
      <c r="R274" s="67">
        <v>0.584818637754841</v>
      </c>
      <c r="S274" s="67">
        <v>0.68696877956574098</v>
      </c>
      <c r="T274" s="49">
        <v>1258.3251273057899</v>
      </c>
      <c r="U274" s="49">
        <v>956.75081660622902</v>
      </c>
      <c r="V274" s="49">
        <v>873.32062306092996</v>
      </c>
      <c r="W274" s="49">
        <v>687.89965598594404</v>
      </c>
      <c r="X274" s="49">
        <v>711.10062586820197</v>
      </c>
      <c r="Y274" s="4"/>
      <c r="Z274" s="69">
        <v>8.2161576364744597</v>
      </c>
      <c r="AA274" s="69">
        <v>7.0636168913636697</v>
      </c>
      <c r="AB274" s="69">
        <v>6.4801301939186997</v>
      </c>
      <c r="AC274" s="69">
        <v>4.6394059528329397</v>
      </c>
      <c r="AD274" s="70">
        <v>4.0263170500208503</v>
      </c>
    </row>
    <row r="275" spans="1:30" ht="25.5" x14ac:dyDescent="0.25">
      <c r="A275" s="6">
        <v>207</v>
      </c>
      <c r="B275" s="3" t="s">
        <v>615</v>
      </c>
      <c r="C275" s="3" t="s">
        <v>616</v>
      </c>
      <c r="D275" s="4">
        <f>_xlfn.XLOOKUP(C275,[1]Planilha2!$C$3:$C$329,[1]Planilha2!$I$3:$I$329)</f>
        <v>17</v>
      </c>
      <c r="E275" s="7">
        <v>713818</v>
      </c>
      <c r="F275" s="7">
        <v>716446.99999999988</v>
      </c>
      <c r="G275" s="7">
        <v>719076.00000000012</v>
      </c>
      <c r="H275" s="7">
        <v>721705</v>
      </c>
      <c r="I275" s="7">
        <v>719356</v>
      </c>
      <c r="J275" s="4">
        <f>_xlfn.XLOOKUP(C275,[1]Planilha2!$C$3:$C$329,[1]Planilha2!$D$3:$D$329,"")</f>
        <v>25</v>
      </c>
      <c r="K275" s="8" t="s">
        <v>210</v>
      </c>
      <c r="L275" s="4">
        <f>_xlfn.XLOOKUP(C275,[1]Planilha2!$C$3:$C$329,[1]Planilha2!$J$3:$J$329,"")</f>
        <v>20</v>
      </c>
      <c r="M275" s="42">
        <v>0.59397533495150401</v>
      </c>
      <c r="N275" s="43">
        <v>0.56608656905992305</v>
      </c>
      <c r="O275" s="43">
        <v>0.53678147858196901</v>
      </c>
      <c r="P275" s="43">
        <v>0.52357662297944296</v>
      </c>
      <c r="Q275" s="67">
        <v>0.31858859035762599</v>
      </c>
      <c r="R275" s="67">
        <v>0.64502082529060401</v>
      </c>
      <c r="S275" s="67">
        <v>0.83605137829659204</v>
      </c>
      <c r="T275" s="49">
        <v>1269.8754465003699</v>
      </c>
      <c r="U275" s="49">
        <v>1072.03240631431</v>
      </c>
      <c r="V275" s="49">
        <v>944.48686011863299</v>
      </c>
      <c r="W275" s="49">
        <v>768.82904941769903</v>
      </c>
      <c r="X275" s="49">
        <v>716.30629868938297</v>
      </c>
      <c r="Y275" s="4"/>
      <c r="Z275" s="69">
        <v>8.94529137679352</v>
      </c>
      <c r="AA275" s="69">
        <v>7.7469512748326101</v>
      </c>
      <c r="AB275" s="69">
        <v>7.5162736623110797</v>
      </c>
      <c r="AC275" s="69">
        <v>5.7962934994215098</v>
      </c>
      <c r="AD275" s="70">
        <v>4.9836033896985601</v>
      </c>
    </row>
    <row r="276" spans="1:30" x14ac:dyDescent="0.25">
      <c r="A276" s="6">
        <v>208</v>
      </c>
      <c r="B276" s="3" t="s">
        <v>251</v>
      </c>
      <c r="C276" s="3" t="s">
        <v>252</v>
      </c>
      <c r="D276" s="4">
        <f>_xlfn.XLOOKUP(C276,[1]Planilha2!$C$3:$C$329,[1]Planilha2!$I$3:$I$329)</f>
        <v>11</v>
      </c>
      <c r="E276" s="7">
        <v>163724</v>
      </c>
      <c r="F276" s="7">
        <v>172725.33333333331</v>
      </c>
      <c r="G276" s="7">
        <v>181726.66666666669</v>
      </c>
      <c r="H276" s="7">
        <v>190728</v>
      </c>
      <c r="I276" s="7">
        <v>189280</v>
      </c>
      <c r="J276" s="4">
        <f>_xlfn.XLOOKUP(C276,[1]Planilha2!$C$3:$C$329,[1]Planilha2!$D$3:$D$329,"")</f>
        <v>6</v>
      </c>
      <c r="K276" s="8" t="s">
        <v>210</v>
      </c>
      <c r="L276" s="4">
        <f>_xlfn.XLOOKUP(C276,[1]Planilha2!$C$3:$C$329,[1]Planilha2!$J$3:$J$329,"")</f>
        <v>19</v>
      </c>
      <c r="M276" s="42">
        <v>0.566311608989996</v>
      </c>
      <c r="N276" s="43">
        <v>0.50738748596793704</v>
      </c>
      <c r="O276" s="43">
        <v>0.49337961285180998</v>
      </c>
      <c r="P276" s="43">
        <v>0.45757129490701598</v>
      </c>
      <c r="Q276" s="67">
        <v>0.43894895153894098</v>
      </c>
      <c r="R276" s="67">
        <v>0.64507812667375897</v>
      </c>
      <c r="S276" s="67">
        <v>0.838746773909534</v>
      </c>
      <c r="T276" s="49">
        <v>1392.31635966627</v>
      </c>
      <c r="U276" s="49">
        <v>1017.4288808049801</v>
      </c>
      <c r="V276" s="49">
        <v>860.77052667009002</v>
      </c>
      <c r="W276" s="49">
        <v>735.88364178306301</v>
      </c>
      <c r="X276" s="49">
        <v>734.78935138419297</v>
      </c>
      <c r="Y276" s="4"/>
      <c r="Z276" s="69">
        <v>9.1136302557963393</v>
      </c>
      <c r="AA276" s="69">
        <v>7.9042545389983303</v>
      </c>
      <c r="AB276" s="69">
        <v>7.2809622509996696</v>
      </c>
      <c r="AC276" s="69">
        <v>6.2167694308124704</v>
      </c>
      <c r="AD276" s="70">
        <v>6.53678677092139</v>
      </c>
    </row>
    <row r="277" spans="1:30" ht="25.5" x14ac:dyDescent="0.25">
      <c r="A277" s="6">
        <v>209</v>
      </c>
      <c r="B277" s="3" t="s">
        <v>617</v>
      </c>
      <c r="C277" s="3" t="s">
        <v>618</v>
      </c>
      <c r="D277" s="4">
        <f>_xlfn.XLOOKUP(C277,[1]Planilha2!$C$3:$C$329,[1]Planilha2!$I$3:$I$329)</f>
        <v>22</v>
      </c>
      <c r="E277" s="7">
        <v>399486</v>
      </c>
      <c r="F277" s="7">
        <v>411553.33333333331</v>
      </c>
      <c r="G277" s="7">
        <v>423620.66666666674</v>
      </c>
      <c r="H277" s="7">
        <v>435688</v>
      </c>
      <c r="I277" s="7">
        <v>433648</v>
      </c>
      <c r="J277" s="4">
        <f>_xlfn.XLOOKUP(C277,[1]Planilha2!$C$3:$C$329,[1]Planilha2!$D$3:$D$329,"")</f>
        <v>23</v>
      </c>
      <c r="K277" s="8" t="s">
        <v>210</v>
      </c>
      <c r="L277" s="4">
        <f>_xlfn.XLOOKUP(C277,[1]Planilha2!$C$3:$C$329,[1]Planilha2!$J$3:$J$329,"")</f>
        <v>10</v>
      </c>
      <c r="M277" s="42">
        <v>0.50063146801548597</v>
      </c>
      <c r="N277" s="43">
        <v>0.472754529445368</v>
      </c>
      <c r="O277" s="43">
        <v>0.45257211743265802</v>
      </c>
      <c r="P277" s="43">
        <v>0.44139589690255698</v>
      </c>
      <c r="Q277" s="67">
        <v>0.55130626267840199</v>
      </c>
      <c r="R277" s="67">
        <v>0.67475883959076599</v>
      </c>
      <c r="S277" s="67">
        <v>0.77011283113351403</v>
      </c>
      <c r="T277" s="49">
        <v>1299.1284471295601</v>
      </c>
      <c r="U277" s="49">
        <v>994.27451934135695</v>
      </c>
      <c r="V277" s="49">
        <v>873.15301416676198</v>
      </c>
      <c r="W277" s="49">
        <v>703.801050568297</v>
      </c>
      <c r="X277" s="49">
        <v>699.09087898479902</v>
      </c>
      <c r="Y277" s="4"/>
      <c r="Z277" s="69">
        <v>11.085717647176599</v>
      </c>
      <c r="AA277" s="69">
        <v>8.8583901640937608</v>
      </c>
      <c r="AB277" s="69">
        <v>8.0717874954164994</v>
      </c>
      <c r="AC277" s="69">
        <v>6.0243476983529503</v>
      </c>
      <c r="AD277" s="70">
        <v>4.5267336641700204</v>
      </c>
    </row>
    <row r="278" spans="1:30" x14ac:dyDescent="0.25">
      <c r="A278" s="6">
        <v>210</v>
      </c>
      <c r="B278" s="3" t="s">
        <v>619</v>
      </c>
      <c r="C278" s="3" t="s">
        <v>620</v>
      </c>
      <c r="D278" s="4">
        <f>_xlfn.XLOOKUP(C278,[1]Planilha2!$C$3:$C$329,[1]Planilha2!$I$3:$I$329)</f>
        <v>10</v>
      </c>
      <c r="E278" s="7">
        <v>52359</v>
      </c>
      <c r="F278" s="7">
        <v>52393</v>
      </c>
      <c r="G278" s="7">
        <v>52427</v>
      </c>
      <c r="H278" s="7">
        <v>52461</v>
      </c>
      <c r="I278" s="7">
        <v>52349</v>
      </c>
      <c r="J278" s="4">
        <f>_xlfn.XLOOKUP(C278,[1]Planilha2!$C$3:$C$329,[1]Planilha2!$D$3:$D$329,"")</f>
        <v>7</v>
      </c>
      <c r="K278" s="8" t="s">
        <v>210</v>
      </c>
      <c r="L278" s="4">
        <f>_xlfn.XLOOKUP(C278,[1]Planilha2!$C$3:$C$329,[1]Planilha2!$J$3:$J$329,"")</f>
        <v>23</v>
      </c>
      <c r="M278" s="42">
        <v>0.53209440256013896</v>
      </c>
      <c r="N278" s="43">
        <v>0.514878459572358</v>
      </c>
      <c r="O278" s="43">
        <v>0.45711063075427499</v>
      </c>
      <c r="P278" s="43">
        <v>0.465393785936694</v>
      </c>
      <c r="Q278" s="67">
        <v>0.12631310393499501</v>
      </c>
      <c r="R278" s="67">
        <v>0.87479491801298304</v>
      </c>
      <c r="S278" s="67">
        <v>0.84476753072526301</v>
      </c>
      <c r="T278" s="49">
        <v>1642.8347819859</v>
      </c>
      <c r="U278" s="49">
        <v>1313.1542150032799</v>
      </c>
      <c r="V278" s="49">
        <v>1206.7205459654999</v>
      </c>
      <c r="W278" s="49">
        <v>1047.2079405653701</v>
      </c>
      <c r="X278" s="49">
        <v>1027.1908368832301</v>
      </c>
      <c r="Y278" s="4"/>
      <c r="Z278" s="69">
        <v>8.2218338776523598</v>
      </c>
      <c r="AA278" s="69">
        <v>8.2428377836733908</v>
      </c>
      <c r="AB278" s="69">
        <v>7.0545520437942297</v>
      </c>
      <c r="AC278" s="69">
        <v>5.7410076056499104</v>
      </c>
      <c r="AD278" s="70">
        <v>4.8264723299394401</v>
      </c>
    </row>
    <row r="279" spans="1:30" x14ac:dyDescent="0.25">
      <c r="A279" s="6">
        <v>211</v>
      </c>
      <c r="B279" s="3" t="s">
        <v>621</v>
      </c>
      <c r="C279" s="3" t="s">
        <v>622</v>
      </c>
      <c r="D279" s="4">
        <f>_xlfn.XLOOKUP(C279,[1]Planilha2!$C$3:$C$329,[1]Planilha2!$I$3:$I$329)</f>
        <v>5</v>
      </c>
      <c r="E279" s="7">
        <v>35743</v>
      </c>
      <c r="F279" s="7">
        <v>36158.333333333328</v>
      </c>
      <c r="G279" s="7">
        <v>36573.666666666672</v>
      </c>
      <c r="H279" s="7">
        <v>36989</v>
      </c>
      <c r="I279" s="7">
        <v>36927</v>
      </c>
      <c r="J279" s="4">
        <f>_xlfn.XLOOKUP(C279,[1]Planilha2!$C$3:$C$329,[1]Planilha2!$D$3:$D$329,"")</f>
        <v>4</v>
      </c>
      <c r="K279" s="8" t="s">
        <v>210</v>
      </c>
      <c r="L279" s="4">
        <f>_xlfn.XLOOKUP(C279,[1]Planilha2!$C$3:$C$329,[1]Planilha2!$J$3:$J$329,"")</f>
        <v>43</v>
      </c>
      <c r="M279" s="42">
        <v>0.51600591380502403</v>
      </c>
      <c r="N279" s="43">
        <v>0.44048506393488901</v>
      </c>
      <c r="O279" s="43">
        <v>0.41989925383221999</v>
      </c>
      <c r="P279" s="43">
        <v>0.40513055487854399</v>
      </c>
      <c r="Q279" s="67">
        <v>5.1379751369382297E-2</v>
      </c>
      <c r="R279" s="67">
        <v>0.90550750357725496</v>
      </c>
      <c r="S279" s="67">
        <v>0.73224409547853198</v>
      </c>
      <c r="T279" s="49">
        <v>1326.3374498503199</v>
      </c>
      <c r="U279" s="49">
        <v>952.55275233924897</v>
      </c>
      <c r="V279" s="49">
        <v>886.88914237019299</v>
      </c>
      <c r="W279" s="49">
        <v>753.909796155614</v>
      </c>
      <c r="X279" s="49">
        <v>748.83459013729805</v>
      </c>
      <c r="Y279" s="4"/>
      <c r="Z279" s="69">
        <v>0.14296505609490001</v>
      </c>
      <c r="AA279" s="69">
        <v>7.7603134362756399E-2</v>
      </c>
      <c r="AB279" s="69">
        <v>5.7719123959861798E-2</v>
      </c>
      <c r="AC279" s="69">
        <v>0.421098164319122</v>
      </c>
      <c r="AD279" s="70">
        <v>0.89081160126736503</v>
      </c>
    </row>
    <row r="280" spans="1:30" ht="25.5" x14ac:dyDescent="0.25">
      <c r="A280" s="6">
        <v>237</v>
      </c>
      <c r="B280" s="3" t="s">
        <v>623</v>
      </c>
      <c r="C280" s="3" t="s">
        <v>624</v>
      </c>
      <c r="D280" s="4">
        <f>_xlfn.XLOOKUP(C280,[1]Planilha2!$C$3:$C$329,[1]Planilha2!$I$3:$I$329)</f>
        <v>4</v>
      </c>
      <c r="E280" s="7">
        <v>65968</v>
      </c>
      <c r="F280" s="7">
        <v>66652.666666666672</v>
      </c>
      <c r="G280" s="7">
        <v>67337.333333333328</v>
      </c>
      <c r="H280" s="7">
        <v>68022</v>
      </c>
      <c r="I280" s="7">
        <v>67514</v>
      </c>
      <c r="J280" s="4">
        <f>_xlfn.XLOOKUP(C280,[1]Planilha2!$C$3:$C$329,[1]Planilha2!$D$3:$D$329,"")</f>
        <v>5</v>
      </c>
      <c r="K280" s="8" t="s">
        <v>210</v>
      </c>
      <c r="L280" s="4">
        <f>_xlfn.XLOOKUP(C280,[1]Planilha2!$C$3:$C$329,[1]Planilha2!$J$3:$J$329,"")</f>
        <v>26</v>
      </c>
      <c r="M280" s="42">
        <v>0.54150909741045605</v>
      </c>
      <c r="N280" s="43">
        <v>0.51671948993129102</v>
      </c>
      <c r="O280" s="43">
        <v>0.47642480521007902</v>
      </c>
      <c r="P280" s="43">
        <v>0.50420206475693896</v>
      </c>
      <c r="Q280" s="67">
        <v>0.27205900689068002</v>
      </c>
      <c r="R280" s="67">
        <v>0.61566821673960004</v>
      </c>
      <c r="S280" s="67">
        <v>0.86855907520345299</v>
      </c>
      <c r="T280" s="49">
        <v>2603.8950447186498</v>
      </c>
      <c r="U280" s="49">
        <v>2425.2715867332099</v>
      </c>
      <c r="V280" s="49">
        <v>2253.0538157634201</v>
      </c>
      <c r="W280" s="49">
        <v>1946.07219811238</v>
      </c>
      <c r="X280" s="49">
        <v>1564.10170527594</v>
      </c>
      <c r="Y280" s="4"/>
      <c r="Z280" s="69">
        <v>12.405742178025699</v>
      </c>
      <c r="AA280" s="69">
        <v>13.1916402444513</v>
      </c>
      <c r="AB280" s="69">
        <v>10.0939251133596</v>
      </c>
      <c r="AC280" s="69">
        <v>9.5434859310223192</v>
      </c>
      <c r="AD280" s="70">
        <v>9.1362828450395508</v>
      </c>
    </row>
    <row r="281" spans="1:30" x14ac:dyDescent="0.25">
      <c r="A281" s="6">
        <v>238</v>
      </c>
      <c r="B281" s="3" t="s">
        <v>625</v>
      </c>
      <c r="C281" s="3" t="s">
        <v>626</v>
      </c>
      <c r="D281" s="4">
        <f>_xlfn.XLOOKUP(C281,[1]Planilha2!$C$3:$C$329,[1]Planilha2!$I$3:$I$329)</f>
        <v>14</v>
      </c>
      <c r="E281" s="7">
        <v>808828</v>
      </c>
      <c r="F281" s="7">
        <v>800130.33333333326</v>
      </c>
      <c r="G281" s="7">
        <v>791432.66666666674</v>
      </c>
      <c r="H281" s="7">
        <v>782735</v>
      </c>
      <c r="I281" s="7">
        <v>778499</v>
      </c>
      <c r="J281" s="4">
        <f>_xlfn.XLOOKUP(C281,[1]Planilha2!$C$3:$C$329,[1]Planilha2!$D$3:$D$329,"")</f>
        <v>55</v>
      </c>
      <c r="K281" s="8" t="s">
        <v>210</v>
      </c>
      <c r="L281" s="4">
        <f>_xlfn.XLOOKUP(C281,[1]Planilha2!$C$3:$C$329,[1]Planilha2!$J$3:$J$329,"")</f>
        <v>22</v>
      </c>
      <c r="M281" s="42">
        <v>0.55642757779878405</v>
      </c>
      <c r="N281" s="43">
        <v>0.51885667873198704</v>
      </c>
      <c r="O281" s="43">
        <v>0.48804272697656298</v>
      </c>
      <c r="P281" s="43">
        <v>0.50332550613423999</v>
      </c>
      <c r="Q281" s="67">
        <v>0.27782851647097401</v>
      </c>
      <c r="R281" s="67">
        <v>0.77289213729700301</v>
      </c>
      <c r="S281" s="67">
        <v>0.85922498890198296</v>
      </c>
      <c r="T281" s="49">
        <v>1580.0588211956101</v>
      </c>
      <c r="U281" s="49">
        <v>1373.8026546800099</v>
      </c>
      <c r="V281" s="49">
        <v>1255.1298974896999</v>
      </c>
      <c r="W281" s="49">
        <v>1047.61366885344</v>
      </c>
      <c r="X281" s="49">
        <v>933.88832061441303</v>
      </c>
      <c r="Y281" s="4"/>
      <c r="Z281" s="69">
        <v>10.3663584841277</v>
      </c>
      <c r="AA281" s="69">
        <v>9.8035315913115806</v>
      </c>
      <c r="AB281" s="69">
        <v>10.911835414088699</v>
      </c>
      <c r="AC281" s="69">
        <v>7.0332641315387701</v>
      </c>
      <c r="AD281" s="70">
        <v>5.7062822174466499</v>
      </c>
    </row>
    <row r="282" spans="1:30" x14ac:dyDescent="0.25">
      <c r="A282" s="6">
        <v>264</v>
      </c>
      <c r="B282" s="10" t="s">
        <v>253</v>
      </c>
      <c r="C282" s="18" t="s">
        <v>254</v>
      </c>
      <c r="D282" s="4">
        <f>_xlfn.XLOOKUP(C282,[1]Planilha2!$C$3:$C$329,[1]Planilha2!$I$3:$I$329)</f>
        <v>7</v>
      </c>
      <c r="E282" s="7">
        <v>641475</v>
      </c>
      <c r="F282" s="7">
        <v>656941.66666666651</v>
      </c>
      <c r="G282" s="7">
        <v>672408.33333333337</v>
      </c>
      <c r="H282" s="7">
        <v>687875</v>
      </c>
      <c r="I282" s="7">
        <v>683675</v>
      </c>
      <c r="J282" s="4">
        <f>_xlfn.XLOOKUP(C282,[1]Planilha2!$C$3:$C$329,[1]Planilha2!$D$3:$D$329,"")</f>
        <v>42</v>
      </c>
      <c r="K282" s="8" t="s">
        <v>210</v>
      </c>
      <c r="L282" s="4">
        <f>_xlfn.XLOOKUP(C282,[1]Planilha2!$C$3:$C$329,[1]Planilha2!$J$3:$J$329,"")</f>
        <v>15</v>
      </c>
      <c r="M282" s="42">
        <v>0.54186755079725502</v>
      </c>
      <c r="N282" s="43">
        <v>0.51226123407155899</v>
      </c>
      <c r="O282" s="43">
        <v>0.46748779443939698</v>
      </c>
      <c r="P282" s="43">
        <v>0.44897517182871999</v>
      </c>
      <c r="Q282" s="67">
        <v>0.35677957828204598</v>
      </c>
      <c r="R282" s="67">
        <v>0.790645952137218</v>
      </c>
      <c r="S282" s="67">
        <v>0.88840274495904004</v>
      </c>
      <c r="T282" s="49">
        <v>1318.70872721462</v>
      </c>
      <c r="U282" s="49">
        <v>996.22230127484704</v>
      </c>
      <c r="V282" s="49">
        <v>907.04749488530001</v>
      </c>
      <c r="W282" s="49">
        <v>763.28295371978902</v>
      </c>
      <c r="X282" s="49">
        <v>739.97974119281798</v>
      </c>
      <c r="Y282" s="4"/>
      <c r="Z282" s="69">
        <v>6.9024622939319498</v>
      </c>
      <c r="AA282" s="69">
        <v>5.60753288597415</v>
      </c>
      <c r="AB282" s="69">
        <v>5.54012318903444</v>
      </c>
      <c r="AC282" s="69">
        <v>5.7621908050154502</v>
      </c>
      <c r="AD282" s="70">
        <v>5.7643778110944499</v>
      </c>
    </row>
    <row r="283" spans="1:30" x14ac:dyDescent="0.25">
      <c r="A283" s="6">
        <v>285</v>
      </c>
      <c r="B283" s="3" t="s">
        <v>627</v>
      </c>
      <c r="C283" s="3" t="s">
        <v>628</v>
      </c>
      <c r="D283" s="4">
        <f>_xlfn.XLOOKUP(C283,[1]Planilha2!$C$3:$C$329,[1]Planilha2!$I$3:$I$329)</f>
        <v>7</v>
      </c>
      <c r="E283" s="7">
        <v>349282</v>
      </c>
      <c r="F283" s="7">
        <v>353363.66666666663</v>
      </c>
      <c r="G283" s="7">
        <v>357445.33333333337</v>
      </c>
      <c r="H283" s="7">
        <v>361527</v>
      </c>
      <c r="I283" s="7">
        <v>361177</v>
      </c>
      <c r="J283" s="4">
        <f>_xlfn.XLOOKUP(C283,[1]Planilha2!$C$3:$C$329,[1]Planilha2!$D$3:$D$329,"")</f>
        <v>16</v>
      </c>
      <c r="K283" s="8" t="s">
        <v>210</v>
      </c>
      <c r="L283" s="4">
        <f>_xlfn.XLOOKUP(C283,[1]Planilha2!$C$3:$C$329,[1]Planilha2!$J$3:$J$329,"")</f>
        <v>1</v>
      </c>
      <c r="M283" s="42">
        <v>0.49158430587562801</v>
      </c>
      <c r="N283" s="43">
        <v>0.44761693368496402</v>
      </c>
      <c r="O283" s="43">
        <v>0.38957577414688199</v>
      </c>
      <c r="P283" s="43">
        <v>0.39049603269311201</v>
      </c>
      <c r="Q283" s="67">
        <v>0.31804098053222102</v>
      </c>
      <c r="R283" s="67">
        <v>0.78277527668566604</v>
      </c>
      <c r="S283" s="67">
        <v>0.74981362716536604</v>
      </c>
      <c r="T283" s="49">
        <v>1184.56161330959</v>
      </c>
      <c r="U283" s="49">
        <v>897.79524187074503</v>
      </c>
      <c r="V283" s="49">
        <v>794.79836904664205</v>
      </c>
      <c r="W283" s="49">
        <v>667.86580479466295</v>
      </c>
      <c r="X283" s="49">
        <v>599.02557878823995</v>
      </c>
      <c r="Y283" s="4"/>
      <c r="Z283" s="69">
        <v>6.1703122405391602</v>
      </c>
      <c r="AA283" s="69">
        <v>5.5338173798287098</v>
      </c>
      <c r="AB283" s="69">
        <v>4.6138076125393503</v>
      </c>
      <c r="AC283" s="69">
        <v>3.0327582725494899</v>
      </c>
      <c r="AD283" s="70">
        <v>3.8054333470846702</v>
      </c>
    </row>
    <row r="284" spans="1:30" ht="25.5" x14ac:dyDescent="0.25">
      <c r="A284" s="6">
        <v>286</v>
      </c>
      <c r="B284" s="3" t="s">
        <v>629</v>
      </c>
      <c r="C284" s="3" t="s">
        <v>630</v>
      </c>
      <c r="D284" s="4">
        <f>_xlfn.XLOOKUP(C284,[1]Planilha2!$C$3:$C$329,[1]Planilha2!$I$3:$I$329)</f>
        <v>7</v>
      </c>
      <c r="E284" s="7">
        <v>549432</v>
      </c>
      <c r="F284" s="7">
        <v>559878.33333333314</v>
      </c>
      <c r="G284" s="7">
        <v>570324.66666666686</v>
      </c>
      <c r="H284" s="7">
        <v>580771</v>
      </c>
      <c r="I284" s="7">
        <v>577688</v>
      </c>
      <c r="J284" s="4">
        <f>_xlfn.XLOOKUP(C284,[1]Planilha2!$C$3:$C$329,[1]Planilha2!$D$3:$D$329,"")</f>
        <v>19</v>
      </c>
      <c r="K284" s="8" t="s">
        <v>210</v>
      </c>
      <c r="L284" s="4">
        <f>_xlfn.XLOOKUP(C284,[1]Planilha2!$C$3:$C$329,[1]Planilha2!$J$3:$J$329,"")</f>
        <v>1</v>
      </c>
      <c r="M284" s="42">
        <v>0.51953582718864599</v>
      </c>
      <c r="N284" s="43">
        <v>0.48067736020535701</v>
      </c>
      <c r="O284" s="43">
        <v>0.42787171880138603</v>
      </c>
      <c r="P284" s="43">
        <v>0.42323427732616897</v>
      </c>
      <c r="Q284" s="67">
        <v>0.36048782488804598</v>
      </c>
      <c r="R284" s="67">
        <v>0.85327081188843301</v>
      </c>
      <c r="S284" s="67">
        <v>0.83078435189546995</v>
      </c>
      <c r="T284" s="49">
        <v>1242.3905816188401</v>
      </c>
      <c r="U284" s="49">
        <v>1011.09345711419</v>
      </c>
      <c r="V284" s="49">
        <v>938.51705781619103</v>
      </c>
      <c r="W284" s="49">
        <v>781.16242172904697</v>
      </c>
      <c r="X284" s="49">
        <v>714.52018781764502</v>
      </c>
      <c r="Y284" s="4"/>
      <c r="Z284" s="69">
        <v>6.8026816785334701</v>
      </c>
      <c r="AA284" s="69">
        <v>6.0951510298368401</v>
      </c>
      <c r="AB284" s="69">
        <v>6.1009530244176702</v>
      </c>
      <c r="AC284" s="69">
        <v>4.9475266499188102</v>
      </c>
      <c r="AD284" s="70">
        <v>5.3218069269224904</v>
      </c>
    </row>
    <row r="285" spans="1:30" x14ac:dyDescent="0.25">
      <c r="A285" s="6">
        <v>287</v>
      </c>
      <c r="B285" s="3" t="s">
        <v>631</v>
      </c>
      <c r="C285" s="3" t="s">
        <v>632</v>
      </c>
      <c r="D285" s="4">
        <f>_xlfn.XLOOKUP(C285,[1]Planilha2!$C$3:$C$329,[1]Planilha2!$I$3:$I$329)</f>
        <v>7</v>
      </c>
      <c r="E285" s="7">
        <v>650952</v>
      </c>
      <c r="F285" s="7">
        <v>654255.33333333337</v>
      </c>
      <c r="G285" s="7">
        <v>657558.66666666663</v>
      </c>
      <c r="H285" s="7">
        <v>660862</v>
      </c>
      <c r="I285" s="7">
        <v>658370</v>
      </c>
      <c r="J285" s="4">
        <f>_xlfn.XLOOKUP(C285,[1]Planilha2!$C$3:$C$329,[1]Planilha2!$D$3:$D$329,"")</f>
        <v>28</v>
      </c>
      <c r="K285" s="8" t="s">
        <v>210</v>
      </c>
      <c r="L285" s="4">
        <f>_xlfn.XLOOKUP(C285,[1]Planilha2!$C$3:$C$329,[1]Planilha2!$J$3:$J$329,"")</f>
        <v>1</v>
      </c>
      <c r="M285" s="42">
        <v>0.53840231082054602</v>
      </c>
      <c r="N285" s="43">
        <v>0.50898818751786901</v>
      </c>
      <c r="O285" s="43">
        <v>0.46465556742557501</v>
      </c>
      <c r="P285" s="43">
        <v>0.45835613378495399</v>
      </c>
      <c r="Q285" s="67">
        <v>0.38876991437012498</v>
      </c>
      <c r="R285" s="67">
        <v>0.73296344371807598</v>
      </c>
      <c r="S285" s="67">
        <v>0.74358184395207305</v>
      </c>
      <c r="T285" s="49">
        <v>1129.6285463444301</v>
      </c>
      <c r="U285" s="49">
        <v>907.90264367734096</v>
      </c>
      <c r="V285" s="49">
        <v>840.42041331166399</v>
      </c>
      <c r="W285" s="49">
        <v>706.40642743870899</v>
      </c>
      <c r="X285" s="49">
        <v>666.12049700016701</v>
      </c>
      <c r="Y285" s="4"/>
      <c r="Z285" s="69">
        <v>6.8109292236601204</v>
      </c>
      <c r="AA285" s="69">
        <v>6.3545909191416596</v>
      </c>
      <c r="AB285" s="69">
        <v>4.84304923869911</v>
      </c>
      <c r="AC285" s="69">
        <v>3.2941083009766001</v>
      </c>
      <c r="AD285" s="70">
        <v>3.06365265732035</v>
      </c>
    </row>
    <row r="286" spans="1:30" ht="25.5" x14ac:dyDescent="0.25">
      <c r="A286" s="6">
        <v>288</v>
      </c>
      <c r="B286" s="3" t="s">
        <v>633</v>
      </c>
      <c r="C286" s="3" t="s">
        <v>634</v>
      </c>
      <c r="D286" s="4">
        <f>_xlfn.XLOOKUP(C286,[1]Planilha2!$C$3:$C$329,[1]Planilha2!$I$3:$I$329)</f>
        <v>16</v>
      </c>
      <c r="E286" s="7">
        <v>354744</v>
      </c>
      <c r="F286" s="7">
        <v>357435.00000000006</v>
      </c>
      <c r="G286" s="7">
        <v>360125.99999999994</v>
      </c>
      <c r="H286" s="7">
        <v>362817</v>
      </c>
      <c r="I286" s="7">
        <v>361270</v>
      </c>
      <c r="J286" s="4">
        <f>_xlfn.XLOOKUP(C286,[1]Planilha2!$C$3:$C$329,[1]Planilha2!$D$3:$D$329,"")</f>
        <v>14</v>
      </c>
      <c r="K286" s="8" t="s">
        <v>210</v>
      </c>
      <c r="L286" s="4">
        <f>_xlfn.XLOOKUP(C286,[1]Planilha2!$C$3:$C$329,[1]Planilha2!$J$3:$J$329,"")</f>
        <v>22</v>
      </c>
      <c r="M286" s="42">
        <v>0.46797451107660598</v>
      </c>
      <c r="N286" s="43">
        <v>0.41203060391825802</v>
      </c>
      <c r="O286" s="43">
        <v>0.36902090943919402</v>
      </c>
      <c r="P286" s="43">
        <v>0.36887362388241501</v>
      </c>
      <c r="Q286" s="67">
        <v>0.45552864941714799</v>
      </c>
      <c r="R286" s="67">
        <v>0.65503981319501103</v>
      </c>
      <c r="S286" s="67">
        <v>0.70633447719224196</v>
      </c>
      <c r="T286" s="49">
        <v>1128.08119291658</v>
      </c>
      <c r="U286" s="49">
        <v>875.23942132135903</v>
      </c>
      <c r="V286" s="49">
        <v>784.11531745370598</v>
      </c>
      <c r="W286" s="49">
        <v>647.30517685224197</v>
      </c>
      <c r="X286" s="49">
        <v>609.86808558695702</v>
      </c>
      <c r="Y286" s="4"/>
      <c r="Z286" s="69">
        <v>2.2765318088537101</v>
      </c>
      <c r="AA286" s="69">
        <v>2.2544938240519201</v>
      </c>
      <c r="AB286" s="69">
        <v>1.9041752053448</v>
      </c>
      <c r="AC286" s="69">
        <v>1.1222682509364199</v>
      </c>
      <c r="AD286" s="70">
        <v>0.98537935616021299</v>
      </c>
    </row>
    <row r="287" spans="1:30" x14ac:dyDescent="0.25">
      <c r="A287" s="6">
        <v>289</v>
      </c>
      <c r="B287" s="3" t="s">
        <v>635</v>
      </c>
      <c r="C287" s="3" t="s">
        <v>636</v>
      </c>
      <c r="D287" s="4">
        <f>_xlfn.XLOOKUP(C287,[1]Planilha2!$C$3:$C$329,[1]Planilha2!$I$3:$I$329)</f>
        <v>14</v>
      </c>
      <c r="E287" s="7">
        <v>357378</v>
      </c>
      <c r="F287" s="7">
        <v>350939.33333333337</v>
      </c>
      <c r="G287" s="7">
        <v>344500.66666666663</v>
      </c>
      <c r="H287" s="7">
        <v>338062</v>
      </c>
      <c r="I287" s="7">
        <v>334774</v>
      </c>
      <c r="J287" s="4">
        <f>_xlfn.XLOOKUP(C287,[1]Planilha2!$C$3:$C$329,[1]Planilha2!$D$3:$D$329,"")</f>
        <v>7</v>
      </c>
      <c r="K287" s="8" t="s">
        <v>210</v>
      </c>
      <c r="L287" s="4">
        <f>_xlfn.XLOOKUP(C287,[1]Planilha2!$C$3:$C$329,[1]Planilha2!$J$3:$J$329,"")</f>
        <v>1</v>
      </c>
      <c r="M287" s="42">
        <v>0.63659602267438398</v>
      </c>
      <c r="N287" s="43">
        <v>0.60486035005254002</v>
      </c>
      <c r="O287" s="43">
        <v>0.59188399080641996</v>
      </c>
      <c r="P287" s="43">
        <v>0.56095421060177897</v>
      </c>
      <c r="Q287" s="67">
        <v>9.6499249445090599E-2</v>
      </c>
      <c r="R287" s="67">
        <v>0.56176444506154799</v>
      </c>
      <c r="S287" s="67">
        <v>0.87469650498983098</v>
      </c>
      <c r="T287" s="49">
        <v>1318.61136340234</v>
      </c>
      <c r="U287" s="49">
        <v>1118.20768503198</v>
      </c>
      <c r="V287" s="49">
        <v>973.47814368041895</v>
      </c>
      <c r="W287" s="49">
        <v>853.81095266548698</v>
      </c>
      <c r="X287" s="49">
        <v>807.95191227514704</v>
      </c>
      <c r="Y287" s="4"/>
      <c r="Z287" s="69">
        <v>8.8646726994946494</v>
      </c>
      <c r="AA287" s="69">
        <v>9.6672520796566896</v>
      </c>
      <c r="AB287" s="69">
        <v>8.0001586837761298</v>
      </c>
      <c r="AC287" s="69">
        <v>5.9362690867355701</v>
      </c>
      <c r="AD287" s="70">
        <v>5.7230101501311301</v>
      </c>
    </row>
    <row r="288" spans="1:30" x14ac:dyDescent="0.25">
      <c r="A288" s="6">
        <v>290</v>
      </c>
      <c r="B288" s="3" t="s">
        <v>637</v>
      </c>
      <c r="C288" s="3" t="s">
        <v>638</v>
      </c>
      <c r="D288" s="4">
        <f>_xlfn.XLOOKUP(C288,[1]Planilha2!$C$3:$C$329,[1]Planilha2!$I$3:$I$329)</f>
        <v>14</v>
      </c>
      <c r="E288" s="7">
        <v>164888</v>
      </c>
      <c r="F288" s="7">
        <v>167691.33333333334</v>
      </c>
      <c r="G288" s="7">
        <v>170494.66666666666</v>
      </c>
      <c r="H288" s="7">
        <v>173298</v>
      </c>
      <c r="I288" s="7">
        <v>173147</v>
      </c>
      <c r="J288" s="4">
        <f>_xlfn.XLOOKUP(C288,[1]Planilha2!$C$3:$C$329,[1]Planilha2!$D$3:$D$329,"")</f>
        <v>7</v>
      </c>
      <c r="K288" s="8" t="s">
        <v>210</v>
      </c>
      <c r="L288" s="4">
        <f>_xlfn.XLOOKUP(C288,[1]Planilha2!$C$3:$C$329,[1]Planilha2!$J$3:$J$329,"")</f>
        <v>1</v>
      </c>
      <c r="M288" s="42">
        <v>0.53860012602519702</v>
      </c>
      <c r="N288" s="43">
        <v>0.492240481618193</v>
      </c>
      <c r="O288" s="43">
        <v>0.48573494443097998</v>
      </c>
      <c r="P288" s="43">
        <v>0.45819925034796999</v>
      </c>
      <c r="Q288" s="67">
        <v>0.30066109614377001</v>
      </c>
      <c r="R288" s="67">
        <v>0.75974321327744399</v>
      </c>
      <c r="S288" s="67">
        <v>0.683887185718419</v>
      </c>
      <c r="T288" s="49">
        <v>1486.6729165858001</v>
      </c>
      <c r="U288" s="49">
        <v>1147.67253928845</v>
      </c>
      <c r="V288" s="49">
        <v>1030.7642081081699</v>
      </c>
      <c r="W288" s="49">
        <v>856.58945377326904</v>
      </c>
      <c r="X288" s="49">
        <v>870.41849336113205</v>
      </c>
      <c r="Y288" s="4"/>
      <c r="Z288" s="69">
        <v>4.5562806268497402</v>
      </c>
      <c r="AA288" s="69">
        <v>4.7529289925537803</v>
      </c>
      <c r="AB288" s="69">
        <v>2.3613935137755999</v>
      </c>
      <c r="AC288" s="69">
        <v>2.4340153954459902</v>
      </c>
      <c r="AD288" s="70">
        <v>4.8122808942690298</v>
      </c>
    </row>
    <row r="289" spans="1:30" x14ac:dyDescent="0.25">
      <c r="A289" s="6">
        <v>291</v>
      </c>
      <c r="B289" s="3" t="s">
        <v>639</v>
      </c>
      <c r="C289" s="3" t="s">
        <v>640</v>
      </c>
      <c r="D289" s="4">
        <f>_xlfn.XLOOKUP(C289,[1]Planilha2!$C$3:$C$329,[1]Planilha2!$I$3:$I$329)</f>
        <v>15</v>
      </c>
      <c r="E289" s="7">
        <v>342300</v>
      </c>
      <c r="F289" s="7">
        <v>344322.00000000006</v>
      </c>
      <c r="G289" s="7">
        <v>346344</v>
      </c>
      <c r="H289" s="7">
        <v>348366</v>
      </c>
      <c r="I289" s="7">
        <v>346896</v>
      </c>
      <c r="J289" s="4">
        <f>_xlfn.XLOOKUP(C289,[1]Planilha2!$C$3:$C$329,[1]Planilha2!$D$3:$D$329,"")</f>
        <v>13</v>
      </c>
      <c r="K289" s="8" t="s">
        <v>210</v>
      </c>
      <c r="L289" s="4">
        <f>_xlfn.XLOOKUP(C289,[1]Planilha2!$C$3:$C$329,[1]Planilha2!$J$3:$J$329,"")</f>
        <v>1</v>
      </c>
      <c r="M289" s="42">
        <v>0.59494299241214099</v>
      </c>
      <c r="N289" s="43">
        <v>0.55738224664880398</v>
      </c>
      <c r="O289" s="43">
        <v>0.520256579574356</v>
      </c>
      <c r="P289" s="43">
        <v>0.51907217436926301</v>
      </c>
      <c r="Q289" s="67">
        <v>0.29771333260188299</v>
      </c>
      <c r="R289" s="67">
        <v>0.75948639560667996</v>
      </c>
      <c r="S289" s="67">
        <v>0.78862699964967398</v>
      </c>
      <c r="T289" s="49">
        <v>1513.8977448729199</v>
      </c>
      <c r="U289" s="49">
        <v>1224.30309997618</v>
      </c>
      <c r="V289" s="49">
        <v>1101.3084407891199</v>
      </c>
      <c r="W289" s="49">
        <v>933.45792987834602</v>
      </c>
      <c r="X289" s="49">
        <v>880.565289308611</v>
      </c>
      <c r="Y289" s="4"/>
      <c r="Z289" s="69">
        <v>7.5469792579608503</v>
      </c>
      <c r="AA289" s="69">
        <v>8.2546366482536708</v>
      </c>
      <c r="AB289" s="69">
        <v>6.3215877855542502</v>
      </c>
      <c r="AC289" s="69">
        <v>8.2512931801611007</v>
      </c>
      <c r="AD289" s="70">
        <v>5.9989939347816099</v>
      </c>
    </row>
    <row r="290" spans="1:30" x14ac:dyDescent="0.25">
      <c r="A290" s="6">
        <v>292</v>
      </c>
      <c r="B290" s="3" t="s">
        <v>641</v>
      </c>
      <c r="C290" s="3" t="s">
        <v>642</v>
      </c>
      <c r="D290" s="4">
        <f>_xlfn.XLOOKUP(C290,[1]Planilha2!$C$3:$C$329,[1]Planilha2!$I$3:$I$329)</f>
        <v>14</v>
      </c>
      <c r="E290" s="7">
        <v>118910</v>
      </c>
      <c r="F290" s="7">
        <v>117967.33333333334</v>
      </c>
      <c r="G290" s="7">
        <v>117024.66666666667</v>
      </c>
      <c r="H290" s="7">
        <v>116082</v>
      </c>
      <c r="I290" s="7">
        <v>115854</v>
      </c>
      <c r="J290" s="4">
        <f>_xlfn.XLOOKUP(C290,[1]Planilha2!$C$3:$C$329,[1]Planilha2!$D$3:$D$329,"")</f>
        <v>4</v>
      </c>
      <c r="K290" s="8" t="s">
        <v>210</v>
      </c>
      <c r="L290" s="4">
        <f>_xlfn.XLOOKUP(C290,[1]Planilha2!$C$3:$C$329,[1]Planilha2!$J$3:$J$329,"")</f>
        <v>1</v>
      </c>
      <c r="M290" s="42">
        <v>0.55433509191810104</v>
      </c>
      <c r="N290" s="43">
        <v>0.530537565014783</v>
      </c>
      <c r="O290" s="43">
        <v>0.53354205561585799</v>
      </c>
      <c r="P290" s="43">
        <v>0.51274416161720804</v>
      </c>
      <c r="Q290" s="67">
        <v>0.25719960350239601</v>
      </c>
      <c r="R290" s="67">
        <v>0.62004906002723104</v>
      </c>
      <c r="S290" s="67">
        <v>0.65279964822231196</v>
      </c>
      <c r="T290" s="49">
        <v>1647.0388152384201</v>
      </c>
      <c r="U290" s="49">
        <v>1285.7958160451201</v>
      </c>
      <c r="V290" s="49">
        <v>1167.94289466039</v>
      </c>
      <c r="W290" s="49">
        <v>494.03534467014703</v>
      </c>
      <c r="X290" s="49">
        <v>763.28155074490303</v>
      </c>
      <c r="Y290" s="4"/>
      <c r="Z290" s="69">
        <v>10.8228744428559</v>
      </c>
      <c r="AA290" s="69">
        <v>10.301156817423999</v>
      </c>
      <c r="AB290" s="69">
        <v>8.1619544597435301</v>
      </c>
      <c r="AC290" s="69">
        <v>7.6721110938819104</v>
      </c>
      <c r="AD290" s="70">
        <v>6.2891225162704796</v>
      </c>
    </row>
    <row r="291" spans="1:30" x14ac:dyDescent="0.25">
      <c r="A291" s="6">
        <v>293</v>
      </c>
      <c r="B291" s="3" t="s">
        <v>643</v>
      </c>
      <c r="C291" s="3" t="s">
        <v>644</v>
      </c>
      <c r="D291" s="4">
        <f>_xlfn.XLOOKUP(C291,[1]Planilha2!$C$3:$C$329,[1]Planilha2!$I$3:$I$329)</f>
        <v>15</v>
      </c>
      <c r="E291" s="7">
        <v>266369</v>
      </c>
      <c r="F291" s="7">
        <v>265711.33333333331</v>
      </c>
      <c r="G291" s="7">
        <v>265053.66666666669</v>
      </c>
      <c r="H291" s="7">
        <v>264396</v>
      </c>
      <c r="I291" s="7">
        <v>264021</v>
      </c>
      <c r="J291" s="4">
        <f>_xlfn.XLOOKUP(C291,[1]Planilha2!$C$3:$C$329,[1]Planilha2!$D$3:$D$329,"")</f>
        <v>11</v>
      </c>
      <c r="K291" s="8" t="s">
        <v>210</v>
      </c>
      <c r="L291" s="4">
        <f>_xlfn.XLOOKUP(C291,[1]Planilha2!$C$3:$C$329,[1]Planilha2!$J$3:$J$329,"")</f>
        <v>1</v>
      </c>
      <c r="M291" s="42">
        <v>0.57490632867246905</v>
      </c>
      <c r="N291" s="43">
        <v>0.54329898963857604</v>
      </c>
      <c r="O291" s="43">
        <v>0.50505209874582102</v>
      </c>
      <c r="P291" s="43">
        <v>0.49426301165437603</v>
      </c>
      <c r="Q291" s="67">
        <v>0.29842571001344398</v>
      </c>
      <c r="R291" s="67">
        <v>0.76067392917912202</v>
      </c>
      <c r="S291" s="67">
        <v>0.70252327729856001</v>
      </c>
      <c r="T291" s="49">
        <v>1504.5362943135301</v>
      </c>
      <c r="U291" s="49">
        <v>1121.3876535438201</v>
      </c>
      <c r="V291" s="49">
        <v>1084.84837961117</v>
      </c>
      <c r="W291" s="49">
        <v>924.66526793143601</v>
      </c>
      <c r="X291" s="49">
        <v>833.72835407032005</v>
      </c>
      <c r="Y291" s="4"/>
      <c r="Z291" s="69">
        <v>10.567633621029501</v>
      </c>
      <c r="AA291" s="69">
        <v>12.8885168616569</v>
      </c>
      <c r="AB291" s="69">
        <v>14.053010648158001</v>
      </c>
      <c r="AC291" s="69">
        <v>8.2898190592898509</v>
      </c>
      <c r="AD291" s="70">
        <v>7.57349226008537</v>
      </c>
    </row>
    <row r="292" spans="1:30" x14ac:dyDescent="0.25">
      <c r="A292" s="6">
        <v>300</v>
      </c>
      <c r="B292" s="3" t="s">
        <v>256</v>
      </c>
      <c r="C292" s="3" t="s">
        <v>257</v>
      </c>
      <c r="D292" s="4">
        <f>_xlfn.XLOOKUP(C292,[1]Planilha2!$C$3:$C$329,[1]Planilha2!$I$3:$I$329)</f>
        <v>10</v>
      </c>
      <c r="E292" s="7">
        <v>1486804</v>
      </c>
      <c r="F292" s="7">
        <v>1474173.6666666665</v>
      </c>
      <c r="G292" s="7">
        <v>1461543.3333333335</v>
      </c>
      <c r="H292" s="7">
        <v>1448913</v>
      </c>
      <c r="I292" s="7">
        <v>1437026</v>
      </c>
      <c r="J292" s="4">
        <f>_xlfn.XLOOKUP(C292,[1]Planilha2!$C$3:$C$329,[1]Planilha2!$D$3:$D$329,"")</f>
        <v>21</v>
      </c>
      <c r="K292" s="8" t="s">
        <v>210</v>
      </c>
      <c r="L292" s="4">
        <f>_xlfn.XLOOKUP(C292,[1]Planilha2!$C$3:$C$329,[1]Planilha2!$J$3:$J$329,"")</f>
        <v>4</v>
      </c>
      <c r="M292" s="42">
        <v>0.57880822449458103</v>
      </c>
      <c r="N292" s="43">
        <v>0.55281398010778604</v>
      </c>
      <c r="O292" s="43">
        <v>0.528755833304001</v>
      </c>
      <c r="P292" s="43">
        <v>0.52045849170439495</v>
      </c>
      <c r="Q292" s="67">
        <v>0.56654581802797499</v>
      </c>
      <c r="R292" s="67">
        <v>0.70041094099159995</v>
      </c>
      <c r="S292" s="67">
        <v>0.83966309207390299</v>
      </c>
      <c r="T292" s="49">
        <v>969.61800817054598</v>
      </c>
      <c r="U292" s="49">
        <v>816.41060545783796</v>
      </c>
      <c r="V292" s="49">
        <v>736.09566388726103</v>
      </c>
      <c r="W292" s="49">
        <v>636.92633053192299</v>
      </c>
      <c r="X292" s="49">
        <v>594.38514232171201</v>
      </c>
      <c r="Y292" s="4"/>
      <c r="Z292" s="69">
        <v>10.956971463622599</v>
      </c>
      <c r="AA292" s="69">
        <v>10.181731189066101</v>
      </c>
      <c r="AB292" s="69">
        <v>8.6712222011891509</v>
      </c>
      <c r="AC292" s="69">
        <v>7.4321536213699497</v>
      </c>
      <c r="AD292" s="70">
        <v>5.9305927658928903</v>
      </c>
    </row>
    <row r="293" spans="1:30" ht="25.5" x14ac:dyDescent="0.25">
      <c r="A293" s="6">
        <v>10</v>
      </c>
      <c r="B293" s="3" t="s">
        <v>645</v>
      </c>
      <c r="C293" s="3" t="s">
        <v>646</v>
      </c>
      <c r="D293" s="4">
        <f>_xlfn.XLOOKUP(C293,[1]Planilha2!$C$3:$C$329,[1]Planilha2!$I$3:$I$329)</f>
        <v>9</v>
      </c>
      <c r="E293" s="7">
        <v>101586</v>
      </c>
      <c r="F293" s="7">
        <v>103525.66666666667</v>
      </c>
      <c r="G293" s="7">
        <v>105465.33333333333</v>
      </c>
      <c r="H293" s="7">
        <v>107405</v>
      </c>
      <c r="I293" s="7">
        <v>107341</v>
      </c>
      <c r="J293" s="4">
        <f>_xlfn.XLOOKUP(C293,[1]Planilha2!$C$3:$C$329,[1]Planilha2!$D$3:$D$329,"")</f>
        <v>9</v>
      </c>
      <c r="K293" s="8" t="s">
        <v>261</v>
      </c>
      <c r="L293" s="4">
        <f>_xlfn.XLOOKUP(C293,[1]Planilha2!$C$3:$C$329,[1]Planilha2!$J$3:$J$329,"")</f>
        <v>45</v>
      </c>
      <c r="M293" s="42">
        <v>0.61818289731692899</v>
      </c>
      <c r="N293" s="43">
        <v>0.59131725843563099</v>
      </c>
      <c r="O293" s="43">
        <v>0.55060022159117405</v>
      </c>
      <c r="P293" s="43">
        <v>0.54068738233788005</v>
      </c>
      <c r="Q293" s="67">
        <v>0.28413956845219301</v>
      </c>
      <c r="R293" s="67">
        <v>0.78909038609843396</v>
      </c>
      <c r="S293" s="67">
        <v>0.82713261387628201</v>
      </c>
      <c r="T293" s="49">
        <v>1906.49511409052</v>
      </c>
      <c r="U293" s="49">
        <v>1656.7816049804101</v>
      </c>
      <c r="V293" s="49">
        <v>1226.6744980973201</v>
      </c>
      <c r="W293" s="49">
        <v>986.45395689213694</v>
      </c>
      <c r="X293" s="49">
        <v>1119.7088681160101</v>
      </c>
      <c r="Y293" s="4"/>
      <c r="Z293" s="69">
        <v>17.9963183903294</v>
      </c>
      <c r="AA293" s="69">
        <v>17.1381171174942</v>
      </c>
      <c r="AB293" s="69">
        <v>15.0505948242076</v>
      </c>
      <c r="AC293" s="69">
        <v>13.5563707462409</v>
      </c>
      <c r="AD293" s="70">
        <v>10.756826963363</v>
      </c>
    </row>
    <row r="294" spans="1:30" x14ac:dyDescent="0.25">
      <c r="A294" s="6">
        <v>11</v>
      </c>
      <c r="B294" s="3" t="s">
        <v>647</v>
      </c>
      <c r="C294" s="3" t="s">
        <v>648</v>
      </c>
      <c r="D294" s="4">
        <f>_xlfn.XLOOKUP(C294,[1]Planilha2!$C$3:$C$329,[1]Planilha2!$I$3:$I$329)</f>
        <v>3</v>
      </c>
      <c r="E294" s="7">
        <v>328628</v>
      </c>
      <c r="F294" s="7">
        <v>323232</v>
      </c>
      <c r="G294" s="7">
        <v>317836.00000000006</v>
      </c>
      <c r="H294" s="7">
        <v>312440</v>
      </c>
      <c r="I294" s="7">
        <v>309670</v>
      </c>
      <c r="J294" s="4">
        <f>_xlfn.XLOOKUP(C294,[1]Planilha2!$C$3:$C$329,[1]Planilha2!$D$3:$D$329,"")</f>
        <v>9</v>
      </c>
      <c r="K294" s="8" t="s">
        <v>261</v>
      </c>
      <c r="L294" s="4">
        <f>_xlfn.XLOOKUP(C294,[1]Planilha2!$C$3:$C$329,[1]Planilha2!$J$3:$J$329,"")</f>
        <v>1</v>
      </c>
      <c r="M294" s="42">
        <v>0.75124589118651597</v>
      </c>
      <c r="N294" s="43">
        <v>0.72371318489199898</v>
      </c>
      <c r="O294" s="43">
        <v>0.69733596594546099</v>
      </c>
      <c r="P294" s="43">
        <v>0.67073418928434203</v>
      </c>
      <c r="Q294" s="67">
        <v>0.68392856347298603</v>
      </c>
      <c r="R294" s="67">
        <v>0.83112978485759903</v>
      </c>
      <c r="S294" s="67">
        <v>0.94202951134127899</v>
      </c>
      <c r="T294" s="49">
        <v>1617.91017016201</v>
      </c>
      <c r="U294" s="49">
        <v>1372.3555232567701</v>
      </c>
      <c r="V294" s="49">
        <v>1291.0281091086799</v>
      </c>
      <c r="W294" s="49">
        <v>1053.8190026565101</v>
      </c>
      <c r="X294" s="49">
        <v>978.94832076558703</v>
      </c>
      <c r="Y294" s="4"/>
      <c r="Z294" s="69">
        <v>12.0833282617428</v>
      </c>
      <c r="AA294" s="69">
        <v>10.871683496683501</v>
      </c>
      <c r="AB294" s="69">
        <v>10.3079135151462</v>
      </c>
      <c r="AC294" s="69">
        <v>8.6801657918320299</v>
      </c>
      <c r="AD294" s="70">
        <v>10.098169248495701</v>
      </c>
    </row>
    <row r="295" spans="1:30" x14ac:dyDescent="0.25">
      <c r="A295" s="6">
        <v>12</v>
      </c>
      <c r="B295" s="3" t="s">
        <v>649</v>
      </c>
      <c r="C295" s="3" t="s">
        <v>650</v>
      </c>
      <c r="D295" s="4">
        <f>_xlfn.XLOOKUP(C295,[1]Planilha2!$C$3:$C$329,[1]Planilha2!$I$3:$I$329)</f>
        <v>26</v>
      </c>
      <c r="E295" s="7">
        <v>126092</v>
      </c>
      <c r="F295" s="7">
        <v>122073.66666666669</v>
      </c>
      <c r="G295" s="7">
        <v>118055.33333333331</v>
      </c>
      <c r="H295" s="7">
        <v>114037</v>
      </c>
      <c r="I295" s="7">
        <v>113815</v>
      </c>
      <c r="J295" s="4">
        <f>_xlfn.XLOOKUP(C295,[1]Planilha2!$C$3:$C$329,[1]Planilha2!$D$3:$D$329,"")</f>
        <v>11</v>
      </c>
      <c r="K295" s="8" t="s">
        <v>261</v>
      </c>
      <c r="L295" s="4">
        <f>_xlfn.XLOOKUP(C295,[1]Planilha2!$C$3:$C$329,[1]Planilha2!$J$3:$J$329,"")</f>
        <v>20</v>
      </c>
      <c r="M295" s="42">
        <v>0.55062453982704396</v>
      </c>
      <c r="N295" s="43">
        <v>0.50355997328936197</v>
      </c>
      <c r="O295" s="43">
        <v>0.46853659426326499</v>
      </c>
      <c r="P295" s="43">
        <v>0.45909212887045397</v>
      </c>
      <c r="Q295" s="67">
        <v>6.3627806734694994E-2</v>
      </c>
      <c r="R295" s="67">
        <v>0.64843363733390602</v>
      </c>
      <c r="S295" s="67">
        <v>0.68965929564102701</v>
      </c>
      <c r="T295" s="49">
        <v>2039.4130688703499</v>
      </c>
      <c r="U295" s="49">
        <v>1886.41158431657</v>
      </c>
      <c r="V295" s="49">
        <v>1755.7756423823901</v>
      </c>
      <c r="W295" s="49">
        <v>1413.8559981409501</v>
      </c>
      <c r="X295" s="49">
        <v>1131.7111099906199</v>
      </c>
      <c r="Y295" s="4"/>
      <c r="Z295" s="69">
        <v>15.511142657742001</v>
      </c>
      <c r="AA295" s="69">
        <v>12.5274274277008</v>
      </c>
      <c r="AB295" s="69">
        <v>11.333236391974401</v>
      </c>
      <c r="AC295" s="69">
        <v>6.8884397169339797</v>
      </c>
      <c r="AD295" s="70">
        <v>4.8360619798837199</v>
      </c>
    </row>
    <row r="296" spans="1:30" x14ac:dyDescent="0.25">
      <c r="A296" s="6">
        <v>13</v>
      </c>
      <c r="B296" s="3" t="s">
        <v>258</v>
      </c>
      <c r="C296" s="3" t="s">
        <v>259</v>
      </c>
      <c r="D296" s="4">
        <f>_xlfn.XLOOKUP(C296,[1]Planilha2!$C$3:$C$329,[1]Planilha2!$I$3:$I$329)</f>
        <v>26</v>
      </c>
      <c r="E296" s="7">
        <v>136453</v>
      </c>
      <c r="F296" s="7">
        <v>130762.66666666666</v>
      </c>
      <c r="G296" s="7">
        <v>125072.33333333334</v>
      </c>
      <c r="H296" s="7">
        <v>119382</v>
      </c>
      <c r="I296" s="7">
        <v>118173</v>
      </c>
      <c r="J296" s="4">
        <f>_xlfn.XLOOKUP(C296,[1]Planilha2!$C$3:$C$329,[1]Planilha2!$D$3:$D$329,"")</f>
        <v>9</v>
      </c>
      <c r="K296" s="8" t="s">
        <v>261</v>
      </c>
      <c r="L296" s="4">
        <f>_xlfn.XLOOKUP(C296,[1]Planilha2!$C$3:$C$329,[1]Planilha2!$J$3:$J$329,"")</f>
        <v>4</v>
      </c>
      <c r="M296" s="42">
        <v>0.66499719007463898</v>
      </c>
      <c r="N296" s="43">
        <v>0.63345328836379999</v>
      </c>
      <c r="O296" s="43">
        <v>0.59170725653783696</v>
      </c>
      <c r="P296" s="43">
        <v>0.58066515638873495</v>
      </c>
      <c r="Q296" s="67">
        <v>0.43750585607794901</v>
      </c>
      <c r="R296" s="67">
        <v>0.865502989736605</v>
      </c>
      <c r="S296" s="67">
        <v>0.89849364367819196</v>
      </c>
      <c r="T296" s="49">
        <v>2168.5367914226899</v>
      </c>
      <c r="U296" s="49">
        <v>2095.6593253935898</v>
      </c>
      <c r="V296" s="49">
        <v>1809.32573158999</v>
      </c>
      <c r="W296" s="49">
        <v>1528.71221859242</v>
      </c>
      <c r="X296" s="49">
        <v>1404.3335105794799</v>
      </c>
      <c r="Y296" s="4"/>
      <c r="Z296" s="69">
        <v>13.9639802715953</v>
      </c>
      <c r="AA296" s="69">
        <v>16.196755954808701</v>
      </c>
      <c r="AB296" s="69">
        <v>13.915171753945</v>
      </c>
      <c r="AC296" s="69">
        <v>10.864493809787101</v>
      </c>
      <c r="AD296" s="70">
        <v>12.272545274832099</v>
      </c>
    </row>
    <row r="297" spans="1:30" x14ac:dyDescent="0.25">
      <c r="A297" s="6">
        <v>14</v>
      </c>
      <c r="B297" s="3" t="s">
        <v>651</v>
      </c>
      <c r="C297" s="3" t="s">
        <v>652</v>
      </c>
      <c r="D297" s="4">
        <f>_xlfn.XLOOKUP(C297,[1]Planilha2!$C$3:$C$329,[1]Planilha2!$I$3:$I$329)</f>
        <v>25</v>
      </c>
      <c r="E297" s="7">
        <v>72099</v>
      </c>
      <c r="F297" s="7">
        <v>71913</v>
      </c>
      <c r="G297" s="7">
        <v>71727</v>
      </c>
      <c r="H297" s="7">
        <v>71541</v>
      </c>
      <c r="I297" s="7">
        <v>70967</v>
      </c>
      <c r="J297" s="4">
        <f>_xlfn.XLOOKUP(C297,[1]Planilha2!$C$3:$C$329,[1]Planilha2!$D$3:$D$329,"")</f>
        <v>4</v>
      </c>
      <c r="K297" s="8" t="s">
        <v>261</v>
      </c>
      <c r="L297" s="4">
        <f>_xlfn.XLOOKUP(C297,[1]Planilha2!$C$3:$C$329,[1]Planilha2!$J$3:$J$329,"")</f>
        <v>1</v>
      </c>
      <c r="M297" s="42">
        <v>0.65023500989621696</v>
      </c>
      <c r="N297" s="43">
        <v>0.60051576997969103</v>
      </c>
      <c r="O297" s="43">
        <v>0.60444968759173101</v>
      </c>
      <c r="P297" s="43">
        <v>0.57088482408688701</v>
      </c>
      <c r="Q297" s="67">
        <v>9.8552376371519798E-2</v>
      </c>
      <c r="R297" s="67">
        <v>0.66052230076075502</v>
      </c>
      <c r="S297" s="67">
        <v>0.74578651460863199</v>
      </c>
      <c r="T297" s="49">
        <v>1853.153792563</v>
      </c>
      <c r="U297" s="49">
        <v>1602.2713444486201</v>
      </c>
      <c r="V297" s="49">
        <v>1371.4338226423299</v>
      </c>
      <c r="W297" s="49">
        <v>1141.2418407626401</v>
      </c>
      <c r="X297" s="49">
        <v>1149.10641436379</v>
      </c>
      <c r="Y297" s="4"/>
      <c r="Z297" s="69">
        <v>16.418147269726301</v>
      </c>
      <c r="AA297" s="69">
        <v>16.8701764632264</v>
      </c>
      <c r="AB297" s="69">
        <v>11.731690995022801</v>
      </c>
      <c r="AC297" s="69">
        <v>8.4254483443060604</v>
      </c>
      <c r="AD297" s="70">
        <v>31.452901133615701</v>
      </c>
    </row>
    <row r="298" spans="1:30" x14ac:dyDescent="0.25">
      <c r="A298" s="6">
        <v>15</v>
      </c>
      <c r="B298" s="3" t="s">
        <v>653</v>
      </c>
      <c r="C298" s="3" t="s">
        <v>654</v>
      </c>
      <c r="D298" s="4">
        <f>_xlfn.XLOOKUP(C298,[1]Planilha2!$C$3:$C$329,[1]Planilha2!$I$3:$I$329)</f>
        <v>20</v>
      </c>
      <c r="E298" s="7">
        <v>54804</v>
      </c>
      <c r="F298" s="7">
        <v>54551</v>
      </c>
      <c r="G298" s="7">
        <v>54298</v>
      </c>
      <c r="H298" s="7">
        <v>54045</v>
      </c>
      <c r="I298" s="7">
        <v>53964</v>
      </c>
      <c r="J298" s="4">
        <f>_xlfn.XLOOKUP(C298,[1]Planilha2!$C$3:$C$329,[1]Planilha2!$D$3:$D$329,"")</f>
        <v>4</v>
      </c>
      <c r="K298" s="8" t="s">
        <v>261</v>
      </c>
      <c r="L298" s="4">
        <f>_xlfn.XLOOKUP(C298,[1]Planilha2!$C$3:$C$329,[1]Planilha2!$J$3:$J$329,"")</f>
        <v>3</v>
      </c>
      <c r="M298" s="42">
        <v>0.67010963868673401</v>
      </c>
      <c r="N298" s="43">
        <v>0.65538264945301905</v>
      </c>
      <c r="O298" s="43">
        <v>0.65007080395966299</v>
      </c>
      <c r="P298" s="43">
        <v>0.61749149227495603</v>
      </c>
      <c r="Q298" s="67">
        <v>0.136587679104203</v>
      </c>
      <c r="R298" s="67">
        <v>0.71558721990987995</v>
      </c>
      <c r="S298" s="67">
        <v>0.80050082691811897</v>
      </c>
      <c r="T298" s="49">
        <v>2442.0327149478098</v>
      </c>
      <c r="U298" s="49">
        <v>2084.2091299273502</v>
      </c>
      <c r="V298" s="49">
        <v>1742.7071555121699</v>
      </c>
      <c r="W298" s="49">
        <v>1382.9184866315099</v>
      </c>
      <c r="X298" s="49">
        <v>1236.2551503376801</v>
      </c>
      <c r="Y298" s="4"/>
      <c r="Z298" s="69">
        <v>20.286895117144699</v>
      </c>
      <c r="AA298" s="69">
        <v>21.2607468240729</v>
      </c>
      <c r="AB298" s="69">
        <v>32.363972890345899</v>
      </c>
      <c r="AC298" s="69">
        <v>18.68759367194</v>
      </c>
      <c r="AD298" s="70">
        <v>25.075122583032702</v>
      </c>
    </row>
    <row r="299" spans="1:30" x14ac:dyDescent="0.25">
      <c r="A299" s="6">
        <v>16</v>
      </c>
      <c r="B299" s="3" t="s">
        <v>655</v>
      </c>
      <c r="C299" s="3" t="s">
        <v>656</v>
      </c>
      <c r="D299" s="4">
        <f>_xlfn.XLOOKUP(C299,[1]Planilha2!$C$3:$C$329,[1]Planilha2!$I$3:$I$329)</f>
        <v>4</v>
      </c>
      <c r="E299" s="7">
        <v>803003</v>
      </c>
      <c r="F299" s="7">
        <v>786379.33333333337</v>
      </c>
      <c r="G299" s="7">
        <v>769755.66666666663</v>
      </c>
      <c r="H299" s="7">
        <v>753132</v>
      </c>
      <c r="I299" s="7">
        <v>744787</v>
      </c>
      <c r="J299" s="4">
        <f>_xlfn.XLOOKUP(C299,[1]Planilha2!$C$3:$C$329,[1]Planilha2!$D$3:$D$329,"")</f>
        <v>11</v>
      </c>
      <c r="K299" s="8" t="s">
        <v>261</v>
      </c>
      <c r="L299" s="4">
        <f>_xlfn.XLOOKUP(C299,[1]Planilha2!$C$3:$C$329,[1]Planilha2!$J$3:$J$329,"")</f>
        <v>3</v>
      </c>
      <c r="M299" s="42">
        <v>0.76208022315778001</v>
      </c>
      <c r="N299" s="43">
        <v>0.74481860612047002</v>
      </c>
      <c r="O299" s="43">
        <v>0.72092766580094902</v>
      </c>
      <c r="P299" s="43">
        <v>0.67788754295395803</v>
      </c>
      <c r="Q299" s="67">
        <v>0.60342471450897595</v>
      </c>
      <c r="R299" s="67">
        <v>0.89661888521335997</v>
      </c>
      <c r="S299" s="67">
        <v>0.93007374153789901</v>
      </c>
      <c r="T299" s="49">
        <v>1866.86025638758</v>
      </c>
      <c r="U299" s="49">
        <v>2012.8664490716501</v>
      </c>
      <c r="V299" s="49">
        <v>1822.6510593534699</v>
      </c>
      <c r="W299" s="49">
        <v>1765.7217004987201</v>
      </c>
      <c r="X299" s="49">
        <v>1533.6146147156101</v>
      </c>
      <c r="Y299" s="4"/>
      <c r="Z299" s="69">
        <v>14.666962638993899</v>
      </c>
      <c r="AA299" s="69">
        <v>12.5867651659208</v>
      </c>
      <c r="AB299" s="69">
        <v>13.443894534499499</v>
      </c>
      <c r="AC299" s="69">
        <v>14.0345490564735</v>
      </c>
      <c r="AD299" s="70">
        <v>12.113249735770101</v>
      </c>
    </row>
    <row r="300" spans="1:30" ht="25.5" x14ac:dyDescent="0.25">
      <c r="A300" s="6">
        <v>17</v>
      </c>
      <c r="B300" s="3" t="s">
        <v>262</v>
      </c>
      <c r="C300" s="3" t="s">
        <v>263</v>
      </c>
      <c r="D300" s="4">
        <f>_xlfn.XLOOKUP(C300,[1]Planilha2!$C$3:$C$329,[1]Planilha2!$I$3:$I$329)</f>
        <v>27</v>
      </c>
      <c r="E300" s="7">
        <v>239607</v>
      </c>
      <c r="F300" s="7">
        <v>238938.33333333337</v>
      </c>
      <c r="G300" s="7">
        <v>238269.66666666663</v>
      </c>
      <c r="H300" s="7">
        <v>237601</v>
      </c>
      <c r="I300" s="7">
        <v>235901</v>
      </c>
      <c r="J300" s="4">
        <f>_xlfn.XLOOKUP(C300,[1]Planilha2!$C$3:$C$329,[1]Planilha2!$D$3:$D$329,"")</f>
        <v>14</v>
      </c>
      <c r="K300" s="8" t="s">
        <v>261</v>
      </c>
      <c r="L300" s="4">
        <f>_xlfn.XLOOKUP(C300,[1]Planilha2!$C$3:$C$329,[1]Planilha2!$J$3:$J$329,"")</f>
        <v>28</v>
      </c>
      <c r="M300" s="42">
        <v>0.72740504188667898</v>
      </c>
      <c r="N300" s="43">
        <v>0.69274586539900895</v>
      </c>
      <c r="O300" s="43">
        <v>0.66809138050765804</v>
      </c>
      <c r="P300" s="43">
        <v>0.656635788569913</v>
      </c>
      <c r="Q300" s="67">
        <v>0.44120525902723701</v>
      </c>
      <c r="R300" s="67">
        <v>0.84979852506054099</v>
      </c>
      <c r="S300" s="67">
        <v>0.888417631003527</v>
      </c>
      <c r="T300" s="49">
        <v>2531.99181806041</v>
      </c>
      <c r="U300" s="49">
        <v>2258.1764085573</v>
      </c>
      <c r="V300" s="49">
        <v>1966.6070756244001</v>
      </c>
      <c r="W300" s="49">
        <v>1596.2017741928701</v>
      </c>
      <c r="X300" s="49">
        <v>1426.3805292486099</v>
      </c>
      <c r="Y300" s="4"/>
      <c r="Z300" s="69">
        <v>13.6293347022416</v>
      </c>
      <c r="AA300" s="69">
        <v>14.4963554055091</v>
      </c>
      <c r="AB300" s="69">
        <v>13.525783810780201</v>
      </c>
      <c r="AC300" s="69">
        <v>9.9903535759529607</v>
      </c>
      <c r="AD300" s="70">
        <v>10.1913039086536</v>
      </c>
    </row>
    <row r="301" spans="1:30" x14ac:dyDescent="0.25">
      <c r="A301" s="6">
        <v>18</v>
      </c>
      <c r="B301" s="3" t="s">
        <v>657</v>
      </c>
      <c r="C301" s="3" t="s">
        <v>658</v>
      </c>
      <c r="D301" s="4">
        <f>_xlfn.XLOOKUP(C301,[1]Planilha2!$C$3:$C$329,[1]Planilha2!$I$3:$I$329)</f>
        <v>13</v>
      </c>
      <c r="E301" s="7">
        <v>172450</v>
      </c>
      <c r="F301" s="7">
        <v>172093.33333333331</v>
      </c>
      <c r="G301" s="7">
        <v>171736.66666666669</v>
      </c>
      <c r="H301" s="7">
        <v>171380</v>
      </c>
      <c r="I301" s="7">
        <v>170113</v>
      </c>
      <c r="J301" s="4">
        <f>_xlfn.XLOOKUP(C301,[1]Planilha2!$C$3:$C$329,[1]Planilha2!$D$3:$D$329,"")</f>
        <v>11</v>
      </c>
      <c r="K301" s="8" t="s">
        <v>261</v>
      </c>
      <c r="L301" s="4">
        <f>_xlfn.XLOOKUP(C301,[1]Planilha2!$C$3:$C$329,[1]Planilha2!$J$3:$J$329,"")</f>
        <v>49</v>
      </c>
      <c r="M301" s="42">
        <v>0.726475599093515</v>
      </c>
      <c r="N301" s="43">
        <v>0.69067067060033804</v>
      </c>
      <c r="O301" s="43">
        <v>0.66168086357801403</v>
      </c>
      <c r="P301" s="43">
        <v>0.65447831077138496</v>
      </c>
      <c r="Q301" s="67">
        <v>0.28664570019991797</v>
      </c>
      <c r="R301" s="67">
        <v>0.84089039284951705</v>
      </c>
      <c r="S301" s="67">
        <v>0.84494402243745204</v>
      </c>
      <c r="T301" s="49">
        <v>2163.1165082632601</v>
      </c>
      <c r="U301" s="49">
        <v>1826.8678492097299</v>
      </c>
      <c r="V301" s="49">
        <v>1571.93285097339</v>
      </c>
      <c r="W301" s="49">
        <v>1334.0758294433399</v>
      </c>
      <c r="X301" s="49">
        <v>1228.06029857626</v>
      </c>
      <c r="Y301" s="4"/>
      <c r="Z301" s="69">
        <v>10.5102232531168</v>
      </c>
      <c r="AA301" s="69">
        <v>11.4309018362129</v>
      </c>
      <c r="AB301" s="69">
        <v>12.520710001746901</v>
      </c>
      <c r="AC301" s="69">
        <v>9.8643657369587991</v>
      </c>
      <c r="AD301" s="70">
        <v>9.0749095577080201</v>
      </c>
    </row>
    <row r="302" spans="1:30" x14ac:dyDescent="0.25">
      <c r="A302" s="6">
        <v>19</v>
      </c>
      <c r="B302" s="3" t="s">
        <v>659</v>
      </c>
      <c r="C302" s="3" t="s">
        <v>660</v>
      </c>
      <c r="D302" s="4">
        <f>_xlfn.XLOOKUP(C302,[1]Planilha2!$C$3:$C$329,[1]Planilha2!$I$3:$I$329)</f>
        <v>2</v>
      </c>
      <c r="E302" s="7">
        <v>427369</v>
      </c>
      <c r="F302" s="7">
        <v>415794.66666666663</v>
      </c>
      <c r="G302" s="7">
        <v>404220.33333333337</v>
      </c>
      <c r="H302" s="7">
        <v>392646</v>
      </c>
      <c r="I302" s="7">
        <v>388029</v>
      </c>
      <c r="J302" s="4">
        <f>_xlfn.XLOOKUP(C302,[1]Planilha2!$C$3:$C$329,[1]Planilha2!$D$3:$D$329,"")</f>
        <v>6</v>
      </c>
      <c r="K302" s="8" t="s">
        <v>261</v>
      </c>
      <c r="L302" s="4">
        <f>_xlfn.XLOOKUP(C302,[1]Planilha2!$C$3:$C$329,[1]Planilha2!$J$3:$J$329,"")</f>
        <v>5</v>
      </c>
      <c r="M302" s="42">
        <v>0.70507442928560904</v>
      </c>
      <c r="N302" s="43">
        <v>0.69431740214289095</v>
      </c>
      <c r="O302" s="43">
        <v>0.67701381040428299</v>
      </c>
      <c r="P302" s="43">
        <v>0.65175830875648799</v>
      </c>
      <c r="Q302" s="67">
        <v>0.60367515389709103</v>
      </c>
      <c r="R302" s="67">
        <v>0.81785718160310195</v>
      </c>
      <c r="S302" s="67">
        <v>0.88778007580024398</v>
      </c>
      <c r="T302" s="49">
        <v>1208.45170005312</v>
      </c>
      <c r="U302" s="49">
        <v>1723.5921036425</v>
      </c>
      <c r="V302" s="49">
        <v>1541.19729745576</v>
      </c>
      <c r="W302" s="49">
        <v>1350.07613478808</v>
      </c>
      <c r="X302" s="49">
        <v>1344.56005653948</v>
      </c>
      <c r="Y302" s="4"/>
      <c r="Z302" s="69">
        <v>7.0368580781479197</v>
      </c>
      <c r="AA302" s="69">
        <v>7.0303835867703901</v>
      </c>
      <c r="AB302" s="69">
        <v>7.9303358481883999</v>
      </c>
      <c r="AC302" s="69">
        <v>8.5260972988391597</v>
      </c>
      <c r="AD302" s="70">
        <v>6.6509680475542901</v>
      </c>
    </row>
    <row r="303" spans="1:30" x14ac:dyDescent="0.25">
      <c r="A303" s="6">
        <v>84</v>
      </c>
      <c r="B303" s="3" t="s">
        <v>265</v>
      </c>
      <c r="C303" s="3" t="s">
        <v>266</v>
      </c>
      <c r="D303" s="4">
        <f>_xlfn.XLOOKUP(C303,[1]Planilha2!$C$3:$C$329,[1]Planilha2!$I$3:$I$329)</f>
        <v>3</v>
      </c>
      <c r="E303" s="7">
        <v>121358503</v>
      </c>
      <c r="F303" s="7">
        <v>121627834.66666651</v>
      </c>
      <c r="G303" s="7">
        <v>121897166.33333349</v>
      </c>
      <c r="H303" s="7">
        <v>122171720</v>
      </c>
      <c r="I303" s="7">
        <v>121310226</v>
      </c>
      <c r="J303" s="4">
        <f>_xlfn.XLOOKUP(C303,[1]Planilha2!$C$3:$C$329,[1]Planilha2!$D$3:$D$329,"")</f>
        <v>1898</v>
      </c>
      <c r="K303" s="8" t="s">
        <v>261</v>
      </c>
      <c r="L303" s="4">
        <f>_xlfn.XLOOKUP(C303,[1]Planilha2!$C$3:$C$329,[1]Planilha2!$J$3:$J$329,"")</f>
        <v>2</v>
      </c>
      <c r="M303" s="42">
        <v>0.71439296991157109</v>
      </c>
      <c r="N303" s="42">
        <v>0.69148123382818905</v>
      </c>
      <c r="O303" s="42">
        <v>0.6721296909587583</v>
      </c>
      <c r="P303" s="42">
        <v>0.66040191550957905</v>
      </c>
      <c r="Q303" s="67">
        <f>73.8428215861535/100</f>
        <v>0.73842821586153506</v>
      </c>
      <c r="R303" s="67">
        <f>88.284782810442/100</f>
        <v>0.88284782810441997</v>
      </c>
      <c r="S303" s="67">
        <f>94.6726716190907/100</f>
        <v>0.94672671619090709</v>
      </c>
      <c r="T303" s="66">
        <v>1660.7753945739585</v>
      </c>
      <c r="U303" s="66">
        <v>1410.4312710929521</v>
      </c>
      <c r="V303" s="66">
        <v>1243.9347501182117</v>
      </c>
      <c r="W303" s="66">
        <v>1105.4398045400362</v>
      </c>
      <c r="X303" s="66">
        <v>1005.1074768572286</v>
      </c>
      <c r="Y303" s="4"/>
      <c r="Z303" s="69">
        <v>13.851985377571772</v>
      </c>
      <c r="AA303" s="69">
        <v>12.818964230293091</v>
      </c>
      <c r="AB303" s="69">
        <v>11.278559825094526</v>
      </c>
      <c r="AC303" s="69">
        <v>9.4753107429444388</v>
      </c>
      <c r="AD303" s="70">
        <v>8.1857184653171782</v>
      </c>
    </row>
    <row r="304" spans="1:30" ht="25.5" x14ac:dyDescent="0.25">
      <c r="A304" s="6">
        <v>122</v>
      </c>
      <c r="B304" s="3" t="s">
        <v>661</v>
      </c>
      <c r="C304" s="3" t="s">
        <v>662</v>
      </c>
      <c r="D304" s="4">
        <f>_xlfn.XLOOKUP(C304,[1]Planilha2!$C$3:$C$329,[1]Planilha2!$I$3:$I$329)</f>
        <v>26</v>
      </c>
      <c r="E304" s="7">
        <v>168092</v>
      </c>
      <c r="F304" s="7">
        <v>171844.33333333331</v>
      </c>
      <c r="G304" s="7">
        <v>175596.66666666666</v>
      </c>
      <c r="H304" s="7">
        <v>179349</v>
      </c>
      <c r="I304" s="7">
        <v>178645</v>
      </c>
      <c r="J304" s="4">
        <f>_xlfn.XLOOKUP(C304,[1]Planilha2!$C$3:$C$329,[1]Planilha2!$D$3:$D$329,"")</f>
        <v>12</v>
      </c>
      <c r="K304" s="8" t="s">
        <v>261</v>
      </c>
      <c r="L304" s="4">
        <f>_xlfn.XLOOKUP(C304,[1]Planilha2!$C$3:$C$329,[1]Planilha2!$J$3:$J$329,"")</f>
        <v>1</v>
      </c>
      <c r="M304" s="42">
        <v>0.64584185338280997</v>
      </c>
      <c r="N304" s="43">
        <v>0.59805282275669602</v>
      </c>
      <c r="O304" s="43">
        <v>0.57557392514036898</v>
      </c>
      <c r="P304" s="43">
        <v>0.55564419149256505</v>
      </c>
      <c r="Q304" s="67">
        <v>0.36538293171852199</v>
      </c>
      <c r="R304" s="67">
        <v>0.76235406177034504</v>
      </c>
      <c r="S304" s="67">
        <v>0.83614386586685396</v>
      </c>
      <c r="T304" s="49">
        <v>1591.3520293648701</v>
      </c>
      <c r="U304" s="49">
        <v>1246.9702598669701</v>
      </c>
      <c r="V304" s="49">
        <v>1049.09501828053</v>
      </c>
      <c r="W304" s="49">
        <v>946.41091793096098</v>
      </c>
      <c r="X304" s="49">
        <v>927.14096047371299</v>
      </c>
      <c r="Y304" s="4"/>
      <c r="Z304" s="69">
        <v>14.6844049687076</v>
      </c>
      <c r="AA304" s="69">
        <v>21.155722330093301</v>
      </c>
      <c r="AB304" s="69">
        <v>25.080812088308399</v>
      </c>
      <c r="AC304" s="69">
        <v>15.193103948168099</v>
      </c>
      <c r="AD304" s="70">
        <v>10.573000128241601</v>
      </c>
    </row>
    <row r="305" spans="1:30" ht="25.5" x14ac:dyDescent="0.25">
      <c r="A305" s="6">
        <v>123</v>
      </c>
      <c r="B305" s="3" t="s">
        <v>663</v>
      </c>
      <c r="C305" s="3" t="s">
        <v>664</v>
      </c>
      <c r="D305" s="4">
        <f>_xlfn.XLOOKUP(C305,[1]Planilha2!$C$3:$C$329,[1]Planilha2!$I$3:$I$329)</f>
        <v>10</v>
      </c>
      <c r="E305" s="7">
        <v>157945</v>
      </c>
      <c r="F305" s="7">
        <v>159603.99999999997</v>
      </c>
      <c r="G305" s="7">
        <v>161263.00000000003</v>
      </c>
      <c r="H305" s="7">
        <v>162922</v>
      </c>
      <c r="I305" s="7">
        <v>162079</v>
      </c>
      <c r="J305" s="4">
        <f>_xlfn.XLOOKUP(C305,[1]Planilha2!$C$3:$C$329,[1]Planilha2!$D$3:$D$329,"")</f>
        <v>12</v>
      </c>
      <c r="K305" s="8" t="s">
        <v>261</v>
      </c>
      <c r="L305" s="4">
        <f>_xlfn.XLOOKUP(C305,[1]Planilha2!$C$3:$C$329,[1]Planilha2!$J$3:$J$329,"")</f>
        <v>1</v>
      </c>
      <c r="M305" s="42">
        <v>0.66130585657836505</v>
      </c>
      <c r="N305" s="43">
        <v>0.62914390757127603</v>
      </c>
      <c r="O305" s="43">
        <v>0.61608157707369204</v>
      </c>
      <c r="P305" s="43">
        <v>0.56347632732227704</v>
      </c>
      <c r="Q305" s="67">
        <v>0.38976176473627999</v>
      </c>
      <c r="R305" s="67">
        <v>0.827437798089663</v>
      </c>
      <c r="S305" s="67">
        <v>0.89290783647416505</v>
      </c>
      <c r="T305" s="49">
        <v>1429.4112670233301</v>
      </c>
      <c r="U305" s="49">
        <v>1386.8388854289401</v>
      </c>
      <c r="V305" s="49">
        <v>1024.9035002036001</v>
      </c>
      <c r="W305" s="49">
        <v>865.36126925768099</v>
      </c>
      <c r="X305" s="49">
        <v>940.17423797891001</v>
      </c>
      <c r="Y305" s="4"/>
      <c r="Z305" s="69">
        <v>18.0523220108266</v>
      </c>
      <c r="AA305" s="69">
        <v>20.367465727675999</v>
      </c>
      <c r="AB305" s="69">
        <v>16.5504176407483</v>
      </c>
      <c r="AC305" s="69">
        <v>17.613115478572599</v>
      </c>
      <c r="AD305" s="70">
        <v>14.106541780729399</v>
      </c>
    </row>
    <row r="306" spans="1:30" ht="25.5" x14ac:dyDescent="0.25">
      <c r="A306" s="6">
        <v>124</v>
      </c>
      <c r="B306" s="3" t="s">
        <v>665</v>
      </c>
      <c r="C306" s="3" t="s">
        <v>666</v>
      </c>
      <c r="D306" s="4">
        <f>_xlfn.XLOOKUP(C306,[1]Planilha2!$C$3:$C$329,[1]Planilha2!$I$3:$I$329)</f>
        <v>11</v>
      </c>
      <c r="E306" s="7">
        <v>173659</v>
      </c>
      <c r="F306" s="7">
        <v>174131.33333333331</v>
      </c>
      <c r="G306" s="7">
        <v>174603.66666666669</v>
      </c>
      <c r="H306" s="7">
        <v>175076</v>
      </c>
      <c r="I306" s="7">
        <v>174067</v>
      </c>
      <c r="J306" s="4">
        <f>_xlfn.XLOOKUP(C306,[1]Planilha2!$C$3:$C$329,[1]Planilha2!$D$3:$D$329,"")</f>
        <v>12</v>
      </c>
      <c r="K306" s="8" t="s">
        <v>261</v>
      </c>
      <c r="L306" s="4">
        <f>_xlfn.XLOOKUP(C306,[1]Planilha2!$C$3:$C$329,[1]Planilha2!$J$3:$J$329,"")</f>
        <v>4</v>
      </c>
      <c r="M306" s="42">
        <v>0.66569872854588696</v>
      </c>
      <c r="N306" s="43">
        <v>0.63204493872790002</v>
      </c>
      <c r="O306" s="43">
        <v>0.62212294203660101</v>
      </c>
      <c r="P306" s="43">
        <v>0.56730853743517096</v>
      </c>
      <c r="Q306" s="67">
        <v>0.37407945881243398</v>
      </c>
      <c r="R306" s="67">
        <v>0.82539395774430102</v>
      </c>
      <c r="S306" s="67">
        <v>0.89425271901506398</v>
      </c>
      <c r="T306" s="49">
        <v>1448.15494405703</v>
      </c>
      <c r="U306" s="49">
        <v>1402.09292197077</v>
      </c>
      <c r="V306" s="49">
        <v>1047.2624216940801</v>
      </c>
      <c r="W306" s="49">
        <v>888.43506699947397</v>
      </c>
      <c r="X306" s="49">
        <v>942.36583923553201</v>
      </c>
      <c r="Y306" s="4"/>
      <c r="Z306" s="69">
        <v>18.266055891143001</v>
      </c>
      <c r="AA306" s="69">
        <v>20.1540465625562</v>
      </c>
      <c r="AB306" s="69">
        <v>16.2208678320997</v>
      </c>
      <c r="AC306" s="69">
        <v>16.478186616098199</v>
      </c>
      <c r="AD306" s="70">
        <v>13.553816628207199</v>
      </c>
    </row>
    <row r="307" spans="1:30" ht="25.5" x14ac:dyDescent="0.25">
      <c r="A307" s="6">
        <v>125</v>
      </c>
      <c r="B307" s="3" t="s">
        <v>667</v>
      </c>
      <c r="C307" s="3" t="s">
        <v>668</v>
      </c>
      <c r="D307" s="4">
        <f>_xlfn.XLOOKUP(C307,[1]Planilha2!$C$3:$C$329,[1]Planilha2!$I$3:$I$329)</f>
        <v>10</v>
      </c>
      <c r="E307" s="7">
        <v>204234</v>
      </c>
      <c r="F307" s="7">
        <v>201867.99999999997</v>
      </c>
      <c r="G307" s="7">
        <v>199502.00000000003</v>
      </c>
      <c r="H307" s="7">
        <v>197136</v>
      </c>
      <c r="I307" s="7">
        <v>196625</v>
      </c>
      <c r="J307" s="4">
        <f>_xlfn.XLOOKUP(C307,[1]Planilha2!$C$3:$C$329,[1]Planilha2!$D$3:$D$329,"")</f>
        <v>17</v>
      </c>
      <c r="K307" s="8" t="s">
        <v>261</v>
      </c>
      <c r="L307" s="4">
        <f>_xlfn.XLOOKUP(C307,[1]Planilha2!$C$3:$C$329,[1]Planilha2!$J$3:$J$329,"")</f>
        <v>1</v>
      </c>
      <c r="M307" s="42">
        <v>0.62813872497539702</v>
      </c>
      <c r="N307" s="43">
        <v>0.60274505134451395</v>
      </c>
      <c r="O307" s="43">
        <v>0.57355107184887599</v>
      </c>
      <c r="P307" s="43">
        <v>0.54669293076860703</v>
      </c>
      <c r="Q307" s="67">
        <v>0.30758924989891501</v>
      </c>
      <c r="R307" s="67">
        <v>0.72133942299659504</v>
      </c>
      <c r="S307" s="67">
        <v>0.840886491029329</v>
      </c>
      <c r="T307" s="49">
        <v>1601.1802901573701</v>
      </c>
      <c r="U307" s="49">
        <v>1433.6322849584899</v>
      </c>
      <c r="V307" s="49">
        <v>1195.6388447233601</v>
      </c>
      <c r="W307" s="49">
        <v>1036.1535740301099</v>
      </c>
      <c r="X307" s="49">
        <v>995.07563539891203</v>
      </c>
      <c r="Y307" s="4"/>
      <c r="Z307" s="69">
        <v>13.321704515408801</v>
      </c>
      <c r="AA307" s="69">
        <v>13.858402520458901</v>
      </c>
      <c r="AB307" s="69">
        <v>11.7615863500115</v>
      </c>
      <c r="AC307" s="69">
        <v>11.5888270026784</v>
      </c>
      <c r="AD307" s="70">
        <v>10.600717271325401</v>
      </c>
    </row>
    <row r="308" spans="1:30" x14ac:dyDescent="0.25">
      <c r="A308" s="6">
        <v>126</v>
      </c>
      <c r="B308" s="3" t="s">
        <v>669</v>
      </c>
      <c r="C308" s="3" t="s">
        <v>670</v>
      </c>
      <c r="D308" s="4">
        <f>_xlfn.XLOOKUP(C308,[1]Planilha2!$C$3:$C$329,[1]Planilha2!$I$3:$I$329)</f>
        <v>11</v>
      </c>
      <c r="E308" s="7">
        <v>115317</v>
      </c>
      <c r="F308" s="7">
        <v>114388.66666666666</v>
      </c>
      <c r="G308" s="7">
        <v>113460.33333333334</v>
      </c>
      <c r="H308" s="7">
        <v>112532</v>
      </c>
      <c r="I308" s="7">
        <v>111755</v>
      </c>
      <c r="J308" s="4">
        <f>_xlfn.XLOOKUP(C308,[1]Planilha2!$C$3:$C$329,[1]Planilha2!$D$3:$D$329,"")</f>
        <v>13</v>
      </c>
      <c r="K308" s="8" t="s">
        <v>261</v>
      </c>
      <c r="L308" s="4">
        <f>_xlfn.XLOOKUP(C308,[1]Planilha2!$C$3:$C$329,[1]Planilha2!$J$3:$J$329,"")</f>
        <v>1</v>
      </c>
      <c r="M308" s="42">
        <v>0.68731089734997097</v>
      </c>
      <c r="N308" s="43">
        <v>0.65916986377030395</v>
      </c>
      <c r="O308" s="43">
        <v>0.647213897380301</v>
      </c>
      <c r="P308" s="43">
        <v>0.59228495094728595</v>
      </c>
      <c r="Q308" s="67">
        <v>0.54313284995343403</v>
      </c>
      <c r="R308" s="67">
        <v>0.81375773589007605</v>
      </c>
      <c r="S308" s="67">
        <v>0.89571367261979895</v>
      </c>
      <c r="T308" s="49">
        <v>1709.1255415073199</v>
      </c>
      <c r="U308" s="49">
        <v>1764.0535058251701</v>
      </c>
      <c r="V308" s="49">
        <v>1476.54906619347</v>
      </c>
      <c r="W308" s="49">
        <v>1194.5377231365301</v>
      </c>
      <c r="X308" s="49">
        <v>1199.3382338357101</v>
      </c>
      <c r="Y308" s="4"/>
      <c r="Z308" s="69">
        <v>13.978242583487299</v>
      </c>
      <c r="AA308" s="69">
        <v>13.182145084303199</v>
      </c>
      <c r="AB308" s="69">
        <v>10.739682884767401</v>
      </c>
      <c r="AC308" s="69">
        <v>8.3693171720044095</v>
      </c>
      <c r="AD308" s="70">
        <v>7.67381722532257</v>
      </c>
    </row>
    <row r="309" spans="1:30" x14ac:dyDescent="0.25">
      <c r="A309" s="6">
        <v>127</v>
      </c>
      <c r="B309" s="3" t="s">
        <v>671</v>
      </c>
      <c r="C309" s="3" t="s">
        <v>672</v>
      </c>
      <c r="D309" s="4">
        <f>_xlfn.XLOOKUP(C309,[1]Planilha2!$C$3:$C$329,[1]Planilha2!$I$3:$I$329)</f>
        <v>10</v>
      </c>
      <c r="E309" s="7">
        <v>489143</v>
      </c>
      <c r="F309" s="7">
        <v>493803.66666666669</v>
      </c>
      <c r="G309" s="7">
        <v>498464.33333333331</v>
      </c>
      <c r="H309" s="7">
        <v>503125</v>
      </c>
      <c r="I309" s="7">
        <v>494315</v>
      </c>
      <c r="J309" s="4">
        <f>_xlfn.XLOOKUP(C309,[1]Planilha2!$C$3:$C$329,[1]Planilha2!$D$3:$D$329,"")</f>
        <v>18</v>
      </c>
      <c r="K309" s="8" t="s">
        <v>261</v>
      </c>
      <c r="L309" s="4">
        <f>_xlfn.XLOOKUP(C309,[1]Planilha2!$C$3:$C$329,[1]Planilha2!$J$3:$J$329,"")</f>
        <v>1</v>
      </c>
      <c r="M309" s="42">
        <v>0.73668319230787405</v>
      </c>
      <c r="N309" s="43">
        <v>0.70623386547884104</v>
      </c>
      <c r="O309" s="43">
        <v>0.66816713421118001</v>
      </c>
      <c r="P309" s="43">
        <v>0.65078082683229799</v>
      </c>
      <c r="Q309" s="67">
        <v>0.72167041767615603</v>
      </c>
      <c r="R309" s="67">
        <v>0.85804419299809498</v>
      </c>
      <c r="S309" s="67">
        <v>0.95244898678808898</v>
      </c>
      <c r="T309" s="49">
        <v>2344.1457874077701</v>
      </c>
      <c r="U309" s="49">
        <v>1788.7802366460101</v>
      </c>
      <c r="V309" s="49">
        <v>1339.96291049911</v>
      </c>
      <c r="W309" s="49">
        <v>1117.89098583851</v>
      </c>
      <c r="X309" s="49">
        <v>1009.11931271553</v>
      </c>
      <c r="Y309" s="4"/>
      <c r="Z309" s="69">
        <v>15.7977830613951</v>
      </c>
      <c r="AA309" s="69">
        <v>13.905540731100301</v>
      </c>
      <c r="AB309" s="69">
        <v>13.0519087624457</v>
      </c>
      <c r="AC309" s="69">
        <v>11.0157098136646</v>
      </c>
      <c r="AD309" s="70">
        <v>7.7321500621118</v>
      </c>
    </row>
    <row r="310" spans="1:30" x14ac:dyDescent="0.25">
      <c r="A310" s="6">
        <v>184</v>
      </c>
      <c r="B310" s="3" t="s">
        <v>268</v>
      </c>
      <c r="C310" s="3" t="s">
        <v>269</v>
      </c>
      <c r="D310" s="4">
        <f>_xlfn.XLOOKUP(C310,[1]Planilha2!$C$3:$C$329,[1]Planilha2!$I$3:$I$329)</f>
        <v>10</v>
      </c>
      <c r="E310" s="7">
        <v>186277</v>
      </c>
      <c r="F310" s="7">
        <v>181786.33333333331</v>
      </c>
      <c r="G310" s="7">
        <v>177295.66666666669</v>
      </c>
      <c r="H310" s="7">
        <v>172805</v>
      </c>
      <c r="I310" s="7">
        <v>171084</v>
      </c>
      <c r="J310" s="4">
        <f>_xlfn.XLOOKUP(C310,[1]Planilha2!$C$3:$C$329,[1]Planilha2!$D$3:$D$329,"")</f>
        <v>8</v>
      </c>
      <c r="K310" s="8" t="s">
        <v>261</v>
      </c>
      <c r="L310" s="4">
        <f>_xlfn.XLOOKUP(C310,[1]Planilha2!$C$3:$C$329,[1]Planilha2!$J$3:$J$329,"")</f>
        <v>29</v>
      </c>
      <c r="M310" s="42">
        <v>0.71495284500668399</v>
      </c>
      <c r="N310" s="43">
        <v>0.69962394023542596</v>
      </c>
      <c r="O310" s="43">
        <v>0.68336053065594204</v>
      </c>
      <c r="P310" s="43">
        <v>0.67551597812563302</v>
      </c>
      <c r="Q310" s="67">
        <v>0.42009274582759099</v>
      </c>
      <c r="R310" s="67">
        <v>0.76549362514970298</v>
      </c>
      <c r="S310" s="67">
        <v>0.899055627041082</v>
      </c>
      <c r="T310" s="49">
        <v>2571.8824539798302</v>
      </c>
      <c r="U310" s="49">
        <v>2305.1470958396199</v>
      </c>
      <c r="V310" s="49">
        <v>1928.9253151703299</v>
      </c>
      <c r="W310" s="49">
        <v>1628.39993790689</v>
      </c>
      <c r="X310" s="49">
        <v>1426.2180041086799</v>
      </c>
      <c r="Y310" s="4"/>
      <c r="Z310" s="69">
        <v>24.655545236395302</v>
      </c>
      <c r="AA310" s="69">
        <v>16.390076995153699</v>
      </c>
      <c r="AB310" s="69">
        <v>15.1369971441302</v>
      </c>
      <c r="AC310" s="69">
        <v>14.236868146176301</v>
      </c>
      <c r="AD310" s="70">
        <v>12.4375915048754</v>
      </c>
    </row>
    <row r="311" spans="1:30" x14ac:dyDescent="0.25">
      <c r="A311" s="6">
        <v>185</v>
      </c>
      <c r="B311" s="3" t="s">
        <v>271</v>
      </c>
      <c r="C311" s="18" t="s">
        <v>272</v>
      </c>
      <c r="D311" s="4">
        <f>_xlfn.XLOOKUP(C311,[1]Planilha2!$C$3:$C$329,[1]Planilha2!$I$3:$I$329)</f>
        <v>27</v>
      </c>
      <c r="E311" s="7">
        <v>114907</v>
      </c>
      <c r="F311" s="7">
        <v>113054</v>
      </c>
      <c r="G311" s="7">
        <v>111201</v>
      </c>
      <c r="H311" s="7">
        <v>109348</v>
      </c>
      <c r="I311" s="7">
        <v>108647</v>
      </c>
      <c r="J311" s="4">
        <f>_xlfn.XLOOKUP(C311,[1]Planilha2!$C$3:$C$329,[1]Planilha2!$D$3:$D$329,"")</f>
        <v>6</v>
      </c>
      <c r="K311" s="8" t="s">
        <v>261</v>
      </c>
      <c r="L311" s="4">
        <f>_xlfn.XLOOKUP(C311,[1]Planilha2!$C$3:$C$329,[1]Planilha2!$J$3:$J$329,"")</f>
        <v>2</v>
      </c>
      <c r="M311" s="42">
        <v>0.71472905779538998</v>
      </c>
      <c r="N311" s="43">
        <v>0.67800007194179901</v>
      </c>
      <c r="O311" s="43">
        <v>0.65533731481142798</v>
      </c>
      <c r="P311" s="43">
        <v>0.63979429802099697</v>
      </c>
      <c r="Q311" s="67">
        <v>0.16071874203769099</v>
      </c>
      <c r="R311" s="67">
        <v>0.58070547507066805</v>
      </c>
      <c r="S311" s="67">
        <v>0.75365414789435303</v>
      </c>
      <c r="T311" s="49">
        <v>1591.55450686207</v>
      </c>
      <c r="U311" s="49">
        <v>1384.73355154764</v>
      </c>
      <c r="V311" s="49">
        <v>1269.4549113767</v>
      </c>
      <c r="W311" s="49">
        <v>1250.5956450963899</v>
      </c>
      <c r="X311" s="49">
        <v>899.42874236382897</v>
      </c>
      <c r="Y311" s="4"/>
      <c r="Z311" s="69">
        <v>19.961525407503501</v>
      </c>
      <c r="AA311" s="69">
        <v>28.229554018433699</v>
      </c>
      <c r="AB311" s="69">
        <v>19.855828634634602</v>
      </c>
      <c r="AC311" s="69">
        <v>16.486858470205199</v>
      </c>
      <c r="AD311" s="70">
        <v>26.3787174891173</v>
      </c>
    </row>
    <row r="312" spans="1:30" ht="25.5" x14ac:dyDescent="0.25">
      <c r="A312" s="6">
        <v>186</v>
      </c>
      <c r="B312" s="3" t="s">
        <v>273</v>
      </c>
      <c r="C312" s="3" t="s">
        <v>274</v>
      </c>
      <c r="D312" s="4">
        <f>_xlfn.XLOOKUP(C312,[1]Planilha2!$C$3:$C$329,[1]Planilha2!$I$3:$I$329)</f>
        <v>27</v>
      </c>
      <c r="E312" s="7">
        <v>69366</v>
      </c>
      <c r="F312" s="7">
        <v>69113.666666666672</v>
      </c>
      <c r="G312" s="7">
        <v>68861.333333333328</v>
      </c>
      <c r="H312" s="7">
        <v>68609</v>
      </c>
      <c r="I312" s="7">
        <v>68686</v>
      </c>
      <c r="J312" s="4">
        <f>_xlfn.XLOOKUP(C312,[1]Planilha2!$C$3:$C$329,[1]Planilha2!$D$3:$D$329,"")</f>
        <v>6</v>
      </c>
      <c r="K312" s="8" t="s">
        <v>261</v>
      </c>
      <c r="L312" s="4">
        <f>_xlfn.XLOOKUP(C312,[1]Planilha2!$C$3:$C$329,[1]Planilha2!$J$3:$J$329,"")</f>
        <v>2</v>
      </c>
      <c r="M312" s="42">
        <v>0.70405632605225199</v>
      </c>
      <c r="N312" s="43">
        <v>0.67894738653525899</v>
      </c>
      <c r="O312" s="43">
        <v>0.65771888236237197</v>
      </c>
      <c r="P312" s="43">
        <v>0.62587315949802502</v>
      </c>
      <c r="Q312" s="67">
        <v>0.15075932502033099</v>
      </c>
      <c r="R312" s="67">
        <v>0.68936254889052395</v>
      </c>
      <c r="S312" s="67">
        <v>0.78142138839406705</v>
      </c>
      <c r="T312" s="49">
        <v>1871.69604345068</v>
      </c>
      <c r="U312" s="49">
        <v>1646.4577558707599</v>
      </c>
      <c r="V312" s="49">
        <v>1461.10196902955</v>
      </c>
      <c r="W312" s="49">
        <v>1221.7355481059301</v>
      </c>
      <c r="X312" s="49">
        <v>1006.42700564066</v>
      </c>
      <c r="Y312" s="4"/>
      <c r="Z312" s="69">
        <v>32.3082922469221</v>
      </c>
      <c r="AA312" s="69">
        <v>27.522327952503399</v>
      </c>
      <c r="AB312" s="69">
        <v>29.836758897107199</v>
      </c>
      <c r="AC312" s="69">
        <v>19.609643049745699</v>
      </c>
      <c r="AD312" s="70">
        <v>30.064175253975399</v>
      </c>
    </row>
    <row r="313" spans="1:30" ht="25.5" x14ac:dyDescent="0.25">
      <c r="A313" s="6">
        <v>187</v>
      </c>
      <c r="B313" s="3" t="s">
        <v>275</v>
      </c>
      <c r="C313" s="3" t="s">
        <v>276</v>
      </c>
      <c r="D313" s="4">
        <f>_xlfn.XLOOKUP(C313,[1]Planilha2!$C$3:$C$329,[1]Planilha2!$I$3:$I$329)</f>
        <v>9</v>
      </c>
      <c r="E313" s="7">
        <v>580784</v>
      </c>
      <c r="F313" s="7">
        <v>541691.66666666663</v>
      </c>
      <c r="G313" s="7">
        <v>502599.33333333331</v>
      </c>
      <c r="H313" s="7">
        <v>463507</v>
      </c>
      <c r="I313" s="7">
        <v>452934</v>
      </c>
      <c r="J313" s="4">
        <f>_xlfn.XLOOKUP(C313,[1]Planilha2!$C$3:$C$329,[1]Planilha2!$D$3:$D$329,"")</f>
        <v>15</v>
      </c>
      <c r="K313" s="8" t="s">
        <v>261</v>
      </c>
      <c r="L313" s="4">
        <f>_xlfn.XLOOKUP(C313,[1]Planilha2!$C$3:$C$329,[1]Planilha2!$J$3:$J$329,"")</f>
        <v>1</v>
      </c>
      <c r="M313" s="42">
        <v>0.773846961217175</v>
      </c>
      <c r="N313" s="43">
        <v>0.73955380422311201</v>
      </c>
      <c r="O313" s="43">
        <v>0.72665316079368802</v>
      </c>
      <c r="P313" s="43">
        <v>0.70542594588647001</v>
      </c>
      <c r="Q313" s="67">
        <v>0.18560427849088501</v>
      </c>
      <c r="R313" s="67">
        <v>0.87518978132349301</v>
      </c>
      <c r="S313" s="67">
        <v>0.92451867239510899</v>
      </c>
      <c r="T313" s="49">
        <v>1898.3014088370201</v>
      </c>
      <c r="U313" s="49">
        <v>1881.2070800732299</v>
      </c>
      <c r="V313" s="49">
        <v>1537.94150384203</v>
      </c>
      <c r="W313" s="49">
        <v>1458.9409949579999</v>
      </c>
      <c r="X313" s="49">
        <v>1217.0369806712699</v>
      </c>
      <c r="Y313" s="4"/>
      <c r="Z313" s="69">
        <v>15.8829151629521</v>
      </c>
      <c r="AA313" s="69">
        <v>18.8284602249127</v>
      </c>
      <c r="AB313" s="69">
        <v>21.463635712476101</v>
      </c>
      <c r="AC313" s="69">
        <v>21.462217399090001</v>
      </c>
      <c r="AD313" s="70">
        <v>14.737352402444801</v>
      </c>
    </row>
    <row r="314" spans="1:30" x14ac:dyDescent="0.25">
      <c r="A314" s="6">
        <v>188</v>
      </c>
      <c r="B314" s="3" t="s">
        <v>673</v>
      </c>
      <c r="C314" s="3" t="s">
        <v>674</v>
      </c>
      <c r="D314" s="4">
        <f>_xlfn.XLOOKUP(C314,[1]Planilha2!$C$3:$C$329,[1]Planilha2!$I$3:$I$329)</f>
        <v>26</v>
      </c>
      <c r="E314" s="7">
        <v>93887</v>
      </c>
      <c r="F314" s="7">
        <v>94872</v>
      </c>
      <c r="G314" s="7">
        <v>95857</v>
      </c>
      <c r="H314" s="7">
        <v>96842</v>
      </c>
      <c r="I314" s="7">
        <v>95537</v>
      </c>
      <c r="J314" s="4">
        <f>_xlfn.XLOOKUP(C314,[1]Planilha2!$C$3:$C$329,[1]Planilha2!$D$3:$D$329,"")</f>
        <v>7</v>
      </c>
      <c r="K314" s="8" t="s">
        <v>261</v>
      </c>
      <c r="L314" s="4">
        <f>_xlfn.XLOOKUP(C314,[1]Planilha2!$C$3:$C$329,[1]Planilha2!$J$3:$J$329,"")</f>
        <v>1</v>
      </c>
      <c r="M314" s="42">
        <v>0.61500943903364502</v>
      </c>
      <c r="N314" s="43">
        <v>0.57844682982637297</v>
      </c>
      <c r="O314" s="43">
        <v>0.56605407364573201</v>
      </c>
      <c r="P314" s="43">
        <v>0.53100087049007705</v>
      </c>
      <c r="Q314" s="67">
        <v>0.148436054748219</v>
      </c>
      <c r="R314" s="67">
        <v>0.463874463697661</v>
      </c>
      <c r="S314" s="67">
        <v>0.75805015943888598</v>
      </c>
      <c r="T314" s="49">
        <v>1992.18543664192</v>
      </c>
      <c r="U314" s="49">
        <v>1540.5172155816999</v>
      </c>
      <c r="V314" s="49">
        <v>1335.8623204704199</v>
      </c>
      <c r="W314" s="49">
        <v>1248.5240496891799</v>
      </c>
      <c r="X314" s="49">
        <v>1037.0629237314399</v>
      </c>
      <c r="Y314" s="4"/>
      <c r="Z314" s="69">
        <v>9.7083515289656699</v>
      </c>
      <c r="AA314" s="69">
        <v>8.2404819124715392</v>
      </c>
      <c r="AB314" s="69">
        <v>6.4910126542662496</v>
      </c>
      <c r="AC314" s="69">
        <v>5.1876871605295198</v>
      </c>
      <c r="AD314" s="70">
        <v>5.1475909212944799</v>
      </c>
    </row>
    <row r="315" spans="1:30" x14ac:dyDescent="0.25">
      <c r="A315" s="6">
        <v>189</v>
      </c>
      <c r="B315" s="3" t="s">
        <v>675</v>
      </c>
      <c r="C315" s="3" t="s">
        <v>676</v>
      </c>
      <c r="D315" s="4">
        <f>_xlfn.XLOOKUP(C315,[1]Planilha2!$C$3:$C$329,[1]Planilha2!$I$3:$I$329)</f>
        <v>23</v>
      </c>
      <c r="E315" s="7">
        <v>22798</v>
      </c>
      <c r="F315" s="7">
        <v>22219.333333333336</v>
      </c>
      <c r="G315" s="7">
        <v>21640.666666666664</v>
      </c>
      <c r="H315" s="7">
        <v>21062</v>
      </c>
      <c r="I315" s="7">
        <v>20837</v>
      </c>
      <c r="J315" s="4">
        <f>_xlfn.XLOOKUP(C315,[1]Planilha2!$C$3:$C$329,[1]Planilha2!$D$3:$D$329,"")</f>
        <v>3</v>
      </c>
      <c r="K315" s="8" t="s">
        <v>261</v>
      </c>
      <c r="L315" s="4">
        <f>_xlfn.XLOOKUP(C315,[1]Planilha2!$C$3:$C$329,[1]Planilha2!$J$3:$J$329,"")</f>
        <v>1</v>
      </c>
      <c r="M315" s="42">
        <v>0.61311527198535798</v>
      </c>
      <c r="N315" s="43">
        <v>0.55157622223591396</v>
      </c>
      <c r="O315" s="43">
        <v>0.49436697369670501</v>
      </c>
      <c r="P315" s="43">
        <v>0.44349773050992303</v>
      </c>
      <c r="Q315" s="67">
        <v>1.87742706632574E-2</v>
      </c>
      <c r="R315" s="67">
        <v>0.63620303287021396</v>
      </c>
      <c r="S315" s="67">
        <v>0.75315353347093394</v>
      </c>
      <c r="T315" s="49">
        <v>2139.1809198175301</v>
      </c>
      <c r="U315" s="49">
        <v>2105.4813219718599</v>
      </c>
      <c r="V315" s="49">
        <v>1779.63825790949</v>
      </c>
      <c r="W315" s="49">
        <v>1466.7441021745301</v>
      </c>
      <c r="X315" s="49">
        <v>1477.23923274143</v>
      </c>
      <c r="Y315" s="4"/>
      <c r="Z315" s="69">
        <v>7.1754539871918599</v>
      </c>
      <c r="AA315" s="69">
        <v>7.7329502835368604</v>
      </c>
      <c r="AB315" s="69">
        <v>5.4205816210221496</v>
      </c>
      <c r="AC315" s="69">
        <v>3.3259424556072501</v>
      </c>
      <c r="AD315" s="70">
        <v>31.089972462254298</v>
      </c>
    </row>
    <row r="316" spans="1:30" x14ac:dyDescent="0.25">
      <c r="A316" s="6">
        <v>190</v>
      </c>
      <c r="B316" s="3" t="s">
        <v>677</v>
      </c>
      <c r="C316" s="3" t="s">
        <v>678</v>
      </c>
      <c r="D316" s="4">
        <f>_xlfn.XLOOKUP(C316,[1]Planilha2!$C$3:$C$329,[1]Planilha2!$I$3:$I$329)</f>
        <v>22</v>
      </c>
      <c r="E316" s="7">
        <v>585518</v>
      </c>
      <c r="F316" s="7">
        <v>566346.99999999988</v>
      </c>
      <c r="G316" s="7">
        <v>547176.00000000012</v>
      </c>
      <c r="H316" s="7">
        <v>528005</v>
      </c>
      <c r="I316" s="7">
        <v>524022</v>
      </c>
      <c r="J316" s="4">
        <f>_xlfn.XLOOKUP(C316,[1]Planilha2!$C$3:$C$329,[1]Planilha2!$D$3:$D$329,"")</f>
        <v>19</v>
      </c>
      <c r="K316" s="8" t="s">
        <v>261</v>
      </c>
      <c r="L316" s="4">
        <f>_xlfn.XLOOKUP(C316,[1]Planilha2!$C$3:$C$329,[1]Planilha2!$J$3:$J$329,"")</f>
        <v>2</v>
      </c>
      <c r="M316" s="42">
        <v>0.74168196282491095</v>
      </c>
      <c r="N316" s="43">
        <v>0.716872685388248</v>
      </c>
      <c r="O316" s="43">
        <v>0.69687754718231798</v>
      </c>
      <c r="P316" s="43">
        <v>0.66581855929394596</v>
      </c>
      <c r="Q316" s="67">
        <v>0.576532704955383</v>
      </c>
      <c r="R316" s="67">
        <v>0.87043852532518495</v>
      </c>
      <c r="S316" s="67">
        <v>0.92707239419613896</v>
      </c>
      <c r="T316" s="49">
        <v>2081.4589209213</v>
      </c>
      <c r="U316" s="49">
        <v>1986.9982975042999</v>
      </c>
      <c r="V316" s="49">
        <v>1725.1045715942701</v>
      </c>
      <c r="W316" s="49">
        <v>1534.2198335432399</v>
      </c>
      <c r="X316" s="49">
        <v>1287.4089947822499</v>
      </c>
      <c r="Y316" s="4"/>
      <c r="Z316" s="69">
        <v>13.539201185958399</v>
      </c>
      <c r="AA316" s="69">
        <v>12.9180060987345</v>
      </c>
      <c r="AB316" s="69">
        <v>13.4842116613302</v>
      </c>
      <c r="AC316" s="69">
        <v>15.299616480904501</v>
      </c>
      <c r="AD316" s="70">
        <v>13.1672427344438</v>
      </c>
    </row>
    <row r="317" spans="1:30" ht="25.5" x14ac:dyDescent="0.25">
      <c r="A317" s="6">
        <v>191</v>
      </c>
      <c r="B317" s="3" t="s">
        <v>277</v>
      </c>
      <c r="C317" s="3" t="s">
        <v>278</v>
      </c>
      <c r="D317" s="4">
        <f>_xlfn.XLOOKUP(C317,[1]Planilha2!$C$3:$C$329,[1]Planilha2!$I$3:$I$329)</f>
        <v>19</v>
      </c>
      <c r="E317" s="7">
        <v>50793</v>
      </c>
      <c r="F317" s="7">
        <v>54231</v>
      </c>
      <c r="G317" s="7">
        <v>57669</v>
      </c>
      <c r="H317" s="7">
        <v>61107</v>
      </c>
      <c r="I317" s="7">
        <v>60585</v>
      </c>
      <c r="J317" s="4">
        <f>_xlfn.XLOOKUP(C317,[1]Planilha2!$C$3:$C$329,[1]Planilha2!$D$3:$D$329,"")</f>
        <v>4</v>
      </c>
      <c r="K317" s="8" t="s">
        <v>261</v>
      </c>
      <c r="L317" s="4">
        <f>_xlfn.XLOOKUP(C317,[1]Planilha2!$C$3:$C$329,[1]Planilha2!$J$3:$J$329,"")</f>
        <v>1</v>
      </c>
      <c r="M317" s="42">
        <v>0.69315612902829205</v>
      </c>
      <c r="N317" s="43">
        <v>0.68213154785644503</v>
      </c>
      <c r="O317" s="43">
        <v>0.65779429361611597</v>
      </c>
      <c r="P317" s="43">
        <v>0.62948150293746996</v>
      </c>
      <c r="Q317" s="67">
        <v>0.14910150687544399</v>
      </c>
      <c r="R317" s="67">
        <v>0.80638644332310205</v>
      </c>
      <c r="S317" s="67">
        <v>0.84005126555572895</v>
      </c>
      <c r="T317" s="49">
        <v>2555.2280312247699</v>
      </c>
      <c r="U317" s="49">
        <v>1969.58307222806</v>
      </c>
      <c r="V317" s="49">
        <v>1760.0925602432301</v>
      </c>
      <c r="W317" s="49">
        <v>1375.7340088696899</v>
      </c>
      <c r="X317" s="49">
        <v>1256.4912409380299</v>
      </c>
      <c r="Y317" s="4"/>
      <c r="Z317" s="69">
        <v>19.942944893981501</v>
      </c>
      <c r="AA317" s="69">
        <v>15.265475466061799</v>
      </c>
      <c r="AB317" s="69">
        <v>17.770292531516102</v>
      </c>
      <c r="AC317" s="69">
        <v>17.4543014711899</v>
      </c>
      <c r="AD317" s="70">
        <v>14.5773806601535</v>
      </c>
    </row>
    <row r="318" spans="1:30" x14ac:dyDescent="0.25">
      <c r="A318" s="6">
        <v>192</v>
      </c>
      <c r="B318" s="3" t="s">
        <v>679</v>
      </c>
      <c r="C318" s="3" t="s">
        <v>680</v>
      </c>
      <c r="D318" s="4">
        <f>_xlfn.XLOOKUP(C318,[1]Planilha2!$C$3:$C$329,[1]Planilha2!$I$3:$I$329)</f>
        <v>27</v>
      </c>
      <c r="E318" s="7">
        <v>581553</v>
      </c>
      <c r="F318" s="7">
        <v>596383.66666666663</v>
      </c>
      <c r="G318" s="7">
        <v>611214.33333333337</v>
      </c>
      <c r="H318" s="7">
        <v>626045</v>
      </c>
      <c r="I318" s="7">
        <v>619400</v>
      </c>
      <c r="J318" s="4">
        <f>_xlfn.XLOOKUP(C318,[1]Planilha2!$C$3:$C$329,[1]Planilha2!$D$3:$D$329,"")</f>
        <v>14</v>
      </c>
      <c r="K318" s="8" t="s">
        <v>261</v>
      </c>
      <c r="L318" s="4">
        <f>_xlfn.XLOOKUP(C318,[1]Planilha2!$C$3:$C$329,[1]Planilha2!$J$3:$J$329,"")</f>
        <v>2</v>
      </c>
      <c r="M318" s="42">
        <v>0.66664298552777301</v>
      </c>
      <c r="N318" s="43">
        <v>0.63957543404032302</v>
      </c>
      <c r="O318" s="43">
        <v>0.61434349847055703</v>
      </c>
      <c r="P318" s="43">
        <v>0.605742433850602</v>
      </c>
      <c r="Q318" s="67">
        <v>0.51553680067494001</v>
      </c>
      <c r="R318" s="67">
        <v>0.63451576882741101</v>
      </c>
      <c r="S318" s="67">
        <v>0.90988345359483802</v>
      </c>
      <c r="T318" s="49">
        <v>2020.8872001692</v>
      </c>
      <c r="U318" s="49">
        <v>1348.83931315467</v>
      </c>
      <c r="V318" s="49">
        <v>1384.02843711126</v>
      </c>
      <c r="W318" s="49">
        <v>1303.6723556613299</v>
      </c>
      <c r="X318" s="49">
        <v>1059.4444237714499</v>
      </c>
      <c r="Y318" s="4"/>
      <c r="Z318" s="69">
        <v>9.1751603035320901</v>
      </c>
      <c r="AA318" s="69">
        <v>7.5727140973567897</v>
      </c>
      <c r="AB318" s="69">
        <v>6.4166623492141097</v>
      </c>
      <c r="AC318" s="69">
        <v>4.4584926003721801</v>
      </c>
      <c r="AD318" s="70">
        <v>3.8796667971152199</v>
      </c>
    </row>
    <row r="319" spans="1:30" ht="25.5" x14ac:dyDescent="0.25">
      <c r="A319" s="6">
        <v>193</v>
      </c>
      <c r="B319" s="3" t="s">
        <v>681</v>
      </c>
      <c r="C319" s="3" t="s">
        <v>682</v>
      </c>
      <c r="D319" s="4">
        <f>_xlfn.XLOOKUP(C319,[1]Planilha2!$C$3:$C$329,[1]Planilha2!$I$3:$I$329)</f>
        <v>26</v>
      </c>
      <c r="E319" s="7">
        <v>129946</v>
      </c>
      <c r="F319" s="7">
        <v>129061</v>
      </c>
      <c r="G319" s="7">
        <v>128176</v>
      </c>
      <c r="H319" s="7">
        <v>127291</v>
      </c>
      <c r="I319" s="7">
        <v>125798</v>
      </c>
      <c r="J319" s="4">
        <f>_xlfn.XLOOKUP(C319,[1]Planilha2!$C$3:$C$329,[1]Planilha2!$D$3:$D$329,"")</f>
        <v>9</v>
      </c>
      <c r="K319" s="8" t="s">
        <v>261</v>
      </c>
      <c r="L319" s="4">
        <f>_xlfn.XLOOKUP(C319,[1]Planilha2!$C$3:$C$329,[1]Planilha2!$J$3:$J$329,"")</f>
        <v>3</v>
      </c>
      <c r="M319" s="42">
        <v>0.71539932202601897</v>
      </c>
      <c r="N319" s="43">
        <v>0.66687435245287696</v>
      </c>
      <c r="O319" s="43">
        <v>0.64679873203918603</v>
      </c>
      <c r="P319" s="43">
        <v>0.61299932202590901</v>
      </c>
      <c r="Q319" s="67">
        <v>0.120843492281446</v>
      </c>
      <c r="R319" s="67">
        <v>0.84106882099613001</v>
      </c>
      <c r="S319" s="67">
        <v>0.88511832636374999</v>
      </c>
      <c r="T319" s="49">
        <v>2445.66184384283</v>
      </c>
      <c r="U319" s="49">
        <v>2127.3498242691398</v>
      </c>
      <c r="V319" s="49">
        <v>1868.3595206330899</v>
      </c>
      <c r="W319" s="49">
        <v>1422.8206046774701</v>
      </c>
      <c r="X319" s="49">
        <v>1118.98302024495</v>
      </c>
      <c r="Y319" s="4"/>
      <c r="Z319" s="69">
        <v>20.8756637372447</v>
      </c>
      <c r="AA319" s="69">
        <v>19.9551065000271</v>
      </c>
      <c r="AB319" s="69">
        <v>18.209087504681101</v>
      </c>
      <c r="AC319" s="69">
        <v>12.806137118885101</v>
      </c>
      <c r="AD319" s="70">
        <v>10.257441610168801</v>
      </c>
    </row>
    <row r="320" spans="1:30" x14ac:dyDescent="0.25">
      <c r="A320" s="6">
        <v>194</v>
      </c>
      <c r="B320" s="3" t="s">
        <v>683</v>
      </c>
      <c r="C320" s="3" t="s">
        <v>684</v>
      </c>
      <c r="D320" s="4">
        <f>_xlfn.XLOOKUP(C320,[1]Planilha2!$C$3:$C$329,[1]Planilha2!$I$3:$I$329)</f>
        <v>19</v>
      </c>
      <c r="E320" s="7">
        <v>113994</v>
      </c>
      <c r="F320" s="7">
        <v>111048.99999999999</v>
      </c>
      <c r="G320" s="7">
        <v>108104.00000000001</v>
      </c>
      <c r="H320" s="7">
        <v>105159</v>
      </c>
      <c r="I320" s="7">
        <v>104101</v>
      </c>
      <c r="J320" s="4">
        <f>_xlfn.XLOOKUP(C320,[1]Planilha2!$C$3:$C$329,[1]Planilha2!$D$3:$D$329,"")</f>
        <v>7</v>
      </c>
      <c r="K320" s="8" t="s">
        <v>261</v>
      </c>
      <c r="L320" s="4">
        <f>_xlfn.XLOOKUP(C320,[1]Planilha2!$C$3:$C$329,[1]Planilha2!$J$3:$J$329,"")</f>
        <v>1</v>
      </c>
      <c r="M320" s="42">
        <v>0.62575592696317295</v>
      </c>
      <c r="N320" s="43">
        <v>0.60184837717999895</v>
      </c>
      <c r="O320" s="43">
        <v>0.57798341939348996</v>
      </c>
      <c r="P320" s="43">
        <v>0.55286457269468103</v>
      </c>
      <c r="Q320" s="67">
        <v>0.26120288641801698</v>
      </c>
      <c r="R320" s="67">
        <v>0.66204046658772997</v>
      </c>
      <c r="S320" s="67">
        <v>0.75216523532894197</v>
      </c>
      <c r="T320" s="49">
        <v>1957.6364731477099</v>
      </c>
      <c r="U320" s="49">
        <v>1711.99093778422</v>
      </c>
      <c r="V320" s="49">
        <v>1658.48226719949</v>
      </c>
      <c r="W320" s="49">
        <v>1399.6011323804901</v>
      </c>
      <c r="X320" s="49">
        <v>1196.49810001997</v>
      </c>
      <c r="Y320" s="4"/>
      <c r="Z320" s="69">
        <v>22.274628489218699</v>
      </c>
      <c r="AA320" s="69">
        <v>19.5116570162721</v>
      </c>
      <c r="AB320" s="69">
        <v>15.670141715385199</v>
      </c>
      <c r="AC320" s="69">
        <v>12.629855742257</v>
      </c>
      <c r="AD320" s="70">
        <v>10.400022822582899</v>
      </c>
    </row>
    <row r="321" spans="1:30" ht="38.25" x14ac:dyDescent="0.25">
      <c r="A321" s="6">
        <v>195</v>
      </c>
      <c r="B321" s="3" t="s">
        <v>685</v>
      </c>
      <c r="C321" s="3" t="s">
        <v>686</v>
      </c>
      <c r="D321" s="4">
        <f>_xlfn.XLOOKUP(C321,[1]Planilha2!$C$3:$C$329,[1]Planilha2!$I$3:$I$329)</f>
        <v>19</v>
      </c>
      <c r="E321" s="7">
        <v>309386</v>
      </c>
      <c r="F321" s="7">
        <v>309146.33333333331</v>
      </c>
      <c r="G321" s="7">
        <v>308906.66666666669</v>
      </c>
      <c r="H321" s="7">
        <v>308667</v>
      </c>
      <c r="I321" s="7">
        <v>304188</v>
      </c>
      <c r="J321" s="4">
        <f>_xlfn.XLOOKUP(C321,[1]Planilha2!$C$3:$C$329,[1]Planilha2!$D$3:$D$329,"")</f>
        <v>14</v>
      </c>
      <c r="K321" s="8" t="s">
        <v>261</v>
      </c>
      <c r="L321" s="4">
        <f>_xlfn.XLOOKUP(C321,[1]Planilha2!$C$3:$C$329,[1]Planilha2!$J$3:$J$329,"")</f>
        <v>19</v>
      </c>
      <c r="M321" s="42">
        <v>0.72773805360783805</v>
      </c>
      <c r="N321" s="43">
        <v>0.69479373866971705</v>
      </c>
      <c r="O321" s="43">
        <v>0.67959606177531096</v>
      </c>
      <c r="P321" s="43">
        <v>0.65455966753815598</v>
      </c>
      <c r="Q321" s="67">
        <v>0.15327833153487599</v>
      </c>
      <c r="R321" s="67">
        <v>0.87122431780904697</v>
      </c>
      <c r="S321" s="67">
        <v>0.911976290896927</v>
      </c>
      <c r="T321" s="49">
        <v>2217.9863756601799</v>
      </c>
      <c r="U321" s="49">
        <v>1912.1644302320699</v>
      </c>
      <c r="V321" s="49">
        <v>1610.38049282415</v>
      </c>
      <c r="W321" s="49">
        <v>1366.9947602432401</v>
      </c>
      <c r="X321" s="49">
        <v>1140.2604214574301</v>
      </c>
      <c r="Y321" s="4"/>
      <c r="Z321" s="69">
        <v>15.6958459658808</v>
      </c>
      <c r="AA321" s="69">
        <v>13.944771569882199</v>
      </c>
      <c r="AB321" s="69">
        <v>13.833971426105</v>
      </c>
      <c r="AC321" s="69">
        <v>11.924164228764299</v>
      </c>
      <c r="AD321" s="70">
        <v>9.8458662571638698</v>
      </c>
    </row>
    <row r="322" spans="1:30" x14ac:dyDescent="0.25">
      <c r="A322" s="6">
        <v>299</v>
      </c>
      <c r="B322" s="3" t="s">
        <v>279</v>
      </c>
      <c r="C322" s="3" t="s">
        <v>280</v>
      </c>
      <c r="D322" s="4">
        <f>_xlfn.XLOOKUP(C322,[1]Planilha2!$C$3:$C$329,[1]Planilha2!$I$3:$I$329)</f>
        <v>23</v>
      </c>
      <c r="E322" s="7">
        <v>127906</v>
      </c>
      <c r="F322" s="7">
        <v>135832</v>
      </c>
      <c r="G322" s="7">
        <v>143758</v>
      </c>
      <c r="H322" s="7">
        <v>151684</v>
      </c>
      <c r="I322" s="7">
        <v>148998</v>
      </c>
      <c r="J322" s="4">
        <f>_xlfn.XLOOKUP(C322,[1]Planilha2!$C$3:$C$329,[1]Planilha2!$D$3:$D$329,"")</f>
        <v>6</v>
      </c>
      <c r="K322" s="8" t="s">
        <v>261</v>
      </c>
      <c r="L322" s="4">
        <f>_xlfn.XLOOKUP(C322,[1]Planilha2!$C$3:$C$329,[1]Planilha2!$J$3:$J$329,"")</f>
        <v>1</v>
      </c>
      <c r="M322" s="42">
        <v>0.65158162141468901</v>
      </c>
      <c r="N322" s="43">
        <v>0.59984379744663496</v>
      </c>
      <c r="O322" s="43">
        <v>0.60379902890219095</v>
      </c>
      <c r="P322" s="43">
        <v>0.58480358508478203</v>
      </c>
      <c r="Q322" s="67">
        <v>2.2257383241280501E-2</v>
      </c>
      <c r="R322" s="67">
        <v>0.440518175916007</v>
      </c>
      <c r="S322" s="67">
        <v>0.69771775391050705</v>
      </c>
      <c r="T322" s="49">
        <v>1772.74779642863</v>
      </c>
      <c r="U322" s="49">
        <v>1523.53294945226</v>
      </c>
      <c r="V322" s="49">
        <v>1275.1166109712201</v>
      </c>
      <c r="W322" s="49">
        <v>1021.30179695947</v>
      </c>
      <c r="X322" s="49">
        <v>885.90448946493996</v>
      </c>
      <c r="Y322" s="4"/>
      <c r="Z322" s="69">
        <v>34.615311244194999</v>
      </c>
      <c r="AA322" s="69">
        <v>25.384872489545899</v>
      </c>
      <c r="AB322" s="69">
        <v>5.8657187773897803</v>
      </c>
      <c r="AC322" s="69">
        <v>5.3870942221987796</v>
      </c>
      <c r="AD322" s="70">
        <v>3.9110189604704502</v>
      </c>
    </row>
    <row r="323" spans="1:30" x14ac:dyDescent="0.25">
      <c r="A323" s="6">
        <v>43</v>
      </c>
      <c r="B323" s="3" t="s">
        <v>687</v>
      </c>
      <c r="C323" s="3" t="s">
        <v>688</v>
      </c>
      <c r="D323" s="4">
        <f>_xlfn.XLOOKUP(C323,[1]Planilha2!$C$3:$C$329,[1]Planilha2!$I$3:$I$329)</f>
        <v>26</v>
      </c>
      <c r="E323" s="11"/>
      <c r="H323" s="11"/>
      <c r="I323" s="11"/>
      <c r="J323" s="4">
        <f>_xlfn.XLOOKUP(C323,[1]Planilha2!$C$3:$C$329,[1]Planilha2!$D$3:$D$329,"")</f>
        <v>14</v>
      </c>
      <c r="K323" s="8" t="s">
        <v>689</v>
      </c>
      <c r="L323" s="4">
        <f>_xlfn.XLOOKUP(C323,[1]Planilha2!$C$3:$C$329,[1]Planilha2!$J$3:$J$329,"")</f>
        <v>3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39"/>
      <c r="Z323" s="4"/>
      <c r="AA323" s="4"/>
      <c r="AB323" s="4"/>
      <c r="AC323" s="4"/>
      <c r="AD323" s="5"/>
    </row>
    <row r="324" spans="1:30" x14ac:dyDescent="0.25">
      <c r="A324" s="6">
        <v>85</v>
      </c>
      <c r="B324" s="3" t="s">
        <v>690</v>
      </c>
      <c r="C324" s="3" t="s">
        <v>691</v>
      </c>
      <c r="D324" s="4">
        <f>_xlfn.XLOOKUP(C324,[1]Planilha2!$C$3:$C$329,[1]Planilha2!$I$3:$I$329)</f>
        <v>23</v>
      </c>
      <c r="E324" s="11"/>
      <c r="H324" s="11"/>
      <c r="I324" s="11"/>
      <c r="J324" s="4">
        <f>_xlfn.XLOOKUP(C324,[1]Planilha2!$C$3:$C$329,[1]Planilha2!$D$3:$D$329,"")</f>
        <v>7</v>
      </c>
      <c r="K324" s="8" t="s">
        <v>689</v>
      </c>
      <c r="L324" s="4">
        <f>_xlfn.XLOOKUP(C324,[1]Planilha2!$C$3:$C$329,[1]Planilha2!$J$3:$J$329,"")</f>
        <v>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39"/>
      <c r="Z324" s="4"/>
      <c r="AA324" s="4"/>
      <c r="AB324" s="4"/>
      <c r="AC324" s="4"/>
      <c r="AD324" s="5"/>
    </row>
    <row r="325" spans="1:30" x14ac:dyDescent="0.25">
      <c r="A325" s="6">
        <v>196</v>
      </c>
      <c r="B325" s="3" t="s">
        <v>692</v>
      </c>
      <c r="C325" s="3" t="s">
        <v>693</v>
      </c>
      <c r="D325" s="4">
        <f>_xlfn.XLOOKUP(C325,[1]Planilha2!$C$3:$C$329,[1]Planilha2!$I$3:$I$329)</f>
        <v>25</v>
      </c>
      <c r="E325" s="11"/>
      <c r="H325" s="11"/>
      <c r="I325" s="11"/>
      <c r="J325" s="4">
        <f>_xlfn.XLOOKUP(C325,[1]Planilha2!$C$3:$C$329,[1]Planilha2!$D$3:$D$329,"")</f>
        <v>32</v>
      </c>
      <c r="K325" s="8" t="s">
        <v>689</v>
      </c>
      <c r="L325" s="4">
        <f>_xlfn.XLOOKUP(C325,[1]Planilha2!$C$3:$C$329,[1]Planilha2!$J$3:$J$329,"")</f>
        <v>8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39"/>
      <c r="Z325" s="4"/>
      <c r="AA325" s="4"/>
      <c r="AB325" s="4"/>
      <c r="AC325" s="4"/>
      <c r="AD325" s="5"/>
    </row>
    <row r="326" spans="1:30" ht="25.5" x14ac:dyDescent="0.25">
      <c r="A326" s="6">
        <v>239</v>
      </c>
      <c r="B326" s="3" t="s">
        <v>694</v>
      </c>
      <c r="C326" s="3" t="s">
        <v>695</v>
      </c>
      <c r="D326" s="4">
        <f>_xlfn.XLOOKUP(C326,[1]Planilha2!$C$3:$C$329,[1]Planilha2!$I$3:$I$329)</f>
        <v>27</v>
      </c>
      <c r="E326" s="11"/>
      <c r="H326" s="11"/>
      <c r="I326" s="11"/>
      <c r="J326" s="4">
        <f>_xlfn.XLOOKUP(C326,[1]Planilha2!$C$3:$C$329,[1]Planilha2!$D$3:$D$329,"")</f>
        <v>47</v>
      </c>
      <c r="K326" s="8" t="s">
        <v>689</v>
      </c>
      <c r="L326" s="4">
        <f>_xlfn.XLOOKUP(C326,[1]Planilha2!$C$3:$C$329,[1]Planilha2!$J$3:$J$329,"")</f>
        <v>10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39"/>
      <c r="Z326" s="4"/>
      <c r="AA326" s="4"/>
      <c r="AB326" s="4"/>
      <c r="AC326" s="4"/>
      <c r="AD326" s="5"/>
    </row>
    <row r="327" spans="1:30" ht="25.5" x14ac:dyDescent="0.25">
      <c r="A327" s="6">
        <v>282</v>
      </c>
      <c r="B327" s="3" t="s">
        <v>696</v>
      </c>
      <c r="C327" s="3" t="s">
        <v>697</v>
      </c>
      <c r="D327" s="4">
        <f>_xlfn.XLOOKUP(C327,[1]Planilha2!$C$3:$C$329,[1]Planilha2!$I$3:$I$329)</f>
        <v>5</v>
      </c>
      <c r="E327" s="11"/>
      <c r="H327" s="11"/>
      <c r="I327" s="11"/>
      <c r="J327" s="4">
        <f>_xlfn.XLOOKUP(C327,[1]Planilha2!$C$3:$C$329,[1]Planilha2!$D$3:$D$329,"")</f>
        <v>5</v>
      </c>
      <c r="K327" s="8" t="s">
        <v>689</v>
      </c>
      <c r="L327" s="4">
        <f>_xlfn.XLOOKUP(C327,[1]Planilha2!$C$3:$C$329,[1]Planilha2!$J$3:$J$329,"")</f>
        <v>29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39"/>
      <c r="Z327" s="4"/>
      <c r="AA327" s="4"/>
      <c r="AB327" s="4"/>
      <c r="AC327" s="4"/>
      <c r="AD327" s="5"/>
    </row>
    <row r="328" spans="1:30" ht="25.5" x14ac:dyDescent="0.25">
      <c r="A328" s="6">
        <v>283</v>
      </c>
      <c r="B328" s="3" t="s">
        <v>698</v>
      </c>
      <c r="C328" s="3" t="s">
        <v>699</v>
      </c>
      <c r="D328" s="4">
        <f>_xlfn.XLOOKUP(C328,[1]Planilha2!$C$3:$C$329,[1]Planilha2!$I$3:$I$329)</f>
        <v>3</v>
      </c>
      <c r="E328" s="11"/>
      <c r="H328" s="11"/>
      <c r="I328" s="11"/>
      <c r="J328" s="4">
        <f>_xlfn.XLOOKUP(C328,[1]Planilha2!$C$3:$C$329,[1]Planilha2!$D$3:$D$329,"")</f>
        <v>13</v>
      </c>
      <c r="K328" s="8" t="s">
        <v>689</v>
      </c>
      <c r="L328" s="4">
        <f>_xlfn.XLOOKUP(C328,[1]Planilha2!$C$3:$C$329,[1]Planilha2!$J$3:$J$329,"")</f>
        <v>1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39"/>
      <c r="Z328" s="4"/>
      <c r="AA328" s="4"/>
      <c r="AB328" s="4"/>
      <c r="AC328" s="4"/>
      <c r="AD328" s="5"/>
    </row>
    <row r="329" spans="1:30" ht="26.25" thickBot="1" x14ac:dyDescent="0.3">
      <c r="A329" s="12">
        <v>284</v>
      </c>
      <c r="B329" s="13" t="s">
        <v>700</v>
      </c>
      <c r="C329" s="13" t="s">
        <v>701</v>
      </c>
      <c r="D329" s="14">
        <f>_xlfn.XLOOKUP(C329,[1]Planilha2!$C$3:$C$329,[1]Planilha2!$I$3:$I$329)</f>
        <v>3</v>
      </c>
      <c r="E329" s="15"/>
      <c r="H329" s="15"/>
      <c r="I329" s="15"/>
      <c r="J329" s="14">
        <f>_xlfn.XLOOKUP(C329,[1]Planilha2!$C$3:$C$329,[1]Planilha2!$D$3:$D$329,"")</f>
        <v>13</v>
      </c>
      <c r="K329" s="16" t="s">
        <v>689</v>
      </c>
      <c r="L329" s="14">
        <f>_xlfn.XLOOKUP(C329,[1]Planilha2!$C$3:$C$329,[1]Planilha2!$J$3:$J$329,"")</f>
        <v>2</v>
      </c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40"/>
      <c r="Z329" s="14"/>
      <c r="AA329" s="14"/>
      <c r="AB329" s="14"/>
      <c r="AC329" s="14"/>
      <c r="AD329" s="17"/>
    </row>
  </sheetData>
  <mergeCells count="12">
    <mergeCell ref="Z1:AD1"/>
    <mergeCell ref="K1:K2"/>
    <mergeCell ref="L1:L2"/>
    <mergeCell ref="M1:P1"/>
    <mergeCell ref="Q1:S1"/>
    <mergeCell ref="T1:X1"/>
    <mergeCell ref="J1:J2"/>
    <mergeCell ref="A1:A2"/>
    <mergeCell ref="B1:B2"/>
    <mergeCell ref="C1:C2"/>
    <mergeCell ref="D1:D2"/>
    <mergeCell ref="E1:I1"/>
  </mergeCells>
  <conditionalFormatting sqref="F12:F114 F115:G218 E137:E322 H137:I322 F220:G322 F219:H219">
    <cfRule type="cellIs" dxfId="5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69E4-B8F9-44D6-ACF1-59423263A6D1}">
  <dimension ref="A1:R122"/>
  <sheetViews>
    <sheetView workbookViewId="0">
      <pane xSplit="2" ySplit="3" topLeftCell="L60" activePane="bottomRight" state="frozen"/>
      <selection pane="topRight" activeCell="C1" sqref="C1"/>
      <selection pane="bottomLeft" activeCell="A4" sqref="A4"/>
      <selection pane="bottomRight" activeCell="L60" sqref="L60"/>
    </sheetView>
  </sheetViews>
  <sheetFormatPr defaultRowHeight="15" x14ac:dyDescent="0.25"/>
  <cols>
    <col min="2" max="2" width="21.7109375" customWidth="1"/>
    <col min="3" max="3" width="19" customWidth="1"/>
    <col min="4" max="4" width="17.85546875" customWidth="1"/>
    <col min="5" max="5" width="17" bestFit="1" customWidth="1"/>
    <col min="6" max="6" width="17" customWidth="1"/>
    <col min="7" max="7" width="16" bestFit="1" customWidth="1"/>
    <col min="8" max="8" width="17" bestFit="1" customWidth="1"/>
    <col min="9" max="9" width="17" customWidth="1"/>
    <col min="10" max="10" width="16" bestFit="1" customWidth="1"/>
    <col min="11" max="11" width="17" bestFit="1" customWidth="1"/>
    <col min="12" max="12" width="17" customWidth="1"/>
    <col min="13" max="13" width="16.28515625" customWidth="1"/>
    <col min="14" max="14" width="17" bestFit="1" customWidth="1"/>
    <col min="15" max="15" width="17" customWidth="1"/>
    <col min="16" max="16" width="19.42578125" customWidth="1"/>
    <col min="17" max="17" width="19.5703125" customWidth="1"/>
    <col min="18" max="18" width="13.85546875" customWidth="1"/>
  </cols>
  <sheetData>
    <row r="1" spans="1:18" ht="15.75" thickBot="1" x14ac:dyDescent="0.3"/>
    <row r="2" spans="1:18" ht="15" customHeight="1" thickBot="1" x14ac:dyDescent="0.3">
      <c r="A2" s="53" t="s">
        <v>0</v>
      </c>
      <c r="B2" s="55" t="s">
        <v>1</v>
      </c>
      <c r="C2" s="55" t="s">
        <v>2</v>
      </c>
      <c r="D2" s="63">
        <v>2024</v>
      </c>
      <c r="E2" s="64"/>
      <c r="F2" s="65"/>
      <c r="G2" s="63">
        <v>2023</v>
      </c>
      <c r="H2" s="64"/>
      <c r="I2" s="65"/>
      <c r="J2" s="63">
        <v>2022</v>
      </c>
      <c r="K2" s="64"/>
      <c r="L2" s="65"/>
      <c r="M2" s="63">
        <v>2021</v>
      </c>
      <c r="N2" s="64"/>
      <c r="O2" s="65"/>
      <c r="P2" s="63">
        <v>2020</v>
      </c>
      <c r="Q2" s="64"/>
      <c r="R2" s="65"/>
    </row>
    <row r="3" spans="1:18" ht="45" x14ac:dyDescent="0.25">
      <c r="A3" s="54"/>
      <c r="B3" s="56"/>
      <c r="C3" s="56"/>
      <c r="D3" s="22" t="s">
        <v>702</v>
      </c>
      <c r="E3" s="22" t="s">
        <v>703</v>
      </c>
      <c r="F3" s="22" t="s">
        <v>704</v>
      </c>
      <c r="G3" s="22" t="s">
        <v>702</v>
      </c>
      <c r="H3" s="22" t="s">
        <v>703</v>
      </c>
      <c r="I3" s="22" t="s">
        <v>704</v>
      </c>
      <c r="J3" s="22" t="s">
        <v>702</v>
      </c>
      <c r="K3" s="22" t="s">
        <v>703</v>
      </c>
      <c r="L3" s="22" t="s">
        <v>704</v>
      </c>
      <c r="M3" s="22" t="s">
        <v>702</v>
      </c>
      <c r="N3" s="22" t="s">
        <v>703</v>
      </c>
      <c r="O3" s="22" t="s">
        <v>704</v>
      </c>
      <c r="P3" s="22" t="s">
        <v>702</v>
      </c>
      <c r="Q3" s="22" t="s">
        <v>703</v>
      </c>
      <c r="R3" s="22" t="s">
        <v>704</v>
      </c>
    </row>
    <row r="4" spans="1:18" ht="38.25" x14ac:dyDescent="0.25">
      <c r="A4" s="2">
        <v>9</v>
      </c>
      <c r="B4" s="18" t="s">
        <v>18</v>
      </c>
      <c r="C4" s="19" t="s">
        <v>19</v>
      </c>
      <c r="D4" s="23">
        <v>2154962.52</v>
      </c>
      <c r="E4" s="25">
        <v>82183987.459999993</v>
      </c>
      <c r="F4" s="33">
        <f>D4/E4</f>
        <v>2.6221196933877759E-2</v>
      </c>
      <c r="G4" s="23">
        <v>1758030.76</v>
      </c>
      <c r="H4" s="25">
        <v>76566687.469999999</v>
      </c>
      <c r="I4" s="34">
        <f>G4/H4</f>
        <v>2.2960778611309563E-2</v>
      </c>
      <c r="J4" s="23">
        <v>1401446.19</v>
      </c>
      <c r="K4" s="25">
        <v>56261772.43</v>
      </c>
      <c r="L4" s="34">
        <f>J4/K4</f>
        <v>2.4909385706674225E-2</v>
      </c>
      <c r="M4" s="23">
        <v>1200140.03</v>
      </c>
      <c r="N4" s="25">
        <v>41800043.409999996</v>
      </c>
      <c r="O4" s="33">
        <f>M4/N4</f>
        <v>2.8711454153965917E-2</v>
      </c>
      <c r="P4" s="23">
        <v>1126608.8</v>
      </c>
      <c r="Q4" s="25">
        <v>20959334.07</v>
      </c>
      <c r="R4" s="33">
        <f>P4/Q4</f>
        <v>5.3752127631409997E-2</v>
      </c>
    </row>
    <row r="5" spans="1:18" ht="51" x14ac:dyDescent="0.25">
      <c r="A5" s="2">
        <v>20</v>
      </c>
      <c r="B5" s="18" t="s">
        <v>22</v>
      </c>
      <c r="C5" s="19" t="s">
        <v>23</v>
      </c>
      <c r="D5" s="23">
        <v>19845407.190000001</v>
      </c>
      <c r="E5" s="25">
        <v>114501854.13</v>
      </c>
      <c r="F5" s="33">
        <f t="shared" ref="F5:F67" si="0">D5/E5</f>
        <v>0.17331952692633662</v>
      </c>
      <c r="G5" s="23">
        <v>6547557.0599999996</v>
      </c>
      <c r="H5" s="25">
        <v>67600888.489999995</v>
      </c>
      <c r="I5" s="35">
        <f t="shared" ref="I5:I67" si="1">G5/H5</f>
        <v>9.6856079945880608E-2</v>
      </c>
      <c r="J5" s="23">
        <v>1786005.77</v>
      </c>
      <c r="K5" s="25">
        <v>28131257.449999999</v>
      </c>
      <c r="L5" s="35">
        <f t="shared" ref="L5:L67" si="2">J5/K5</f>
        <v>6.3488302048865575E-2</v>
      </c>
      <c r="M5" s="23">
        <v>801246.29</v>
      </c>
      <c r="N5" s="25">
        <v>12175869.609999999</v>
      </c>
      <c r="O5" s="33">
        <f t="shared" ref="O5:O67" si="3">M5/N5</f>
        <v>6.580608331596613E-2</v>
      </c>
      <c r="P5" s="23">
        <v>568424.89</v>
      </c>
      <c r="Q5" s="25">
        <v>6071381.3799999999</v>
      </c>
      <c r="R5" s="33">
        <f t="shared" ref="R5:R67" si="4">P5/Q5</f>
        <v>9.3623650767924588E-2</v>
      </c>
    </row>
    <row r="6" spans="1:18" ht="89.25" customHeight="1" x14ac:dyDescent="0.25">
      <c r="A6" s="2">
        <v>21</v>
      </c>
      <c r="B6" s="18" t="s">
        <v>25</v>
      </c>
      <c r="C6" s="19" t="s">
        <v>26</v>
      </c>
      <c r="D6" s="23"/>
      <c r="E6" s="25">
        <v>43545701.340000004</v>
      </c>
      <c r="F6" s="33">
        <f t="shared" si="0"/>
        <v>0</v>
      </c>
      <c r="G6" s="23"/>
      <c r="H6" s="25">
        <v>31258105.890000001</v>
      </c>
      <c r="I6" s="35">
        <f t="shared" si="1"/>
        <v>0</v>
      </c>
      <c r="J6" s="23"/>
      <c r="K6" s="25">
        <v>24548163.48</v>
      </c>
      <c r="L6" s="35">
        <f t="shared" si="2"/>
        <v>0</v>
      </c>
      <c r="M6" s="23"/>
      <c r="N6" s="25">
        <v>18283919.23</v>
      </c>
      <c r="O6" s="33">
        <f t="shared" si="3"/>
        <v>0</v>
      </c>
      <c r="P6" s="23"/>
      <c r="Q6" s="25">
        <v>11900778.960000001</v>
      </c>
      <c r="R6" s="33">
        <f t="shared" si="4"/>
        <v>0</v>
      </c>
    </row>
    <row r="7" spans="1:18" ht="38.25" x14ac:dyDescent="0.25">
      <c r="A7" s="2">
        <v>28</v>
      </c>
      <c r="B7" s="18" t="s">
        <v>27</v>
      </c>
      <c r="C7" s="19" t="s">
        <v>28</v>
      </c>
      <c r="D7" s="23">
        <v>1528228.24</v>
      </c>
      <c r="E7" s="25">
        <v>21932842.579999998</v>
      </c>
      <c r="F7" s="33">
        <f t="shared" si="0"/>
        <v>6.9677618595300209E-2</v>
      </c>
      <c r="G7" s="23">
        <v>1552315.15</v>
      </c>
      <c r="H7" s="25">
        <v>13595632.880000001</v>
      </c>
      <c r="I7" s="35">
        <f t="shared" si="1"/>
        <v>0.11417748358618519</v>
      </c>
      <c r="J7" s="23">
        <v>1409879.96</v>
      </c>
      <c r="K7" s="25">
        <v>11813053.720000001</v>
      </c>
      <c r="L7" s="35">
        <f t="shared" si="2"/>
        <v>0.11934932265761337</v>
      </c>
      <c r="M7" s="23">
        <v>1220516.42</v>
      </c>
      <c r="N7" s="25">
        <v>9430668.6199999992</v>
      </c>
      <c r="O7" s="33">
        <f t="shared" si="3"/>
        <v>0.1294199244167695</v>
      </c>
      <c r="P7" s="23">
        <v>1163760.3999999999</v>
      </c>
      <c r="Q7" s="25">
        <v>6118695.71</v>
      </c>
      <c r="R7" s="33">
        <f t="shared" si="4"/>
        <v>0.19019746285111472</v>
      </c>
    </row>
    <row r="8" spans="1:18" ht="38.25" x14ac:dyDescent="0.25">
      <c r="A8" s="2">
        <v>29</v>
      </c>
      <c r="B8" s="18" t="s">
        <v>29</v>
      </c>
      <c r="C8" s="19" t="s">
        <v>30</v>
      </c>
      <c r="D8" s="23">
        <v>1183536.71</v>
      </c>
      <c r="E8" s="25">
        <v>27015984.18</v>
      </c>
      <c r="F8" s="33">
        <f t="shared" si="0"/>
        <v>4.3808757886235922E-2</v>
      </c>
      <c r="G8" s="23">
        <v>814286.92</v>
      </c>
      <c r="H8" s="25">
        <v>21093190.809999999</v>
      </c>
      <c r="I8" s="35">
        <f t="shared" si="1"/>
        <v>3.8604255152044492E-2</v>
      </c>
      <c r="J8" s="23">
        <v>576951.23</v>
      </c>
      <c r="K8" s="25">
        <v>12829120.289999999</v>
      </c>
      <c r="L8" s="35">
        <f t="shared" si="2"/>
        <v>4.4972002519122069E-2</v>
      </c>
      <c r="M8" s="23">
        <v>488928.32</v>
      </c>
      <c r="N8" s="25">
        <v>9000180.6199999992</v>
      </c>
      <c r="O8" s="33">
        <f t="shared" si="3"/>
        <v>5.4324278660976479E-2</v>
      </c>
      <c r="P8" s="23">
        <v>449353.55</v>
      </c>
      <c r="Q8" s="25">
        <v>6820705.7400000002</v>
      </c>
      <c r="R8" s="33">
        <f t="shared" si="4"/>
        <v>6.5880799895056019E-2</v>
      </c>
    </row>
    <row r="9" spans="1:18" ht="25.5" x14ac:dyDescent="0.25">
      <c r="A9" s="2">
        <v>31</v>
      </c>
      <c r="B9" s="18" t="s">
        <v>31</v>
      </c>
      <c r="C9" s="19" t="s">
        <v>32</v>
      </c>
      <c r="D9" s="23">
        <v>1735541.91</v>
      </c>
      <c r="E9" s="25">
        <v>15107526.939999999</v>
      </c>
      <c r="F9" s="33">
        <f t="shared" si="0"/>
        <v>0.1148792861262308</v>
      </c>
      <c r="G9" s="23">
        <v>1735541.91</v>
      </c>
      <c r="H9" s="25">
        <v>11473934.359999999</v>
      </c>
      <c r="I9" s="35">
        <f t="shared" si="1"/>
        <v>0.15125952925531638</v>
      </c>
      <c r="J9" s="23">
        <v>1735541.91</v>
      </c>
      <c r="K9" s="25">
        <v>9041303.5899999999</v>
      </c>
      <c r="L9" s="35">
        <f t="shared" si="2"/>
        <v>0.19195704388464185</v>
      </c>
      <c r="M9" s="23">
        <v>1493035.44</v>
      </c>
      <c r="N9" s="25">
        <v>7157631.1600000001</v>
      </c>
      <c r="O9" s="33">
        <f t="shared" si="3"/>
        <v>0.20859351461748135</v>
      </c>
      <c r="P9" s="23">
        <v>1500785.23</v>
      </c>
      <c r="Q9" s="25">
        <v>5766841.0199999996</v>
      </c>
      <c r="R9" s="33">
        <f t="shared" si="4"/>
        <v>0.26024390559669008</v>
      </c>
    </row>
    <row r="10" spans="1:18" ht="51" x14ac:dyDescent="0.25">
      <c r="A10" s="2">
        <v>33</v>
      </c>
      <c r="B10" s="18" t="s">
        <v>33</v>
      </c>
      <c r="C10" s="19" t="s">
        <v>34</v>
      </c>
      <c r="D10" s="23"/>
      <c r="E10" s="26"/>
      <c r="F10" s="33" t="e">
        <f t="shared" si="0"/>
        <v>#DIV/0!</v>
      </c>
      <c r="G10" s="23"/>
      <c r="H10" s="26"/>
      <c r="I10" s="35" t="e">
        <f t="shared" si="1"/>
        <v>#DIV/0!</v>
      </c>
      <c r="J10" s="23"/>
      <c r="K10" s="26"/>
      <c r="L10" s="35" t="e">
        <f t="shared" si="2"/>
        <v>#DIV/0!</v>
      </c>
      <c r="M10" s="23">
        <v>575514.43000000005</v>
      </c>
      <c r="N10" s="25">
        <v>9373744.9499999993</v>
      </c>
      <c r="O10" s="33">
        <f t="shared" si="3"/>
        <v>6.1396425128891534E-2</v>
      </c>
      <c r="P10" s="23">
        <v>519133.32</v>
      </c>
      <c r="Q10" s="25">
        <v>6789271.9800000004</v>
      </c>
      <c r="R10" s="33">
        <f t="shared" si="4"/>
        <v>7.6463768358268069E-2</v>
      </c>
    </row>
    <row r="11" spans="1:18" ht="63.75" x14ac:dyDescent="0.25">
      <c r="A11" s="2">
        <v>36</v>
      </c>
      <c r="B11" s="18" t="s">
        <v>35</v>
      </c>
      <c r="C11" s="19" t="s">
        <v>36</v>
      </c>
      <c r="D11" s="23">
        <v>38737505.469999999</v>
      </c>
      <c r="E11" s="25">
        <v>47500951.049999997</v>
      </c>
      <c r="F11" s="33">
        <f t="shared" si="0"/>
        <v>0.81551010271824864</v>
      </c>
      <c r="G11" s="23">
        <v>31984453.789999999</v>
      </c>
      <c r="H11" s="25">
        <v>38305003.420000002</v>
      </c>
      <c r="I11" s="35">
        <f t="shared" si="1"/>
        <v>0.8349941504847932</v>
      </c>
      <c r="J11" s="23">
        <v>2831316.69</v>
      </c>
      <c r="K11" s="25">
        <v>18407612.289999999</v>
      </c>
      <c r="L11" s="35">
        <f t="shared" si="2"/>
        <v>0.15381227317233984</v>
      </c>
      <c r="M11" s="23"/>
      <c r="N11" s="26"/>
      <c r="O11" s="33" t="e">
        <f t="shared" si="3"/>
        <v>#DIV/0!</v>
      </c>
      <c r="P11" s="23"/>
      <c r="Q11" s="26"/>
      <c r="R11" s="33" t="e">
        <f t="shared" si="4"/>
        <v>#DIV/0!</v>
      </c>
    </row>
    <row r="12" spans="1:18" ht="38.25" x14ac:dyDescent="0.25">
      <c r="A12" s="2">
        <v>37</v>
      </c>
      <c r="B12" s="18" t="s">
        <v>37</v>
      </c>
      <c r="C12" s="19" t="s">
        <v>38</v>
      </c>
      <c r="D12" s="23">
        <v>620763.77</v>
      </c>
      <c r="E12" s="25">
        <v>13828833.029999999</v>
      </c>
      <c r="F12" s="33">
        <f t="shared" si="0"/>
        <v>4.488909285789533E-2</v>
      </c>
      <c r="G12" s="23">
        <v>567025.92000000004</v>
      </c>
      <c r="H12" s="25">
        <v>10289683.1</v>
      </c>
      <c r="I12" s="35">
        <f t="shared" si="1"/>
        <v>5.5106256868105108E-2</v>
      </c>
      <c r="J12" s="23"/>
      <c r="K12" s="26"/>
      <c r="L12" s="35" t="e">
        <f t="shared" si="2"/>
        <v>#DIV/0!</v>
      </c>
      <c r="M12" s="23"/>
      <c r="N12" s="26"/>
      <c r="O12" s="33" t="e">
        <f t="shared" si="3"/>
        <v>#DIV/0!</v>
      </c>
      <c r="P12" s="23"/>
      <c r="Q12" s="26"/>
      <c r="R12" s="33" t="e">
        <f t="shared" si="4"/>
        <v>#DIV/0!</v>
      </c>
    </row>
    <row r="13" spans="1:18" ht="38.25" x14ac:dyDescent="0.25">
      <c r="A13" s="2">
        <v>39</v>
      </c>
      <c r="B13" s="18" t="s">
        <v>39</v>
      </c>
      <c r="C13" s="19" t="s">
        <v>40</v>
      </c>
      <c r="D13" s="23">
        <v>391713.36</v>
      </c>
      <c r="E13" s="25">
        <v>1682241.3</v>
      </c>
      <c r="F13" s="33">
        <f t="shared" si="0"/>
        <v>0.23285206468299166</v>
      </c>
      <c r="G13" s="23">
        <v>426849.79</v>
      </c>
      <c r="H13" s="25">
        <v>1665116.68</v>
      </c>
      <c r="I13" s="35">
        <f t="shared" si="1"/>
        <v>0.25634827584575032</v>
      </c>
      <c r="J13" s="23">
        <v>363201.75</v>
      </c>
      <c r="K13" s="25">
        <v>1109337.5900000001</v>
      </c>
      <c r="L13" s="35">
        <f t="shared" si="2"/>
        <v>0.32740416738244665</v>
      </c>
      <c r="M13" s="23"/>
      <c r="N13" s="25">
        <v>0</v>
      </c>
      <c r="O13" s="33" t="e">
        <f t="shared" si="3"/>
        <v>#DIV/0!</v>
      </c>
      <c r="P13" s="23"/>
      <c r="Q13" s="25">
        <v>0</v>
      </c>
      <c r="R13" s="33" t="e">
        <f t="shared" si="4"/>
        <v>#DIV/0!</v>
      </c>
    </row>
    <row r="14" spans="1:18" ht="63.75" x14ac:dyDescent="0.25">
      <c r="A14" s="2">
        <v>41</v>
      </c>
      <c r="B14" s="18" t="s">
        <v>41</v>
      </c>
      <c r="C14" s="19" t="s">
        <v>42</v>
      </c>
      <c r="D14" s="23">
        <v>6149787.46</v>
      </c>
      <c r="E14" s="25">
        <v>62632485.960000001</v>
      </c>
      <c r="F14" s="33">
        <f t="shared" si="0"/>
        <v>9.8188461877874986E-2</v>
      </c>
      <c r="G14" s="23">
        <v>5242309.6100000003</v>
      </c>
      <c r="H14" s="25">
        <v>43970625.670000002</v>
      </c>
      <c r="I14" s="35">
        <f t="shared" si="1"/>
        <v>0.11922299330793217</v>
      </c>
      <c r="J14" s="23">
        <v>5061587.53</v>
      </c>
      <c r="K14" s="25">
        <v>36955860.890000001</v>
      </c>
      <c r="L14" s="35">
        <f t="shared" si="2"/>
        <v>0.13696305289886052</v>
      </c>
      <c r="M14" s="23">
        <v>4418168.54</v>
      </c>
      <c r="N14" s="25">
        <v>27869976.739999998</v>
      </c>
      <c r="O14" s="33">
        <f t="shared" si="3"/>
        <v>0.15852788759808634</v>
      </c>
      <c r="P14" s="23">
        <v>4224979.04</v>
      </c>
      <c r="Q14" s="25">
        <v>24683685.170000002</v>
      </c>
      <c r="R14" s="33">
        <f t="shared" si="4"/>
        <v>0.17116484069951374</v>
      </c>
    </row>
    <row r="15" spans="1:18" ht="51" x14ac:dyDescent="0.25">
      <c r="A15" s="2">
        <v>53</v>
      </c>
      <c r="B15" s="18" t="s">
        <v>43</v>
      </c>
      <c r="C15" s="19" t="s">
        <v>44</v>
      </c>
      <c r="D15" s="23">
        <v>969083.96</v>
      </c>
      <c r="E15" s="25">
        <v>1142262.17</v>
      </c>
      <c r="F15" s="33">
        <f t="shared" si="0"/>
        <v>0.84839013796631291</v>
      </c>
      <c r="G15" s="23">
        <v>922085.17</v>
      </c>
      <c r="H15" s="25">
        <v>1094488.47</v>
      </c>
      <c r="I15" s="35">
        <f t="shared" si="1"/>
        <v>0.84248047857461672</v>
      </c>
      <c r="J15" s="23">
        <v>909369.56</v>
      </c>
      <c r="K15" s="25">
        <v>1097160.58</v>
      </c>
      <c r="L15" s="35">
        <f t="shared" si="2"/>
        <v>0.82883907476880003</v>
      </c>
      <c r="M15" s="23">
        <v>736716.99</v>
      </c>
      <c r="N15" s="25">
        <v>945872.4</v>
      </c>
      <c r="O15" s="33">
        <f t="shared" si="3"/>
        <v>0.77887566018418553</v>
      </c>
      <c r="P15" s="23">
        <v>779808.54</v>
      </c>
      <c r="Q15" s="25">
        <v>870432.02</v>
      </c>
      <c r="R15" s="33">
        <f t="shared" si="4"/>
        <v>0.89588678045184966</v>
      </c>
    </row>
    <row r="16" spans="1:18" ht="38.25" x14ac:dyDescent="0.25">
      <c r="A16" s="2">
        <v>71</v>
      </c>
      <c r="B16" s="18" t="s">
        <v>46</v>
      </c>
      <c r="C16" s="19" t="s">
        <v>47</v>
      </c>
      <c r="D16" s="23">
        <v>479243.6</v>
      </c>
      <c r="E16" s="25">
        <v>40177252.619999997</v>
      </c>
      <c r="F16" s="33">
        <f t="shared" si="0"/>
        <v>1.1928232239589109E-2</v>
      </c>
      <c r="G16" s="23">
        <v>365342.75</v>
      </c>
      <c r="H16" s="25">
        <v>36377365.520000003</v>
      </c>
      <c r="I16" s="35">
        <f t="shared" si="1"/>
        <v>1.0043133821747957E-2</v>
      </c>
      <c r="J16" s="23">
        <v>1266744.1499999999</v>
      </c>
      <c r="K16" s="25">
        <v>27307703.899999999</v>
      </c>
      <c r="L16" s="35">
        <f t="shared" si="2"/>
        <v>4.6387794251716637E-2</v>
      </c>
      <c r="M16" s="23">
        <v>1001598.91</v>
      </c>
      <c r="N16" s="25">
        <v>20189683.25</v>
      </c>
      <c r="O16" s="33">
        <f t="shared" si="3"/>
        <v>4.9609441495324105E-2</v>
      </c>
      <c r="P16" s="23"/>
      <c r="Q16" s="26"/>
      <c r="R16" s="33" t="e">
        <f t="shared" si="4"/>
        <v>#DIV/0!</v>
      </c>
    </row>
    <row r="17" spans="1:18" ht="51" x14ac:dyDescent="0.25">
      <c r="A17" s="2">
        <v>73</v>
      </c>
      <c r="B17" s="18" t="s">
        <v>49</v>
      </c>
      <c r="C17" s="19" t="s">
        <v>50</v>
      </c>
      <c r="D17" s="23">
        <v>9721398.9499999993</v>
      </c>
      <c r="E17" s="25">
        <v>20752042.449999999</v>
      </c>
      <c r="F17" s="33">
        <f t="shared" si="0"/>
        <v>0.46845504356608519</v>
      </c>
      <c r="G17" s="23">
        <v>8337738.0499999998</v>
      </c>
      <c r="H17" s="25">
        <v>18915326.98</v>
      </c>
      <c r="I17" s="35">
        <f t="shared" si="1"/>
        <v>0.4407926999525757</v>
      </c>
      <c r="J17" s="23">
        <v>6243834.5700000003</v>
      </c>
      <c r="K17" s="25">
        <v>16399579.039999999</v>
      </c>
      <c r="L17" s="35">
        <f t="shared" si="2"/>
        <v>0.38073139284677643</v>
      </c>
      <c r="M17" s="23">
        <v>5820280.3200000003</v>
      </c>
      <c r="N17" s="25">
        <v>14961064.48</v>
      </c>
      <c r="O17" s="33">
        <f t="shared" si="3"/>
        <v>0.38902848976959958</v>
      </c>
      <c r="P17" s="23">
        <v>5415811.4800000004</v>
      </c>
      <c r="Q17" s="25">
        <v>13600960.039999999</v>
      </c>
      <c r="R17" s="33">
        <f t="shared" si="4"/>
        <v>0.39819332341777847</v>
      </c>
    </row>
    <row r="18" spans="1:18" ht="38.25" x14ac:dyDescent="0.25">
      <c r="A18" s="2">
        <v>74</v>
      </c>
      <c r="B18" s="18" t="s">
        <v>51</v>
      </c>
      <c r="C18" s="19" t="s">
        <v>52</v>
      </c>
      <c r="D18" s="23">
        <v>56003.55</v>
      </c>
      <c r="E18" s="25">
        <v>429792.62</v>
      </c>
      <c r="F18" s="33">
        <f t="shared" si="0"/>
        <v>0.13030365667981922</v>
      </c>
      <c r="G18" s="23">
        <v>56430.91</v>
      </c>
      <c r="H18" s="25">
        <v>250294.66</v>
      </c>
      <c r="I18" s="35">
        <f t="shared" si="1"/>
        <v>0.22545790629332643</v>
      </c>
      <c r="J18" s="23"/>
      <c r="K18" s="26"/>
      <c r="L18" s="35" t="e">
        <f t="shared" si="2"/>
        <v>#DIV/0!</v>
      </c>
      <c r="M18" s="23"/>
      <c r="N18" s="26"/>
      <c r="O18" s="33" t="e">
        <f t="shared" si="3"/>
        <v>#DIV/0!</v>
      </c>
      <c r="P18" s="23"/>
      <c r="Q18" s="26"/>
      <c r="R18" s="33" t="e">
        <f t="shared" si="4"/>
        <v>#DIV/0!</v>
      </c>
    </row>
    <row r="19" spans="1:18" ht="51" x14ac:dyDescent="0.25">
      <c r="A19" s="2">
        <v>75</v>
      </c>
      <c r="B19" s="18" t="s">
        <v>53</v>
      </c>
      <c r="C19" s="19" t="s">
        <v>54</v>
      </c>
      <c r="D19" s="23">
        <v>1299070.58</v>
      </c>
      <c r="E19" s="25">
        <v>4663878.1900000004</v>
      </c>
      <c r="F19" s="33">
        <f t="shared" si="0"/>
        <v>0.27853870257276164</v>
      </c>
      <c r="G19" s="23">
        <v>1055438.8</v>
      </c>
      <c r="H19" s="25">
        <v>4697919.47</v>
      </c>
      <c r="I19" s="35">
        <f t="shared" si="1"/>
        <v>0.22466089653937812</v>
      </c>
      <c r="J19" s="23">
        <v>798543.69</v>
      </c>
      <c r="K19" s="25">
        <v>5874746.7800000003</v>
      </c>
      <c r="L19" s="35">
        <f t="shared" si="2"/>
        <v>0.13592818889123251</v>
      </c>
      <c r="M19" s="23">
        <v>755096.06</v>
      </c>
      <c r="N19" s="25">
        <v>1705402.96</v>
      </c>
      <c r="O19" s="33">
        <f t="shared" si="3"/>
        <v>0.44276694582493281</v>
      </c>
      <c r="P19" s="23">
        <v>651489.48</v>
      </c>
      <c r="Q19" s="25">
        <v>1539174.74</v>
      </c>
      <c r="R19" s="33">
        <f t="shared" si="4"/>
        <v>0.42327194117024036</v>
      </c>
    </row>
    <row r="20" spans="1:18" ht="38.25" x14ac:dyDescent="0.25">
      <c r="A20" s="2">
        <v>76</v>
      </c>
      <c r="B20" s="18" t="s">
        <v>55</v>
      </c>
      <c r="C20" s="19" t="s">
        <v>56</v>
      </c>
      <c r="D20" s="23">
        <v>27305821.859999999</v>
      </c>
      <c r="E20" s="25">
        <v>91412410.890000001</v>
      </c>
      <c r="F20" s="33">
        <f t="shared" si="0"/>
        <v>0.29871022538567682</v>
      </c>
      <c r="G20" s="23">
        <v>19838770.550000001</v>
      </c>
      <c r="H20" s="25">
        <v>68697675.709999993</v>
      </c>
      <c r="I20" s="35">
        <f t="shared" si="1"/>
        <v>0.28878372295661475</v>
      </c>
      <c r="J20" s="23">
        <v>24534479.52</v>
      </c>
      <c r="K20" s="25">
        <v>56189746.859999999</v>
      </c>
      <c r="L20" s="35">
        <f t="shared" si="2"/>
        <v>0.436636235096931</v>
      </c>
      <c r="M20" s="23">
        <v>26087431.870000001</v>
      </c>
      <c r="N20" s="25">
        <v>48083201.729999997</v>
      </c>
      <c r="O20" s="33">
        <f t="shared" si="3"/>
        <v>0.54254772834155029</v>
      </c>
      <c r="P20" s="23">
        <v>23272414</v>
      </c>
      <c r="Q20" s="25">
        <v>41087585.109999999</v>
      </c>
      <c r="R20" s="33">
        <f t="shared" si="4"/>
        <v>0.56640987630922857</v>
      </c>
    </row>
    <row r="21" spans="1:18" ht="51" x14ac:dyDescent="0.25">
      <c r="A21" s="2">
        <v>79</v>
      </c>
      <c r="B21" s="18" t="s">
        <v>57</v>
      </c>
      <c r="C21" s="19" t="s">
        <v>58</v>
      </c>
      <c r="D21" s="23">
        <v>1062941.77</v>
      </c>
      <c r="E21" s="25">
        <v>6608315.8099999996</v>
      </c>
      <c r="F21" s="33">
        <f t="shared" si="0"/>
        <v>0.16084911807506369</v>
      </c>
      <c r="G21" s="23">
        <v>966242.14</v>
      </c>
      <c r="H21" s="25">
        <v>14249426.470000001</v>
      </c>
      <c r="I21" s="35">
        <f t="shared" si="1"/>
        <v>6.7809195130363722E-2</v>
      </c>
      <c r="J21" s="23">
        <v>866125.81</v>
      </c>
      <c r="K21" s="25">
        <v>7925286.5499999998</v>
      </c>
      <c r="L21" s="35">
        <f t="shared" si="2"/>
        <v>0.10928637148141981</v>
      </c>
      <c r="M21" s="23">
        <v>705599.46</v>
      </c>
      <c r="N21" s="25">
        <v>4192152.97</v>
      </c>
      <c r="O21" s="33">
        <f t="shared" si="3"/>
        <v>0.16831433992257203</v>
      </c>
      <c r="P21" s="23"/>
      <c r="Q21" s="25"/>
      <c r="R21" s="33" t="e">
        <f t="shared" si="4"/>
        <v>#DIV/0!</v>
      </c>
    </row>
    <row r="22" spans="1:18" ht="51" x14ac:dyDescent="0.25">
      <c r="A22" s="2">
        <v>81</v>
      </c>
      <c r="B22" s="18" t="s">
        <v>59</v>
      </c>
      <c r="C22" s="19" t="s">
        <v>60</v>
      </c>
      <c r="D22" s="23">
        <v>8210308.9000000004</v>
      </c>
      <c r="E22" s="25">
        <v>66943557.270000003</v>
      </c>
      <c r="F22" s="33">
        <f t="shared" si="0"/>
        <v>0.12264524376686145</v>
      </c>
      <c r="G22" s="23">
        <v>6121222.7999999998</v>
      </c>
      <c r="H22" s="25">
        <v>57803791.350000001</v>
      </c>
      <c r="I22" s="35">
        <f t="shared" si="1"/>
        <v>0.10589656244062268</v>
      </c>
      <c r="J22" s="23">
        <v>5640609.8499999996</v>
      </c>
      <c r="K22" s="25">
        <v>35972197.210000001</v>
      </c>
      <c r="L22" s="35">
        <f t="shared" si="2"/>
        <v>0.15680470717623979</v>
      </c>
      <c r="M22" s="23">
        <v>4236979.07</v>
      </c>
      <c r="N22" s="25">
        <v>21234862.98</v>
      </c>
      <c r="O22" s="33">
        <f t="shared" si="3"/>
        <v>0.19952938118746458</v>
      </c>
      <c r="P22" s="23">
        <v>3192333.47</v>
      </c>
      <c r="Q22" s="25">
        <v>10421052.41</v>
      </c>
      <c r="R22" s="33">
        <f t="shared" si="4"/>
        <v>0.30633503646298238</v>
      </c>
    </row>
    <row r="23" spans="1:18" ht="51" x14ac:dyDescent="0.25">
      <c r="A23" s="2">
        <v>82</v>
      </c>
      <c r="B23" s="18" t="s">
        <v>61</v>
      </c>
      <c r="C23" s="19" t="s">
        <v>62</v>
      </c>
      <c r="D23" s="23">
        <v>280766.03999999998</v>
      </c>
      <c r="E23" s="25">
        <v>731933.22</v>
      </c>
      <c r="F23" s="33">
        <f t="shared" si="0"/>
        <v>0.38359515913214048</v>
      </c>
      <c r="G23" s="23">
        <v>151032.01999999999</v>
      </c>
      <c r="H23" s="25">
        <v>3173056.11</v>
      </c>
      <c r="I23" s="35">
        <f t="shared" si="1"/>
        <v>4.7598282149507905E-2</v>
      </c>
      <c r="J23" s="23">
        <v>110914.99</v>
      </c>
      <c r="K23" s="25">
        <v>756505.02</v>
      </c>
      <c r="L23" s="35">
        <f t="shared" si="2"/>
        <v>0.14661500858249427</v>
      </c>
      <c r="M23" s="23">
        <v>95200.67</v>
      </c>
      <c r="N23" s="25">
        <v>162858.68</v>
      </c>
      <c r="O23" s="33">
        <f t="shared" si="3"/>
        <v>0.58456000011789366</v>
      </c>
      <c r="P23" s="23"/>
      <c r="Q23" s="25"/>
      <c r="R23" s="33" t="e">
        <f t="shared" si="4"/>
        <v>#DIV/0!</v>
      </c>
    </row>
    <row r="24" spans="1:18" ht="38.25" x14ac:dyDescent="0.25">
      <c r="A24" s="2">
        <v>119</v>
      </c>
      <c r="B24" s="18" t="s">
        <v>63</v>
      </c>
      <c r="C24" s="19" t="s">
        <v>64</v>
      </c>
      <c r="D24" s="23"/>
      <c r="E24" s="27"/>
      <c r="F24" s="33" t="e">
        <f t="shared" si="0"/>
        <v>#DIV/0!</v>
      </c>
      <c r="G24" s="23"/>
      <c r="H24" s="27"/>
      <c r="I24" s="35" t="e">
        <f t="shared" si="1"/>
        <v>#DIV/0!</v>
      </c>
      <c r="J24" s="23"/>
      <c r="K24" s="27"/>
      <c r="L24" s="35" t="e">
        <f t="shared" si="2"/>
        <v>#DIV/0!</v>
      </c>
      <c r="M24" s="23"/>
      <c r="N24" s="27"/>
      <c r="O24" s="33" t="e">
        <f t="shared" si="3"/>
        <v>#DIV/0!</v>
      </c>
      <c r="P24" s="23"/>
      <c r="Q24" s="27"/>
      <c r="R24" s="33" t="e">
        <f t="shared" si="4"/>
        <v>#DIV/0!</v>
      </c>
    </row>
    <row r="25" spans="1:18" ht="38.25" x14ac:dyDescent="0.25">
      <c r="A25" s="2">
        <v>120</v>
      </c>
      <c r="B25" s="18" t="s">
        <v>66</v>
      </c>
      <c r="C25" s="19" t="s">
        <v>67</v>
      </c>
      <c r="D25" s="23"/>
      <c r="E25" s="27"/>
      <c r="F25" s="33" t="e">
        <f t="shared" si="0"/>
        <v>#DIV/0!</v>
      </c>
      <c r="G25" s="23"/>
      <c r="H25" s="27"/>
      <c r="I25" s="35" t="e">
        <f t="shared" si="1"/>
        <v>#DIV/0!</v>
      </c>
      <c r="J25" s="23">
        <v>292910.53999999998</v>
      </c>
      <c r="K25" s="25">
        <v>45829539.25</v>
      </c>
      <c r="L25" s="35">
        <f t="shared" si="2"/>
        <v>6.39130449036753E-3</v>
      </c>
      <c r="M25" s="23">
        <v>269933.67</v>
      </c>
      <c r="N25" s="25">
        <v>33874911.609999999</v>
      </c>
      <c r="O25" s="33">
        <f t="shared" si="3"/>
        <v>7.9685424159251401E-3</v>
      </c>
      <c r="P25" s="23">
        <v>239250.71</v>
      </c>
      <c r="Q25" s="25">
        <v>27001199.170000002</v>
      </c>
      <c r="R25" s="33">
        <f t="shared" si="4"/>
        <v>8.8607438689546156E-3</v>
      </c>
    </row>
    <row r="26" spans="1:18" ht="38.25" x14ac:dyDescent="0.25">
      <c r="A26" s="2">
        <v>121</v>
      </c>
      <c r="B26" s="18" t="s">
        <v>68</v>
      </c>
      <c r="C26" s="19" t="s">
        <v>69</v>
      </c>
      <c r="D26" s="23">
        <v>910018.86</v>
      </c>
      <c r="E26" s="25">
        <v>63010519.18</v>
      </c>
      <c r="F26" s="33">
        <f t="shared" si="0"/>
        <v>1.4442332357243085E-2</v>
      </c>
      <c r="G26" s="23">
        <v>686149.44</v>
      </c>
      <c r="H26" s="25">
        <v>57346165.869999997</v>
      </c>
      <c r="I26" s="35">
        <f t="shared" si="1"/>
        <v>1.1965044734733544E-2</v>
      </c>
      <c r="J26" s="23"/>
      <c r="K26" s="25">
        <v>0</v>
      </c>
      <c r="L26" s="35" t="e">
        <f t="shared" si="2"/>
        <v>#DIV/0!</v>
      </c>
      <c r="M26" s="23"/>
      <c r="N26" s="25">
        <v>0</v>
      </c>
      <c r="O26" s="33" t="e">
        <f t="shared" si="3"/>
        <v>#DIV/0!</v>
      </c>
      <c r="P26" s="23"/>
      <c r="Q26" s="25">
        <v>0</v>
      </c>
      <c r="R26" s="33" t="e">
        <f t="shared" si="4"/>
        <v>#DIV/0!</v>
      </c>
    </row>
    <row r="27" spans="1:18" ht="51" x14ac:dyDescent="0.25">
      <c r="A27" s="2">
        <v>152</v>
      </c>
      <c r="B27" s="18" t="s">
        <v>70</v>
      </c>
      <c r="C27" s="19" t="s">
        <v>71</v>
      </c>
      <c r="D27" s="23">
        <v>1787360.68</v>
      </c>
      <c r="E27" s="25">
        <v>16111636.93</v>
      </c>
      <c r="F27" s="33">
        <f t="shared" si="0"/>
        <v>0.11093600779148143</v>
      </c>
      <c r="G27" s="23">
        <v>1859546.05</v>
      </c>
      <c r="H27" s="25">
        <v>6765375.0800000001</v>
      </c>
      <c r="I27" s="35">
        <f t="shared" si="1"/>
        <v>0.27486222537716271</v>
      </c>
      <c r="J27" s="23">
        <v>1413716.49</v>
      </c>
      <c r="K27" s="25">
        <v>5167594.99</v>
      </c>
      <c r="L27" s="35">
        <f t="shared" si="2"/>
        <v>0.27357339202002745</v>
      </c>
      <c r="M27" s="23">
        <v>1330233.94</v>
      </c>
      <c r="N27" s="25">
        <v>4605407.29</v>
      </c>
      <c r="O27" s="33">
        <f t="shared" si="3"/>
        <v>0.28884175844521232</v>
      </c>
      <c r="P27" s="23"/>
      <c r="Q27" s="25">
        <v>3770762.29</v>
      </c>
      <c r="R27" s="33">
        <f t="shared" si="4"/>
        <v>0</v>
      </c>
    </row>
    <row r="28" spans="1:18" ht="38.25" x14ac:dyDescent="0.25">
      <c r="A28" s="2">
        <v>157</v>
      </c>
      <c r="B28" s="18" t="s">
        <v>72</v>
      </c>
      <c r="C28" s="19" t="s">
        <v>73</v>
      </c>
      <c r="D28" s="23">
        <v>3084835.67</v>
      </c>
      <c r="E28" s="25">
        <v>15158912.43</v>
      </c>
      <c r="F28" s="33">
        <f t="shared" si="0"/>
        <v>0.20349980146959659</v>
      </c>
      <c r="G28" s="23">
        <v>2946357.97</v>
      </c>
      <c r="H28" s="25">
        <v>16489171.01</v>
      </c>
      <c r="I28" s="35">
        <f t="shared" si="1"/>
        <v>0.17868442071545962</v>
      </c>
      <c r="J28" s="23">
        <v>2819543.13</v>
      </c>
      <c r="K28" s="25">
        <v>11953225.49</v>
      </c>
      <c r="L28" s="35">
        <f t="shared" si="2"/>
        <v>0.23588136376736249</v>
      </c>
      <c r="M28" s="23">
        <v>2279598.16</v>
      </c>
      <c r="N28" s="25">
        <v>7504217.1600000001</v>
      </c>
      <c r="O28" s="33">
        <f t="shared" si="3"/>
        <v>0.30377561195204006</v>
      </c>
      <c r="P28" s="23"/>
      <c r="Q28" s="26"/>
      <c r="R28" s="33" t="e">
        <f t="shared" si="4"/>
        <v>#DIV/0!</v>
      </c>
    </row>
    <row r="29" spans="1:18" ht="38.25" x14ac:dyDescent="0.25">
      <c r="A29" s="2">
        <v>162</v>
      </c>
      <c r="B29" s="18" t="s">
        <v>74</v>
      </c>
      <c r="C29" s="19" t="s">
        <v>75</v>
      </c>
      <c r="D29" s="23"/>
      <c r="E29" s="26"/>
      <c r="F29" s="33" t="e">
        <f t="shared" si="0"/>
        <v>#DIV/0!</v>
      </c>
      <c r="G29" s="23"/>
      <c r="H29" s="26"/>
      <c r="I29" s="35" t="e">
        <f t="shared" si="1"/>
        <v>#DIV/0!</v>
      </c>
      <c r="J29" s="23"/>
      <c r="K29" s="26"/>
      <c r="L29" s="35" t="e">
        <f t="shared" si="2"/>
        <v>#DIV/0!</v>
      </c>
      <c r="M29" s="23">
        <v>1769442.09</v>
      </c>
      <c r="N29" s="25">
        <v>13898371.710000001</v>
      </c>
      <c r="O29" s="33">
        <f t="shared" si="3"/>
        <v>0.12731290592313566</v>
      </c>
      <c r="P29" s="23">
        <v>1809263.03</v>
      </c>
      <c r="Q29" s="25">
        <v>12044828.49</v>
      </c>
      <c r="R29" s="33">
        <f t="shared" si="4"/>
        <v>0.15021077564550692</v>
      </c>
    </row>
    <row r="30" spans="1:18" ht="51" x14ac:dyDescent="0.25">
      <c r="A30" s="2">
        <v>165</v>
      </c>
      <c r="B30" s="18" t="s">
        <v>76</v>
      </c>
      <c r="C30" s="19" t="s">
        <v>77</v>
      </c>
      <c r="D30" s="23">
        <v>19704237.859999999</v>
      </c>
      <c r="E30" s="25">
        <v>19808024.289999999</v>
      </c>
      <c r="F30" s="33">
        <f t="shared" si="0"/>
        <v>0.99476038455524329</v>
      </c>
      <c r="G30" s="23"/>
      <c r="H30" s="25">
        <v>0</v>
      </c>
      <c r="I30" s="35" t="e">
        <f t="shared" si="1"/>
        <v>#DIV/0!</v>
      </c>
      <c r="J30" s="23"/>
      <c r="K30" s="25">
        <v>0</v>
      </c>
      <c r="L30" s="35" t="e">
        <f t="shared" si="2"/>
        <v>#DIV/0!</v>
      </c>
      <c r="M30" s="23"/>
      <c r="N30" s="25">
        <v>0</v>
      </c>
      <c r="O30" s="33" t="e">
        <f t="shared" si="3"/>
        <v>#DIV/0!</v>
      </c>
      <c r="P30" s="23"/>
      <c r="Q30" s="25">
        <v>0</v>
      </c>
      <c r="R30" s="33" t="e">
        <f t="shared" si="4"/>
        <v>#DIV/0!</v>
      </c>
    </row>
    <row r="31" spans="1:18" ht="38.25" x14ac:dyDescent="0.25">
      <c r="A31" s="2">
        <v>169</v>
      </c>
      <c r="B31" s="18" t="s">
        <v>78</v>
      </c>
      <c r="C31" s="19" t="s">
        <v>79</v>
      </c>
      <c r="D31" s="23"/>
      <c r="E31" s="25">
        <v>17982611.52</v>
      </c>
      <c r="F31" s="33">
        <f t="shared" si="0"/>
        <v>0</v>
      </c>
      <c r="G31" s="23"/>
      <c r="H31" s="25">
        <v>14456157.59</v>
      </c>
      <c r="I31" s="35">
        <f t="shared" si="1"/>
        <v>0</v>
      </c>
      <c r="J31" s="23"/>
      <c r="K31" s="25">
        <v>11430346.939999999</v>
      </c>
      <c r="L31" s="35">
        <f t="shared" si="2"/>
        <v>0</v>
      </c>
      <c r="M31" s="23"/>
      <c r="N31" s="25">
        <v>9411471.0700000003</v>
      </c>
      <c r="O31" s="33">
        <f t="shared" si="3"/>
        <v>0</v>
      </c>
      <c r="P31" s="23"/>
      <c r="Q31" s="25">
        <v>7719591.9800000004</v>
      </c>
      <c r="R31" s="33">
        <f t="shared" si="4"/>
        <v>0</v>
      </c>
    </row>
    <row r="32" spans="1:18" ht="38.25" x14ac:dyDescent="0.25">
      <c r="A32" s="2">
        <v>172</v>
      </c>
      <c r="B32" s="18" t="s">
        <v>80</v>
      </c>
      <c r="C32" s="19" t="s">
        <v>81</v>
      </c>
      <c r="D32" s="23"/>
      <c r="E32" s="25">
        <v>26199016.530000001</v>
      </c>
      <c r="F32" s="33">
        <f t="shared" si="0"/>
        <v>0</v>
      </c>
      <c r="G32" s="23"/>
      <c r="H32" s="25">
        <v>14441581.35</v>
      </c>
      <c r="I32" s="35">
        <f t="shared" si="1"/>
        <v>0</v>
      </c>
      <c r="J32" s="23"/>
      <c r="K32" s="25">
        <v>9948100.9700000007</v>
      </c>
      <c r="L32" s="35">
        <f t="shared" si="2"/>
        <v>0</v>
      </c>
      <c r="M32" s="23"/>
      <c r="N32" s="25">
        <v>7159573.1100000003</v>
      </c>
      <c r="O32" s="33">
        <f t="shared" si="3"/>
        <v>0</v>
      </c>
      <c r="P32" s="23"/>
      <c r="Q32" s="25">
        <v>5156297.5999999996</v>
      </c>
      <c r="R32" s="33">
        <f t="shared" si="4"/>
        <v>0</v>
      </c>
    </row>
    <row r="33" spans="1:18" ht="51" x14ac:dyDescent="0.25">
      <c r="A33" s="2">
        <v>181</v>
      </c>
      <c r="B33" s="18" t="s">
        <v>82</v>
      </c>
      <c r="C33" s="19" t="s">
        <v>83</v>
      </c>
      <c r="D33" s="23">
        <v>1104097.78</v>
      </c>
      <c r="E33" s="25">
        <v>20220173.859999999</v>
      </c>
      <c r="F33" s="33">
        <f t="shared" si="0"/>
        <v>5.4603772828291597E-2</v>
      </c>
      <c r="G33" s="23">
        <v>1045242.68</v>
      </c>
      <c r="H33" s="25">
        <v>18955318.25</v>
      </c>
      <c r="I33" s="35">
        <f t="shared" si="1"/>
        <v>5.5142449533919065E-2</v>
      </c>
      <c r="J33" s="23">
        <v>843357.09</v>
      </c>
      <c r="K33" s="25">
        <v>9552622.7200000007</v>
      </c>
      <c r="L33" s="35">
        <f t="shared" si="2"/>
        <v>8.8285397080980904E-2</v>
      </c>
      <c r="M33" s="23">
        <v>777995.43</v>
      </c>
      <c r="N33" s="25">
        <v>6641705.7800000003</v>
      </c>
      <c r="O33" s="33">
        <f t="shared" si="3"/>
        <v>0.1171378943558081</v>
      </c>
      <c r="P33" s="23">
        <v>689280.29</v>
      </c>
      <c r="Q33" s="25">
        <v>4670743.22</v>
      </c>
      <c r="R33" s="33">
        <f t="shared" si="4"/>
        <v>0.14757400643403387</v>
      </c>
    </row>
    <row r="34" spans="1:18" ht="38.25" x14ac:dyDescent="0.25">
      <c r="A34" s="2">
        <v>183</v>
      </c>
      <c r="B34" s="3" t="s">
        <v>84</v>
      </c>
      <c r="C34" s="19" t="s">
        <v>85</v>
      </c>
      <c r="D34" s="23">
        <v>13132260.82</v>
      </c>
      <c r="E34" s="25">
        <v>50217891.990000002</v>
      </c>
      <c r="F34" s="33">
        <f t="shared" si="0"/>
        <v>0.26150561681511952</v>
      </c>
      <c r="G34" s="23">
        <v>11761152.380000001</v>
      </c>
      <c r="H34" s="25">
        <v>42924740.659999996</v>
      </c>
      <c r="I34" s="35">
        <f t="shared" si="1"/>
        <v>0.27399472190544394</v>
      </c>
      <c r="J34" s="23">
        <v>10345860</v>
      </c>
      <c r="K34" s="25">
        <v>37745960.409999996</v>
      </c>
      <c r="L34" s="35">
        <f t="shared" si="2"/>
        <v>0.27409184685254645</v>
      </c>
      <c r="M34" s="23">
        <v>8034002.2199999997</v>
      </c>
      <c r="N34" s="25">
        <v>29627075.629999999</v>
      </c>
      <c r="O34" s="33">
        <f t="shared" si="3"/>
        <v>0.27117094917950224</v>
      </c>
      <c r="P34" s="23">
        <v>7478092.8700000001</v>
      </c>
      <c r="Q34" s="25">
        <v>21736227.41</v>
      </c>
      <c r="R34" s="33">
        <f t="shared" si="4"/>
        <v>0.3440382145873031</v>
      </c>
    </row>
    <row r="35" spans="1:18" ht="51" x14ac:dyDescent="0.25">
      <c r="A35" s="2">
        <v>234</v>
      </c>
      <c r="B35" s="18" t="s">
        <v>86</v>
      </c>
      <c r="C35" s="19" t="s">
        <v>87</v>
      </c>
      <c r="D35" s="23"/>
      <c r="E35" s="25">
        <v>8138204.8499999996</v>
      </c>
      <c r="F35" s="33">
        <f t="shared" si="0"/>
        <v>0</v>
      </c>
      <c r="G35" s="23"/>
      <c r="H35" s="25">
        <v>7440562.6900000004</v>
      </c>
      <c r="I35" s="35">
        <f t="shared" si="1"/>
        <v>0</v>
      </c>
      <c r="J35" s="23"/>
      <c r="K35" s="25">
        <v>5870370.46</v>
      </c>
      <c r="L35" s="35">
        <f t="shared" si="2"/>
        <v>0</v>
      </c>
      <c r="M35" s="23"/>
      <c r="N35" s="25">
        <v>0</v>
      </c>
      <c r="O35" s="33" t="e">
        <f t="shared" si="3"/>
        <v>#DIV/0!</v>
      </c>
      <c r="P35" s="23"/>
      <c r="Q35" s="25">
        <v>0</v>
      </c>
      <c r="R35" s="33" t="e">
        <f t="shared" si="4"/>
        <v>#DIV/0!</v>
      </c>
    </row>
    <row r="36" spans="1:18" ht="38.25" x14ac:dyDescent="0.25">
      <c r="A36" s="2">
        <v>236</v>
      </c>
      <c r="B36" s="18" t="s">
        <v>88</v>
      </c>
      <c r="C36" s="19" t="s">
        <v>89</v>
      </c>
      <c r="D36" s="23">
        <v>671869.05</v>
      </c>
      <c r="E36" s="25">
        <v>12968337.109999999</v>
      </c>
      <c r="F36" s="33">
        <f t="shared" si="0"/>
        <v>5.1808419560740435E-2</v>
      </c>
      <c r="G36" s="23">
        <v>364831.96</v>
      </c>
      <c r="H36" s="25">
        <v>2583556.5</v>
      </c>
      <c r="I36" s="35">
        <f t="shared" si="1"/>
        <v>0.14121307585106035</v>
      </c>
      <c r="J36" s="23">
        <v>301149.08</v>
      </c>
      <c r="K36" s="25">
        <v>2688316.76</v>
      </c>
      <c r="L36" s="35">
        <f t="shared" si="2"/>
        <v>0.11202142711783712</v>
      </c>
      <c r="M36" s="23">
        <v>21261.34</v>
      </c>
      <c r="N36" s="25">
        <v>31611.34</v>
      </c>
      <c r="O36" s="33">
        <f t="shared" si="3"/>
        <v>0.67258585052073083</v>
      </c>
      <c r="P36" s="23">
        <v>79810.490000000005</v>
      </c>
      <c r="Q36" s="25">
        <v>141259.64000000001</v>
      </c>
      <c r="R36" s="33">
        <f t="shared" si="4"/>
        <v>0.56499145828206843</v>
      </c>
    </row>
    <row r="37" spans="1:18" ht="51" x14ac:dyDescent="0.25">
      <c r="A37" s="2">
        <v>265</v>
      </c>
      <c r="B37" s="18" t="s">
        <v>90</v>
      </c>
      <c r="C37" s="19" t="s">
        <v>91</v>
      </c>
      <c r="D37" s="23">
        <v>5615813.6699999999</v>
      </c>
      <c r="E37" s="25">
        <v>15356976.15</v>
      </c>
      <c r="F37" s="33">
        <f t="shared" si="0"/>
        <v>0.3656848597762522</v>
      </c>
      <c r="G37" s="23">
        <v>4971946.63</v>
      </c>
      <c r="H37" s="25">
        <v>12711138.539999999</v>
      </c>
      <c r="I37" s="35">
        <f t="shared" si="1"/>
        <v>0.39114880341788805</v>
      </c>
      <c r="J37" s="23">
        <v>4348622</v>
      </c>
      <c r="K37" s="25">
        <v>11605748.42</v>
      </c>
      <c r="L37" s="35">
        <f t="shared" si="2"/>
        <v>0.37469552523696703</v>
      </c>
      <c r="M37" s="23">
        <v>3329841.01</v>
      </c>
      <c r="N37" s="25">
        <v>10423426.060000001</v>
      </c>
      <c r="O37" s="33">
        <f t="shared" si="3"/>
        <v>0.31945744046463737</v>
      </c>
      <c r="P37" s="23"/>
      <c r="Q37" s="26"/>
      <c r="R37" s="33" t="e">
        <f t="shared" si="4"/>
        <v>#DIV/0!</v>
      </c>
    </row>
    <row r="38" spans="1:18" ht="38.25" x14ac:dyDescent="0.25">
      <c r="A38" s="2">
        <v>266</v>
      </c>
      <c r="B38" s="18" t="s">
        <v>92</v>
      </c>
      <c r="C38" s="19" t="s">
        <v>93</v>
      </c>
      <c r="D38" s="23">
        <v>1364565.64</v>
      </c>
      <c r="E38" s="25">
        <v>60363284.859999999</v>
      </c>
      <c r="F38" s="33">
        <f t="shared" si="0"/>
        <v>2.2605887720736607E-2</v>
      </c>
      <c r="G38" s="23">
        <v>1134492.8999999999</v>
      </c>
      <c r="H38" s="25">
        <v>60029160.960000001</v>
      </c>
      <c r="I38" s="35">
        <f t="shared" si="1"/>
        <v>1.8899029769147715E-2</v>
      </c>
      <c r="J38" s="23">
        <v>877648.06</v>
      </c>
      <c r="K38" s="25">
        <v>49124894.07</v>
      </c>
      <c r="L38" s="35">
        <f t="shared" si="2"/>
        <v>1.7865647888205209E-2</v>
      </c>
      <c r="M38" s="23">
        <v>753176.33</v>
      </c>
      <c r="N38" s="25">
        <v>36086763.060000002</v>
      </c>
      <c r="O38" s="33">
        <f t="shared" si="3"/>
        <v>2.0871263203843585E-2</v>
      </c>
      <c r="P38" s="23">
        <v>754480.13</v>
      </c>
      <c r="Q38" s="25">
        <v>33892092.460000001</v>
      </c>
      <c r="R38" s="33">
        <f t="shared" si="4"/>
        <v>2.2261243707229046E-2</v>
      </c>
    </row>
    <row r="39" spans="1:18" ht="25.5" x14ac:dyDescent="0.25">
      <c r="A39" s="2">
        <v>267</v>
      </c>
      <c r="B39" s="18" t="s">
        <v>94</v>
      </c>
      <c r="C39" s="19" t="s">
        <v>95</v>
      </c>
      <c r="D39" s="23">
        <v>660273.02</v>
      </c>
      <c r="E39" s="25">
        <v>15800464.699999999</v>
      </c>
      <c r="F39" s="33">
        <f t="shared" si="0"/>
        <v>4.1788202596345157E-2</v>
      </c>
      <c r="G39" s="23">
        <v>664923.17000000004</v>
      </c>
      <c r="H39" s="25">
        <v>8355869.3700000001</v>
      </c>
      <c r="I39" s="35">
        <f t="shared" si="1"/>
        <v>7.9575582211381557E-2</v>
      </c>
      <c r="J39" s="23">
        <v>710371.91</v>
      </c>
      <c r="K39" s="25">
        <v>6283745.1299999999</v>
      </c>
      <c r="L39" s="35">
        <f t="shared" si="2"/>
        <v>0.11304912839455028</v>
      </c>
      <c r="M39" s="23">
        <v>650390.57999999996</v>
      </c>
      <c r="N39" s="25">
        <v>5141253.8899999997</v>
      </c>
      <c r="O39" s="33">
        <f t="shared" si="3"/>
        <v>0.12650427189854263</v>
      </c>
      <c r="P39" s="23">
        <v>640743.85</v>
      </c>
      <c r="Q39" s="25">
        <v>3709222.4</v>
      </c>
      <c r="R39" s="33">
        <f t="shared" si="4"/>
        <v>0.17274344347753318</v>
      </c>
    </row>
    <row r="40" spans="1:18" ht="38.25" x14ac:dyDescent="0.25">
      <c r="A40" s="2">
        <v>268</v>
      </c>
      <c r="B40" s="18" t="s">
        <v>96</v>
      </c>
      <c r="C40" s="19" t="s">
        <v>97</v>
      </c>
      <c r="D40" s="23">
        <v>3095681.42</v>
      </c>
      <c r="E40" s="25">
        <v>20420530.899999999</v>
      </c>
      <c r="F40" s="33">
        <f t="shared" si="0"/>
        <v>0.15159651995139853</v>
      </c>
      <c r="G40" s="23">
        <v>2803184.07</v>
      </c>
      <c r="H40" s="25">
        <v>14347682.16</v>
      </c>
      <c r="I40" s="35">
        <f t="shared" si="1"/>
        <v>0.19537539504569007</v>
      </c>
      <c r="J40" s="23">
        <v>2555121.09</v>
      </c>
      <c r="K40" s="25">
        <v>11351507.41</v>
      </c>
      <c r="L40" s="35">
        <f t="shared" si="2"/>
        <v>0.22509090623057609</v>
      </c>
      <c r="M40" s="23"/>
      <c r="N40" s="25">
        <v>8784319.75</v>
      </c>
      <c r="O40" s="33">
        <f t="shared" si="3"/>
        <v>0</v>
      </c>
      <c r="P40" s="23"/>
      <c r="Q40" s="31">
        <v>7479817.3700000001</v>
      </c>
      <c r="R40" s="33">
        <f t="shared" si="4"/>
        <v>0</v>
      </c>
    </row>
    <row r="41" spans="1:18" ht="38.25" x14ac:dyDescent="0.25">
      <c r="A41" s="2">
        <v>269</v>
      </c>
      <c r="B41" s="18" t="s">
        <v>98</v>
      </c>
      <c r="C41" s="19" t="s">
        <v>99</v>
      </c>
      <c r="D41" s="23">
        <v>22243478.690000001</v>
      </c>
      <c r="E41" s="25">
        <v>33686820.280000001</v>
      </c>
      <c r="F41" s="33">
        <f t="shared" si="0"/>
        <v>0.66030211534111583</v>
      </c>
      <c r="G41" s="23">
        <v>21216579.780000001</v>
      </c>
      <c r="H41" s="25">
        <v>31132128.68</v>
      </c>
      <c r="I41" s="35">
        <f t="shared" si="1"/>
        <v>0.68150109483615307</v>
      </c>
      <c r="J41" s="23">
        <v>19170879.420000002</v>
      </c>
      <c r="K41" s="25">
        <v>26861600.440000001</v>
      </c>
      <c r="L41" s="35">
        <f t="shared" si="2"/>
        <v>0.71369088609673326</v>
      </c>
      <c r="M41" s="23">
        <v>17819688.460000001</v>
      </c>
      <c r="N41" s="25">
        <v>24180560.809999999</v>
      </c>
      <c r="O41" s="33">
        <f t="shared" si="3"/>
        <v>0.73694272850076226</v>
      </c>
      <c r="P41" s="23"/>
      <c r="Q41" s="26"/>
      <c r="R41" s="33" t="e">
        <f t="shared" si="4"/>
        <v>#DIV/0!</v>
      </c>
    </row>
    <row r="42" spans="1:18" ht="38.25" x14ac:dyDescent="0.25">
      <c r="A42" s="2">
        <v>270</v>
      </c>
      <c r="B42" s="18" t="s">
        <v>100</v>
      </c>
      <c r="C42" s="19" t="s">
        <v>101</v>
      </c>
      <c r="D42" s="23">
        <v>197402.07</v>
      </c>
      <c r="E42" s="25">
        <v>1353072.8</v>
      </c>
      <c r="F42" s="33">
        <f t="shared" si="0"/>
        <v>0.14589168446812323</v>
      </c>
      <c r="G42" s="23">
        <v>308643.7</v>
      </c>
      <c r="H42" s="25">
        <v>945404.59</v>
      </c>
      <c r="I42" s="35">
        <f t="shared" si="1"/>
        <v>0.32646731702455561</v>
      </c>
      <c r="J42" s="23">
        <v>226527.49</v>
      </c>
      <c r="K42" s="25">
        <v>2570155.15</v>
      </c>
      <c r="L42" s="35">
        <f t="shared" si="2"/>
        <v>8.8137671377543109E-2</v>
      </c>
      <c r="M42" s="23">
        <v>184450</v>
      </c>
      <c r="N42" s="25">
        <v>312721.71000000002</v>
      </c>
      <c r="O42" s="33">
        <f t="shared" si="3"/>
        <v>0.5898215381336972</v>
      </c>
      <c r="P42" s="23">
        <v>181502.99</v>
      </c>
      <c r="Q42" s="25">
        <v>333177.74</v>
      </c>
      <c r="R42" s="33">
        <f t="shared" si="4"/>
        <v>0.54476325459197839</v>
      </c>
    </row>
    <row r="43" spans="1:18" ht="38.25" x14ac:dyDescent="0.25">
      <c r="A43" s="2">
        <v>272</v>
      </c>
      <c r="B43" s="3" t="s">
        <v>102</v>
      </c>
      <c r="C43" s="19" t="s">
        <v>103</v>
      </c>
      <c r="D43" s="23"/>
      <c r="E43" s="28"/>
      <c r="F43" s="33" t="e">
        <f t="shared" si="0"/>
        <v>#DIV/0!</v>
      </c>
      <c r="G43" s="23">
        <v>4462267.9800000004</v>
      </c>
      <c r="H43" s="25">
        <v>37334819.829999998</v>
      </c>
      <c r="I43" s="35">
        <f t="shared" si="1"/>
        <v>0.11952027625467185</v>
      </c>
      <c r="J43" s="23">
        <v>4230545.3600000003</v>
      </c>
      <c r="K43" s="25">
        <v>30568953.550000001</v>
      </c>
      <c r="L43" s="35">
        <f t="shared" si="2"/>
        <v>0.13839352901237931</v>
      </c>
      <c r="M43" s="23">
        <v>4512529.5599999996</v>
      </c>
      <c r="N43" s="25">
        <v>23758297.41</v>
      </c>
      <c r="O43" s="33">
        <f t="shared" si="3"/>
        <v>0.18993488809937412</v>
      </c>
      <c r="P43" s="23"/>
      <c r="Q43" s="26"/>
      <c r="R43" s="33" t="e">
        <f t="shared" si="4"/>
        <v>#DIV/0!</v>
      </c>
    </row>
    <row r="44" spans="1:18" ht="51" x14ac:dyDescent="0.25">
      <c r="A44" s="2">
        <v>273</v>
      </c>
      <c r="B44" s="3" t="s">
        <v>104</v>
      </c>
      <c r="C44" s="19" t="s">
        <v>105</v>
      </c>
      <c r="D44" s="23">
        <v>68705532.040000007</v>
      </c>
      <c r="E44" s="25">
        <v>390053096.42000002</v>
      </c>
      <c r="F44" s="33">
        <f t="shared" si="0"/>
        <v>0.17614404979884971</v>
      </c>
      <c r="G44" s="23">
        <v>55748395.460000001</v>
      </c>
      <c r="H44" s="25">
        <v>316862535.31999999</v>
      </c>
      <c r="I44" s="35">
        <f t="shared" si="1"/>
        <v>0.17593874076561183</v>
      </c>
      <c r="J44" s="23">
        <v>54224377.390000001</v>
      </c>
      <c r="K44" s="25">
        <v>257686530.40000001</v>
      </c>
      <c r="L44" s="35">
        <f t="shared" si="2"/>
        <v>0.21042767468609605</v>
      </c>
      <c r="M44" s="23">
        <v>36633269.630000003</v>
      </c>
      <c r="N44" s="25">
        <v>163967833.21000001</v>
      </c>
      <c r="O44" s="33">
        <f t="shared" si="3"/>
        <v>0.22341741616529348</v>
      </c>
      <c r="P44" s="23">
        <v>29849611.129999999</v>
      </c>
      <c r="Q44" s="25">
        <v>110289739.77</v>
      </c>
      <c r="R44" s="33">
        <f t="shared" si="4"/>
        <v>0.27064721697819633</v>
      </c>
    </row>
    <row r="45" spans="1:18" ht="38.25" x14ac:dyDescent="0.25">
      <c r="A45" s="2">
        <v>274</v>
      </c>
      <c r="B45" s="18" t="s">
        <v>106</v>
      </c>
      <c r="C45" s="19" t="s">
        <v>107</v>
      </c>
      <c r="D45" s="23">
        <v>5443860.3799999999</v>
      </c>
      <c r="E45" s="25">
        <v>35026513.710000001</v>
      </c>
      <c r="F45" s="33">
        <f t="shared" si="0"/>
        <v>0.15542113112004602</v>
      </c>
      <c r="G45" s="23">
        <v>4980881.6500000004</v>
      </c>
      <c r="H45" s="25">
        <v>50553207.130000003</v>
      </c>
      <c r="I45" s="35">
        <f t="shared" si="1"/>
        <v>9.8527510572997357E-2</v>
      </c>
      <c r="J45" s="23"/>
      <c r="K45" s="26"/>
      <c r="L45" s="35" t="e">
        <f t="shared" si="2"/>
        <v>#DIV/0!</v>
      </c>
      <c r="M45" s="23">
        <v>3811601.4</v>
      </c>
      <c r="N45" s="25">
        <v>31181983.960000001</v>
      </c>
      <c r="O45" s="33">
        <f t="shared" si="3"/>
        <v>0.12223729589783291</v>
      </c>
      <c r="P45" s="23">
        <v>4258368.2699999996</v>
      </c>
      <c r="Q45" s="25">
        <v>25424071.920000002</v>
      </c>
      <c r="R45" s="33">
        <f t="shared" si="4"/>
        <v>0.1674935582073353</v>
      </c>
    </row>
    <row r="46" spans="1:18" ht="38.25" x14ac:dyDescent="0.25">
      <c r="A46" s="2">
        <v>275</v>
      </c>
      <c r="B46" s="18" t="s">
        <v>108</v>
      </c>
      <c r="C46" s="19" t="s">
        <v>109</v>
      </c>
      <c r="D46" s="23"/>
      <c r="E46" s="28"/>
      <c r="F46" s="33" t="e">
        <f t="shared" si="0"/>
        <v>#DIV/0!</v>
      </c>
      <c r="G46" s="23">
        <v>2241253.65</v>
      </c>
      <c r="H46" s="25">
        <v>8339376.5700000003</v>
      </c>
      <c r="I46" s="35">
        <f t="shared" si="1"/>
        <v>0.26875553960024612</v>
      </c>
      <c r="J46" s="23">
        <v>2665672.4300000002</v>
      </c>
      <c r="K46" s="25">
        <v>5209885.63</v>
      </c>
      <c r="L46" s="35">
        <f t="shared" si="2"/>
        <v>0.51165661193218948</v>
      </c>
      <c r="M46" s="23">
        <v>2406482.4900000002</v>
      </c>
      <c r="N46" s="25">
        <v>2827494.35</v>
      </c>
      <c r="O46" s="33">
        <f t="shared" si="3"/>
        <v>0.85110072456908714</v>
      </c>
      <c r="P46" s="23">
        <v>2102816.35</v>
      </c>
      <c r="Q46" s="32">
        <v>2501573.87</v>
      </c>
      <c r="R46" s="33">
        <f t="shared" si="4"/>
        <v>0.84059734362351646</v>
      </c>
    </row>
    <row r="47" spans="1:18" ht="63.75" x14ac:dyDescent="0.25">
      <c r="A47" s="2">
        <v>276</v>
      </c>
      <c r="B47" s="18" t="s">
        <v>110</v>
      </c>
      <c r="C47" s="19" t="s">
        <v>111</v>
      </c>
      <c r="D47" s="23"/>
      <c r="E47" s="28"/>
      <c r="F47" s="33" t="e">
        <f t="shared" si="0"/>
        <v>#DIV/0!</v>
      </c>
      <c r="G47" s="23"/>
      <c r="H47" s="28"/>
      <c r="I47" s="35" t="e">
        <f t="shared" si="1"/>
        <v>#DIV/0!</v>
      </c>
      <c r="J47" s="23"/>
      <c r="K47" s="28"/>
      <c r="L47" s="35" t="e">
        <f t="shared" si="2"/>
        <v>#DIV/0!</v>
      </c>
      <c r="M47" s="23"/>
      <c r="N47" s="25">
        <v>136813.09</v>
      </c>
      <c r="O47" s="33">
        <f t="shared" si="3"/>
        <v>0</v>
      </c>
      <c r="P47" s="23"/>
      <c r="Q47" s="28"/>
      <c r="R47" s="33" t="e">
        <f t="shared" si="4"/>
        <v>#DIV/0!</v>
      </c>
    </row>
    <row r="48" spans="1:18" ht="25.5" x14ac:dyDescent="0.25">
      <c r="A48" s="2">
        <v>277</v>
      </c>
      <c r="B48" s="3" t="s">
        <v>112</v>
      </c>
      <c r="C48" s="19" t="s">
        <v>113</v>
      </c>
      <c r="D48" s="23">
        <v>5350411.3600000003</v>
      </c>
      <c r="E48" s="25">
        <v>7053395.2599999998</v>
      </c>
      <c r="F48" s="33">
        <f t="shared" si="0"/>
        <v>0.75855827764854344</v>
      </c>
      <c r="G48" s="23">
        <v>4570400.9400000004</v>
      </c>
      <c r="H48" s="25">
        <v>5669712.7199999997</v>
      </c>
      <c r="I48" s="35">
        <f t="shared" si="1"/>
        <v>0.80610802799193693</v>
      </c>
      <c r="J48" s="23">
        <v>3717281.13</v>
      </c>
      <c r="K48" s="25">
        <v>7913758.9699999997</v>
      </c>
      <c r="L48" s="35">
        <f t="shared" si="2"/>
        <v>0.46972382455565237</v>
      </c>
      <c r="M48" s="23">
        <v>2495298.66</v>
      </c>
      <c r="N48" s="25">
        <v>3499929.02</v>
      </c>
      <c r="O48" s="33">
        <f t="shared" si="3"/>
        <v>0.71295693305231667</v>
      </c>
      <c r="P48" s="23">
        <v>2032044.8</v>
      </c>
      <c r="Q48" s="25">
        <v>2396650.41</v>
      </c>
      <c r="R48" s="33">
        <f t="shared" si="4"/>
        <v>0.84786867184355019</v>
      </c>
    </row>
    <row r="49" spans="1:18" ht="51" x14ac:dyDescent="0.25">
      <c r="A49" s="2">
        <v>278</v>
      </c>
      <c r="B49" s="18" t="s">
        <v>114</v>
      </c>
      <c r="C49" s="19" t="s">
        <v>115</v>
      </c>
      <c r="D49" s="23">
        <v>1001331.43</v>
      </c>
      <c r="E49" s="25">
        <v>12269206.449999999</v>
      </c>
      <c r="F49" s="33">
        <f t="shared" si="0"/>
        <v>8.161338176846801E-2</v>
      </c>
      <c r="G49" s="23">
        <v>855216.8</v>
      </c>
      <c r="H49" s="25">
        <v>9697010.9900000002</v>
      </c>
      <c r="I49" s="35">
        <f t="shared" si="1"/>
        <v>8.8193856940240511E-2</v>
      </c>
      <c r="J49" s="23">
        <v>770922.58</v>
      </c>
      <c r="K49" s="25">
        <v>9742112.7599999998</v>
      </c>
      <c r="L49" s="35">
        <f t="shared" si="2"/>
        <v>7.9132997019426818E-2</v>
      </c>
      <c r="M49" s="23">
        <v>704459.92</v>
      </c>
      <c r="N49" s="25">
        <v>6980052.5700000003</v>
      </c>
      <c r="O49" s="33">
        <f t="shared" si="3"/>
        <v>0.10092472985486411</v>
      </c>
      <c r="P49" s="23">
        <v>677520.98</v>
      </c>
      <c r="Q49" s="25">
        <v>5475785.9400000004</v>
      </c>
      <c r="R49" s="33">
        <f t="shared" si="4"/>
        <v>0.12373036262261193</v>
      </c>
    </row>
    <row r="50" spans="1:18" ht="25.5" x14ac:dyDescent="0.25">
      <c r="A50" s="2">
        <v>279</v>
      </c>
      <c r="B50" s="3" t="s">
        <v>116</v>
      </c>
      <c r="C50" s="19" t="s">
        <v>117</v>
      </c>
      <c r="D50" s="23">
        <v>5054202.87</v>
      </c>
      <c r="E50" s="25">
        <v>10412429.41</v>
      </c>
      <c r="F50" s="33">
        <f t="shared" si="0"/>
        <v>0.48540092527743728</v>
      </c>
      <c r="G50" s="23">
        <v>4684336.49</v>
      </c>
      <c r="H50" s="25">
        <v>8455607.5899999999</v>
      </c>
      <c r="I50" s="35">
        <f t="shared" si="1"/>
        <v>0.55399170788624552</v>
      </c>
      <c r="J50" s="23">
        <v>4757377.0199999996</v>
      </c>
      <c r="K50" s="25">
        <v>11799386.83</v>
      </c>
      <c r="L50" s="35">
        <f t="shared" si="2"/>
        <v>0.40318849517708366</v>
      </c>
      <c r="M50" s="23">
        <v>4287462.71</v>
      </c>
      <c r="N50" s="25">
        <v>9270479.0199999996</v>
      </c>
      <c r="O50" s="33">
        <f t="shared" si="3"/>
        <v>0.46248556312465505</v>
      </c>
      <c r="P50" s="23">
        <v>4604551.88</v>
      </c>
      <c r="Q50" s="25">
        <v>20769184.300000001</v>
      </c>
      <c r="R50" s="33">
        <f t="shared" si="4"/>
        <v>0.22170114210985165</v>
      </c>
    </row>
    <row r="51" spans="1:18" ht="51" x14ac:dyDescent="0.25">
      <c r="A51" s="2">
        <v>281</v>
      </c>
      <c r="B51" s="3" t="s">
        <v>118</v>
      </c>
      <c r="C51" s="19" t="s">
        <v>119</v>
      </c>
      <c r="D51" s="23">
        <v>607588.13</v>
      </c>
      <c r="E51" s="25">
        <v>1086435.6499999999</v>
      </c>
      <c r="F51" s="33">
        <f t="shared" si="0"/>
        <v>0.55924907287421954</v>
      </c>
      <c r="G51" s="23">
        <v>566170.44999999995</v>
      </c>
      <c r="H51" s="25">
        <v>3634591.4</v>
      </c>
      <c r="I51" s="35">
        <f t="shared" si="1"/>
        <v>0.155772791956752</v>
      </c>
      <c r="J51" s="23">
        <v>521593.96</v>
      </c>
      <c r="K51" s="25">
        <v>1729603.02</v>
      </c>
      <c r="L51" s="35">
        <f t="shared" si="2"/>
        <v>0.3015685992500175</v>
      </c>
      <c r="M51" s="23">
        <v>397606.22</v>
      </c>
      <c r="N51" s="25">
        <v>841152.73</v>
      </c>
      <c r="O51" s="33">
        <f t="shared" si="3"/>
        <v>0.47269206390140345</v>
      </c>
      <c r="P51" s="23">
        <v>337590.72</v>
      </c>
      <c r="Q51" s="25">
        <v>411437.74</v>
      </c>
      <c r="R51" s="33">
        <f t="shared" si="4"/>
        <v>0.82051471505749562</v>
      </c>
    </row>
    <row r="52" spans="1:18" ht="38.25" x14ac:dyDescent="0.25">
      <c r="A52" s="2">
        <v>311</v>
      </c>
      <c r="B52" s="18" t="s">
        <v>120</v>
      </c>
      <c r="C52" s="19" t="s">
        <v>121</v>
      </c>
      <c r="D52" s="23">
        <v>8564963.3399999999</v>
      </c>
      <c r="E52" s="25">
        <v>17113435.379999999</v>
      </c>
      <c r="F52" s="33">
        <f t="shared" si="0"/>
        <v>0.5004818231884427</v>
      </c>
      <c r="G52" s="23">
        <v>7452765.2800000003</v>
      </c>
      <c r="H52" s="25">
        <v>15196575.76</v>
      </c>
      <c r="I52" s="35">
        <f t="shared" si="1"/>
        <v>0.49042398746281779</v>
      </c>
      <c r="J52" s="23">
        <v>5791020.04</v>
      </c>
      <c r="K52" s="25">
        <v>10075670.18</v>
      </c>
      <c r="L52" s="35">
        <f t="shared" si="2"/>
        <v>0.57475283892232365</v>
      </c>
      <c r="M52" s="23">
        <v>4779308.95</v>
      </c>
      <c r="N52" s="25">
        <v>8723563.7799999993</v>
      </c>
      <c r="O52" s="33">
        <f t="shared" si="3"/>
        <v>0.54786198284664811</v>
      </c>
      <c r="P52" s="23">
        <v>4678652.55</v>
      </c>
      <c r="Q52" s="25">
        <v>8702855.0299999993</v>
      </c>
      <c r="R52" s="33">
        <f t="shared" si="4"/>
        <v>0.5375997340955363</v>
      </c>
    </row>
    <row r="53" spans="1:18" ht="76.5" x14ac:dyDescent="0.25">
      <c r="A53" s="2">
        <v>312</v>
      </c>
      <c r="B53" s="18" t="s">
        <v>122</v>
      </c>
      <c r="C53" s="19" t="s">
        <v>123</v>
      </c>
      <c r="D53" s="23">
        <v>175334.37</v>
      </c>
      <c r="E53" s="25">
        <v>5171133.38</v>
      </c>
      <c r="F53" s="33">
        <f t="shared" si="0"/>
        <v>3.3906371604748665E-2</v>
      </c>
      <c r="G53" s="23">
        <v>175602.33</v>
      </c>
      <c r="H53" s="25">
        <v>12441365.720000001</v>
      </c>
      <c r="I53" s="35">
        <f t="shared" si="1"/>
        <v>1.4114393383494234E-2</v>
      </c>
      <c r="J53" s="23">
        <v>174529.25</v>
      </c>
      <c r="K53" s="25">
        <v>1121961.1499999999</v>
      </c>
      <c r="L53" s="35">
        <f t="shared" si="2"/>
        <v>0.15555730249661498</v>
      </c>
      <c r="M53" s="23"/>
      <c r="N53" s="28"/>
      <c r="O53" s="33" t="e">
        <f t="shared" si="3"/>
        <v>#DIV/0!</v>
      </c>
      <c r="P53" s="23">
        <v>135442.39000000001</v>
      </c>
      <c r="Q53" s="25">
        <v>13327253.5</v>
      </c>
      <c r="R53" s="33">
        <f t="shared" si="4"/>
        <v>1.0162813365859665E-2</v>
      </c>
    </row>
    <row r="54" spans="1:18" ht="38.25" x14ac:dyDescent="0.25">
      <c r="A54" s="2">
        <v>313</v>
      </c>
      <c r="B54" s="18" t="s">
        <v>124</v>
      </c>
      <c r="C54" s="19" t="s">
        <v>125</v>
      </c>
      <c r="D54" s="23">
        <v>269679.31</v>
      </c>
      <c r="E54" s="25">
        <v>2263704.62</v>
      </c>
      <c r="F54" s="33">
        <f t="shared" si="0"/>
        <v>0.11913184592078095</v>
      </c>
      <c r="G54" s="23">
        <v>175338.72</v>
      </c>
      <c r="H54" s="25">
        <v>4407715.6900000004</v>
      </c>
      <c r="I54" s="35">
        <f t="shared" si="1"/>
        <v>3.9779952322650823E-2</v>
      </c>
      <c r="J54" s="23">
        <v>169197.02</v>
      </c>
      <c r="K54" s="25">
        <v>288609.21999999997</v>
      </c>
      <c r="L54" s="35">
        <f t="shared" si="2"/>
        <v>0.58624953145987502</v>
      </c>
      <c r="M54" s="23"/>
      <c r="N54" s="25">
        <v>0</v>
      </c>
      <c r="O54" s="33" t="e">
        <f t="shared" si="3"/>
        <v>#DIV/0!</v>
      </c>
      <c r="P54" s="23"/>
      <c r="Q54" s="25">
        <v>0</v>
      </c>
      <c r="R54" s="33" t="e">
        <f t="shared" si="4"/>
        <v>#DIV/0!</v>
      </c>
    </row>
    <row r="55" spans="1:18" ht="38.25" x14ac:dyDescent="0.25">
      <c r="A55" s="2">
        <v>314</v>
      </c>
      <c r="B55" s="18" t="s">
        <v>126</v>
      </c>
      <c r="C55" s="19" t="s">
        <v>127</v>
      </c>
      <c r="D55" s="23">
        <v>91476.53</v>
      </c>
      <c r="E55" s="25">
        <v>2339187.21</v>
      </c>
      <c r="F55" s="33">
        <f t="shared" si="0"/>
        <v>3.9106117547556191E-2</v>
      </c>
      <c r="G55" s="23">
        <v>90380.160000000003</v>
      </c>
      <c r="H55" s="25">
        <v>2236434.96</v>
      </c>
      <c r="I55" s="35">
        <f t="shared" si="1"/>
        <v>4.0412603816567062E-2</v>
      </c>
      <c r="J55" s="23">
        <v>92624.639999999999</v>
      </c>
      <c r="K55" s="25">
        <v>2443710.9</v>
      </c>
      <c r="L55" s="35">
        <f t="shared" si="2"/>
        <v>3.7903272437013726E-2</v>
      </c>
      <c r="M55" s="23">
        <v>86848.9</v>
      </c>
      <c r="N55" s="25">
        <v>991531.32</v>
      </c>
      <c r="O55" s="33">
        <f t="shared" si="3"/>
        <v>8.7590677418036583E-2</v>
      </c>
      <c r="P55" s="23">
        <v>35489.839999999997</v>
      </c>
      <c r="Q55" s="25">
        <v>280604.14</v>
      </c>
      <c r="R55" s="33">
        <f t="shared" si="4"/>
        <v>0.12647653737396744</v>
      </c>
    </row>
    <row r="56" spans="1:18" ht="51" x14ac:dyDescent="0.25">
      <c r="A56" s="2">
        <v>316</v>
      </c>
      <c r="B56" s="18" t="s">
        <v>128</v>
      </c>
      <c r="C56" s="19" t="s">
        <v>129</v>
      </c>
      <c r="D56" s="23">
        <v>28096442.789999999</v>
      </c>
      <c r="E56" s="25">
        <v>37764982.079999998</v>
      </c>
      <c r="F56" s="33">
        <f t="shared" si="0"/>
        <v>0.74398136163500594</v>
      </c>
      <c r="G56" s="23">
        <v>23868488.809999999</v>
      </c>
      <c r="H56" s="25">
        <v>33577031.960000001</v>
      </c>
      <c r="I56" s="35">
        <f t="shared" si="1"/>
        <v>0.71085761357449051</v>
      </c>
      <c r="J56" s="23">
        <v>19669391.719999999</v>
      </c>
      <c r="K56" s="25">
        <v>27293664.68</v>
      </c>
      <c r="L56" s="35">
        <f t="shared" si="2"/>
        <v>0.72065777720252988</v>
      </c>
      <c r="M56" s="23">
        <v>18758354.73</v>
      </c>
      <c r="N56" s="25">
        <v>25314976.41</v>
      </c>
      <c r="O56" s="33">
        <f t="shared" si="3"/>
        <v>0.74099830970373792</v>
      </c>
      <c r="P56" s="23">
        <v>20077351.77</v>
      </c>
      <c r="Q56" s="25">
        <v>25307329.760000002</v>
      </c>
      <c r="R56" s="33">
        <f t="shared" si="4"/>
        <v>0.79334137423433959</v>
      </c>
    </row>
    <row r="57" spans="1:18" ht="76.5" x14ac:dyDescent="0.25">
      <c r="A57" s="2">
        <v>318</v>
      </c>
      <c r="B57" s="18" t="s">
        <v>130</v>
      </c>
      <c r="C57" s="19" t="s">
        <v>131</v>
      </c>
      <c r="D57" s="23">
        <v>65057744.619999997</v>
      </c>
      <c r="E57" s="25">
        <v>88940646.730000004</v>
      </c>
      <c r="F57" s="33">
        <f t="shared" si="0"/>
        <v>0.73147370760073172</v>
      </c>
      <c r="G57" s="23">
        <v>55332688.270000003</v>
      </c>
      <c r="H57" s="25">
        <v>75471912.049999997</v>
      </c>
      <c r="I57" s="35">
        <f t="shared" si="1"/>
        <v>0.73315604132756307</v>
      </c>
      <c r="J57" s="23">
        <v>39339930.460000001</v>
      </c>
      <c r="K57" s="25">
        <v>64782079.82</v>
      </c>
      <c r="L57" s="35">
        <f t="shared" si="2"/>
        <v>0.60726562915713445</v>
      </c>
      <c r="M57" s="23">
        <v>31353197.57</v>
      </c>
      <c r="N57" s="25">
        <v>42521874.049999997</v>
      </c>
      <c r="O57" s="33">
        <f t="shared" si="3"/>
        <v>0.73734279757126564</v>
      </c>
      <c r="P57" s="23">
        <v>29865325.48</v>
      </c>
      <c r="Q57" s="25">
        <v>39671973.560000002</v>
      </c>
      <c r="R57" s="33">
        <f t="shared" si="4"/>
        <v>0.75280664912804496</v>
      </c>
    </row>
    <row r="58" spans="1:18" ht="51" x14ac:dyDescent="0.25">
      <c r="A58" s="2">
        <v>319</v>
      </c>
      <c r="B58" s="18" t="s">
        <v>132</v>
      </c>
      <c r="C58" s="19" t="s">
        <v>133</v>
      </c>
      <c r="D58" s="23">
        <v>48186060.270000003</v>
      </c>
      <c r="E58" s="25">
        <v>71049117.359999999</v>
      </c>
      <c r="F58" s="33">
        <f t="shared" si="0"/>
        <v>0.67820772530987572</v>
      </c>
      <c r="G58" s="23">
        <v>37350949.310000002</v>
      </c>
      <c r="H58" s="25">
        <v>53249025.960000001</v>
      </c>
      <c r="I58" s="35">
        <f t="shared" si="1"/>
        <v>0.70143910872768955</v>
      </c>
      <c r="J58" s="23">
        <v>39331581.299999997</v>
      </c>
      <c r="K58" s="25">
        <v>54781765.659999996</v>
      </c>
      <c r="L58" s="35">
        <f t="shared" si="2"/>
        <v>0.71796848506324684</v>
      </c>
      <c r="M58" s="23">
        <v>35428138.399999999</v>
      </c>
      <c r="N58" s="25">
        <v>47717433.82</v>
      </c>
      <c r="O58" s="33">
        <f t="shared" si="3"/>
        <v>0.74245690859324587</v>
      </c>
      <c r="P58" s="23">
        <v>34630299.670000002</v>
      </c>
      <c r="Q58" s="25">
        <v>45741580.57</v>
      </c>
      <c r="R58" s="33">
        <f t="shared" si="4"/>
        <v>0.75708576831978946</v>
      </c>
    </row>
    <row r="59" spans="1:18" ht="38.25" x14ac:dyDescent="0.25">
      <c r="A59" s="2">
        <v>325</v>
      </c>
      <c r="B59" s="18" t="s">
        <v>134</v>
      </c>
      <c r="C59" s="19" t="s">
        <v>135</v>
      </c>
      <c r="D59" s="23">
        <v>30078767.25</v>
      </c>
      <c r="E59" s="25">
        <v>53178545.18</v>
      </c>
      <c r="F59" s="33">
        <f t="shared" si="0"/>
        <v>0.56561846790258508</v>
      </c>
      <c r="G59" s="23">
        <v>27439182.829999998</v>
      </c>
      <c r="H59" s="25">
        <v>46748235.32</v>
      </c>
      <c r="I59" s="35">
        <f t="shared" si="1"/>
        <v>0.58695654803168296</v>
      </c>
      <c r="J59" s="23">
        <v>25912525.969999999</v>
      </c>
      <c r="K59" s="25">
        <v>42561197.07</v>
      </c>
      <c r="L59" s="35">
        <f t="shared" si="2"/>
        <v>0.60882982044376976</v>
      </c>
      <c r="M59" s="23">
        <v>21750215.359999999</v>
      </c>
      <c r="N59" s="25">
        <v>30949527.359999999</v>
      </c>
      <c r="O59" s="33">
        <f t="shared" si="3"/>
        <v>0.70276405539267017</v>
      </c>
      <c r="P59" s="23">
        <v>17650617.5</v>
      </c>
      <c r="Q59" s="25">
        <v>24437468.129999999</v>
      </c>
      <c r="R59" s="33">
        <f t="shared" si="4"/>
        <v>0.72227684988084728</v>
      </c>
    </row>
    <row r="60" spans="1:18" ht="38.25" x14ac:dyDescent="0.25">
      <c r="A60" s="2">
        <v>326</v>
      </c>
      <c r="B60" s="18" t="s">
        <v>136</v>
      </c>
      <c r="C60" s="19" t="s">
        <v>137</v>
      </c>
      <c r="D60" s="23">
        <v>917681.15</v>
      </c>
      <c r="E60" s="25">
        <v>29947380.039999999</v>
      </c>
      <c r="F60" s="33">
        <f t="shared" si="0"/>
        <v>3.0643119657688761E-2</v>
      </c>
      <c r="G60" s="23">
        <v>878993.06</v>
      </c>
      <c r="H60" s="25">
        <v>25793819.829999998</v>
      </c>
      <c r="I60" s="35">
        <f t="shared" si="1"/>
        <v>3.4077661462831116E-2</v>
      </c>
      <c r="J60" s="23">
        <v>718396.18</v>
      </c>
      <c r="K60" s="25">
        <v>23905506.449999999</v>
      </c>
      <c r="L60" s="35">
        <f>J60/K60</f>
        <v>3.0051493847351646E-2</v>
      </c>
      <c r="M60" s="23">
        <v>637980.11</v>
      </c>
      <c r="N60" s="25">
        <v>21247276.690000001</v>
      </c>
      <c r="O60" s="33">
        <f t="shared" si="3"/>
        <v>3.0026441473333113E-2</v>
      </c>
      <c r="P60" s="23">
        <v>615208.09</v>
      </c>
      <c r="Q60" s="25">
        <v>20763957.550000001</v>
      </c>
      <c r="R60" s="33">
        <f t="shared" si="4"/>
        <v>2.9628652848021256E-2</v>
      </c>
    </row>
    <row r="61" spans="1:18" ht="38.25" x14ac:dyDescent="0.25">
      <c r="A61" s="6">
        <v>44</v>
      </c>
      <c r="B61" s="3" t="s">
        <v>138</v>
      </c>
      <c r="C61" s="8" t="s">
        <v>139</v>
      </c>
      <c r="D61" s="23">
        <v>4542272.18</v>
      </c>
      <c r="E61" s="29">
        <v>71521965.75</v>
      </c>
      <c r="F61" s="33">
        <f t="shared" si="0"/>
        <v>6.3508771499334801E-2</v>
      </c>
      <c r="G61" s="23">
        <v>4483684.0199999996</v>
      </c>
      <c r="H61" s="29">
        <v>56775232.469999999</v>
      </c>
      <c r="I61" s="35">
        <f t="shared" si="1"/>
        <v>7.8972534764506261E-2</v>
      </c>
      <c r="J61" s="24">
        <v>4221710.7</v>
      </c>
      <c r="K61" s="29">
        <v>49001623.030000001</v>
      </c>
      <c r="L61" s="35">
        <f>J60/K61</f>
        <v>1.4660660924642847E-2</v>
      </c>
      <c r="M61" s="23">
        <v>3833491.7</v>
      </c>
      <c r="N61" s="29">
        <v>39342520.640000001</v>
      </c>
      <c r="O61" s="33">
        <f t="shared" si="3"/>
        <v>9.7438894042351842E-2</v>
      </c>
      <c r="P61" s="23">
        <v>4048096.89</v>
      </c>
      <c r="Q61" s="29">
        <v>34690961.369999997</v>
      </c>
      <c r="R61" s="33">
        <f t="shared" si="4"/>
        <v>0.11669024812615046</v>
      </c>
    </row>
    <row r="62" spans="1:18" ht="25.5" x14ac:dyDescent="0.25">
      <c r="A62" s="6">
        <v>45</v>
      </c>
      <c r="B62" s="3" t="s">
        <v>142</v>
      </c>
      <c r="C62" s="8" t="s">
        <v>143</v>
      </c>
      <c r="D62" s="23">
        <v>8557066.1999999993</v>
      </c>
      <c r="E62" s="29">
        <v>157449009.90000001</v>
      </c>
      <c r="F62" s="33">
        <f t="shared" si="0"/>
        <v>5.434817408781939E-2</v>
      </c>
      <c r="G62" s="23">
        <v>7114391.7000000002</v>
      </c>
      <c r="H62" s="29">
        <v>129455007.41</v>
      </c>
      <c r="I62" s="35">
        <f t="shared" si="1"/>
        <v>5.4956481346973646E-2</v>
      </c>
      <c r="J62" s="23">
        <v>6589140.7800000003</v>
      </c>
      <c r="K62" s="29">
        <v>96837919.230000004</v>
      </c>
      <c r="L62" s="35">
        <f t="shared" si="2"/>
        <v>6.8042981844231021E-2</v>
      </c>
      <c r="M62" s="23">
        <v>5000446.09</v>
      </c>
      <c r="N62" s="29">
        <v>60378436.770000003</v>
      </c>
      <c r="O62" s="33">
        <f t="shared" si="3"/>
        <v>8.2818409311394295E-2</v>
      </c>
      <c r="P62" s="23">
        <v>5855685.7599999998</v>
      </c>
      <c r="Q62" s="29">
        <v>43083318.020000003</v>
      </c>
      <c r="R62" s="33">
        <f t="shared" si="4"/>
        <v>0.13591538509828077</v>
      </c>
    </row>
    <row r="63" spans="1:18" ht="25.5" x14ac:dyDescent="0.25">
      <c r="A63" s="6">
        <v>47</v>
      </c>
      <c r="B63" s="3" t="s">
        <v>144</v>
      </c>
      <c r="C63" s="8" t="s">
        <v>145</v>
      </c>
      <c r="D63" s="23">
        <v>2986594.97</v>
      </c>
      <c r="E63" s="29">
        <v>281415497.38999999</v>
      </c>
      <c r="F63" s="33">
        <f t="shared" si="0"/>
        <v>1.0612759416945059E-2</v>
      </c>
      <c r="G63" s="23"/>
      <c r="H63" s="30"/>
      <c r="I63" s="35" t="e">
        <f t="shared" si="1"/>
        <v>#DIV/0!</v>
      </c>
      <c r="J63" s="23"/>
      <c r="K63" s="30"/>
      <c r="L63" s="35" t="e">
        <f t="shared" si="2"/>
        <v>#DIV/0!</v>
      </c>
      <c r="M63" s="23">
        <v>1897677.13</v>
      </c>
      <c r="N63" s="29">
        <v>219204051.19</v>
      </c>
      <c r="O63" s="33">
        <f t="shared" si="3"/>
        <v>8.6571261785446923E-3</v>
      </c>
      <c r="P63" s="23">
        <v>1896488</v>
      </c>
      <c r="Q63" s="29">
        <v>175802912</v>
      </c>
      <c r="R63" s="33">
        <f t="shared" si="4"/>
        <v>1.0787580128365564E-2</v>
      </c>
    </row>
    <row r="64" spans="1:18" ht="38.25" x14ac:dyDescent="0.25">
      <c r="A64" s="6">
        <v>48</v>
      </c>
      <c r="B64" s="3" t="s">
        <v>146</v>
      </c>
      <c r="C64" s="8" t="s">
        <v>147</v>
      </c>
      <c r="D64" s="23">
        <v>1759628.65</v>
      </c>
      <c r="E64" s="29">
        <v>6562276.3700000001</v>
      </c>
      <c r="F64" s="33">
        <f t="shared" si="0"/>
        <v>0.26814302702097259</v>
      </c>
      <c r="G64" s="23">
        <v>464509.2</v>
      </c>
      <c r="H64" s="29">
        <v>1421562.11</v>
      </c>
      <c r="I64" s="35">
        <f t="shared" si="1"/>
        <v>0.32675969395385757</v>
      </c>
      <c r="J64" s="23">
        <v>1252430.6100000001</v>
      </c>
      <c r="K64" s="29">
        <v>964687.76</v>
      </c>
      <c r="L64" s="35">
        <f t="shared" si="2"/>
        <v>1.2982756306558716</v>
      </c>
      <c r="M64" s="23">
        <v>1978016.28</v>
      </c>
      <c r="N64" s="29">
        <v>7050510.54</v>
      </c>
      <c r="O64" s="33">
        <f t="shared" si="3"/>
        <v>0.28054936855679108</v>
      </c>
      <c r="P64" s="23">
        <v>1263351.58</v>
      </c>
      <c r="Q64" s="29">
        <v>2313831.5299999998</v>
      </c>
      <c r="R64" s="33">
        <f t="shared" si="4"/>
        <v>0.54599981183591195</v>
      </c>
    </row>
    <row r="65" spans="1:18" ht="38.25" x14ac:dyDescent="0.25">
      <c r="A65" s="6">
        <v>49</v>
      </c>
      <c r="B65" s="3" t="s">
        <v>148</v>
      </c>
      <c r="C65" s="8" t="s">
        <v>149</v>
      </c>
      <c r="D65" s="23">
        <v>465361.64</v>
      </c>
      <c r="E65" s="29">
        <v>3333418.84</v>
      </c>
      <c r="F65" s="33">
        <f t="shared" si="0"/>
        <v>0.13960491085482676</v>
      </c>
      <c r="G65" s="23">
        <v>4249039.01</v>
      </c>
      <c r="H65" s="29">
        <v>43316442.030000001</v>
      </c>
      <c r="I65" s="35">
        <f t="shared" si="1"/>
        <v>9.8092982961463224E-2</v>
      </c>
      <c r="J65" s="23">
        <v>325709.40999999997</v>
      </c>
      <c r="K65" s="29">
        <v>3000501.5</v>
      </c>
      <c r="L65" s="35">
        <f t="shared" si="2"/>
        <v>0.10855165711465233</v>
      </c>
      <c r="M65" s="23">
        <v>2977439.52</v>
      </c>
      <c r="N65" s="29">
        <v>22254544.719999999</v>
      </c>
      <c r="O65" s="33">
        <f t="shared" si="3"/>
        <v>0.13379017892575429</v>
      </c>
      <c r="P65" s="23">
        <v>2989370.01</v>
      </c>
      <c r="Q65" s="29">
        <v>16859873.969999999</v>
      </c>
      <c r="R65" s="33">
        <f t="shared" si="4"/>
        <v>0.17730678267934882</v>
      </c>
    </row>
    <row r="66" spans="1:18" ht="51" x14ac:dyDescent="0.25">
      <c r="A66" s="6">
        <v>56</v>
      </c>
      <c r="B66" s="3" t="s">
        <v>150</v>
      </c>
      <c r="C66" s="8" t="s">
        <v>151</v>
      </c>
      <c r="D66" s="23"/>
      <c r="E66" s="30"/>
      <c r="F66" s="33" t="e">
        <f t="shared" si="0"/>
        <v>#DIV/0!</v>
      </c>
      <c r="G66" s="23"/>
      <c r="H66" s="30"/>
      <c r="I66" s="35" t="e">
        <f t="shared" si="1"/>
        <v>#DIV/0!</v>
      </c>
      <c r="J66" s="23"/>
      <c r="K66" s="30"/>
      <c r="L66" s="35" t="e">
        <f t="shared" si="2"/>
        <v>#DIV/0!</v>
      </c>
      <c r="M66" s="23">
        <v>822103.82</v>
      </c>
      <c r="N66" s="29">
        <v>64092721.060000002</v>
      </c>
      <c r="O66" s="33">
        <f t="shared" si="3"/>
        <v>1.2826789164254589E-2</v>
      </c>
      <c r="P66" s="23"/>
      <c r="Q66" s="29"/>
      <c r="R66" s="33" t="e">
        <f t="shared" si="4"/>
        <v>#DIV/0!</v>
      </c>
    </row>
    <row r="67" spans="1:18" ht="38.25" x14ac:dyDescent="0.25">
      <c r="A67" s="6">
        <v>57</v>
      </c>
      <c r="B67" s="3" t="s">
        <v>153</v>
      </c>
      <c r="C67" s="8" t="s">
        <v>154</v>
      </c>
      <c r="D67" s="23"/>
      <c r="E67" s="30"/>
      <c r="F67" s="33" t="e">
        <f t="shared" si="0"/>
        <v>#DIV/0!</v>
      </c>
      <c r="G67" s="23">
        <v>734602.49</v>
      </c>
      <c r="H67" s="29">
        <v>13671423.99</v>
      </c>
      <c r="I67" s="35">
        <f t="shared" si="1"/>
        <v>5.3732697525680349E-2</v>
      </c>
      <c r="J67" s="23"/>
      <c r="K67" s="30"/>
      <c r="L67" s="35" t="e">
        <f t="shared" si="2"/>
        <v>#DIV/0!</v>
      </c>
      <c r="M67" s="23"/>
      <c r="N67" s="30"/>
      <c r="O67" s="33" t="e">
        <f t="shared" si="3"/>
        <v>#DIV/0!</v>
      </c>
      <c r="P67" s="23">
        <v>622476.21</v>
      </c>
      <c r="Q67" s="29">
        <v>8961028.0600000005</v>
      </c>
      <c r="R67" s="33">
        <f t="shared" si="4"/>
        <v>6.9464820981712222E-2</v>
      </c>
    </row>
    <row r="68" spans="1:18" ht="51" x14ac:dyDescent="0.25">
      <c r="A68" s="6">
        <v>61</v>
      </c>
      <c r="B68" s="3" t="s">
        <v>155</v>
      </c>
      <c r="C68" s="8" t="s">
        <v>156</v>
      </c>
      <c r="D68" s="23">
        <v>494838.36</v>
      </c>
      <c r="E68" s="29">
        <v>16226886.810000001</v>
      </c>
      <c r="F68" s="33">
        <f t="shared" ref="F68:F122" si="5">D68/E68</f>
        <v>3.0494965904060558E-2</v>
      </c>
      <c r="G68" s="23">
        <v>455743</v>
      </c>
      <c r="H68" s="29">
        <v>13939619.710000001</v>
      </c>
      <c r="I68" s="35">
        <f t="shared" ref="I68:I122" si="6">G68/H68</f>
        <v>3.269407698927821E-2</v>
      </c>
      <c r="J68" s="23">
        <v>403924.33</v>
      </c>
      <c r="K68" s="29">
        <v>10519455.609999999</v>
      </c>
      <c r="L68" s="35">
        <f t="shared" ref="L68:L122" si="7">J68/K68</f>
        <v>3.8397835874322404E-2</v>
      </c>
      <c r="M68" s="23">
        <v>353748.58</v>
      </c>
      <c r="N68" s="29">
        <v>8560193.4100000001</v>
      </c>
      <c r="O68" s="33">
        <f t="shared" ref="O68:O122" si="8">M68/N68</f>
        <v>4.1324834972391124E-2</v>
      </c>
      <c r="P68" s="23">
        <v>369315.28</v>
      </c>
      <c r="Q68" s="29">
        <v>7549662.2699999996</v>
      </c>
      <c r="R68" s="33">
        <f t="shared" ref="R68:R122" si="9">P68/Q68</f>
        <v>4.8918119353172078E-2</v>
      </c>
    </row>
    <row r="69" spans="1:18" ht="51" x14ac:dyDescent="0.25">
      <c r="A69" s="6">
        <v>66</v>
      </c>
      <c r="B69" s="3" t="s">
        <v>157</v>
      </c>
      <c r="C69" s="8" t="s">
        <v>158</v>
      </c>
      <c r="D69" s="23"/>
      <c r="E69" s="30"/>
      <c r="F69" s="33" t="e">
        <f t="shared" si="5"/>
        <v>#DIV/0!</v>
      </c>
      <c r="G69" s="23"/>
      <c r="H69" s="30"/>
      <c r="I69" s="35" t="e">
        <f t="shared" si="6"/>
        <v>#DIV/0!</v>
      </c>
      <c r="J69" s="23"/>
      <c r="K69" s="30"/>
      <c r="L69" s="35" t="e">
        <f t="shared" si="7"/>
        <v>#DIV/0!</v>
      </c>
      <c r="M69" s="23">
        <v>851608.09</v>
      </c>
      <c r="N69" s="29">
        <v>15489890.449999999</v>
      </c>
      <c r="O69" s="33">
        <f t="shared" si="8"/>
        <v>5.4978315873111937E-2</v>
      </c>
      <c r="P69" s="23">
        <v>822971.38</v>
      </c>
      <c r="Q69" s="29">
        <v>14094287.4</v>
      </c>
      <c r="R69" s="33">
        <f t="shared" si="9"/>
        <v>5.8390421356102049E-2</v>
      </c>
    </row>
    <row r="70" spans="1:18" ht="63.75" x14ac:dyDescent="0.25">
      <c r="A70" s="6">
        <v>213</v>
      </c>
      <c r="B70" s="3" t="s">
        <v>160</v>
      </c>
      <c r="C70" s="8" t="s">
        <v>161</v>
      </c>
      <c r="D70" s="23">
        <v>2890856.47</v>
      </c>
      <c r="E70" s="29">
        <v>48929893.840000004</v>
      </c>
      <c r="F70" s="33">
        <f t="shared" si="5"/>
        <v>5.9081601105717828E-2</v>
      </c>
      <c r="G70" s="23">
        <v>2428772.39</v>
      </c>
      <c r="H70" s="29">
        <v>37266577.460000001</v>
      </c>
      <c r="I70" s="35">
        <f t="shared" si="6"/>
        <v>6.517293928069777E-2</v>
      </c>
      <c r="J70" s="23"/>
      <c r="K70" s="30"/>
      <c r="L70" s="35" t="e">
        <f t="shared" si="7"/>
        <v>#DIV/0!</v>
      </c>
      <c r="M70" s="23"/>
      <c r="N70" s="30"/>
      <c r="O70" s="33" t="e">
        <f t="shared" si="8"/>
        <v>#DIV/0!</v>
      </c>
      <c r="P70" s="23"/>
      <c r="Q70" s="30"/>
      <c r="R70" s="33" t="e">
        <f t="shared" si="9"/>
        <v>#DIV/0!</v>
      </c>
    </row>
    <row r="71" spans="1:18" ht="38.25" x14ac:dyDescent="0.25">
      <c r="A71" s="6">
        <v>216</v>
      </c>
      <c r="B71" s="3" t="s">
        <v>162</v>
      </c>
      <c r="C71" s="8" t="s">
        <v>163</v>
      </c>
      <c r="D71" s="23"/>
      <c r="E71" s="30"/>
      <c r="F71" s="33" t="e">
        <f t="shared" si="5"/>
        <v>#DIV/0!</v>
      </c>
      <c r="G71" s="23"/>
      <c r="H71" s="30"/>
      <c r="I71" s="35" t="e">
        <f t="shared" si="6"/>
        <v>#DIV/0!</v>
      </c>
      <c r="J71" s="23">
        <v>2409957.2599999998</v>
      </c>
      <c r="K71" s="29">
        <v>34719960.130000003</v>
      </c>
      <c r="L71" s="35">
        <f t="shared" si="7"/>
        <v>6.9411291112562681E-2</v>
      </c>
      <c r="M71" s="23">
        <v>2032499.63</v>
      </c>
      <c r="N71" s="29">
        <v>23483723.82</v>
      </c>
      <c r="O71" s="33">
        <f t="shared" si="8"/>
        <v>8.6549290290537914E-2</v>
      </c>
      <c r="P71" s="23">
        <v>2120154.37</v>
      </c>
      <c r="Q71" s="29">
        <v>19459126.870000001</v>
      </c>
      <c r="R71" s="33">
        <f t="shared" si="9"/>
        <v>0.10895423952801433</v>
      </c>
    </row>
    <row r="72" spans="1:18" ht="51" x14ac:dyDescent="0.25">
      <c r="A72" s="6">
        <v>217</v>
      </c>
      <c r="B72" s="3" t="s">
        <v>164</v>
      </c>
      <c r="C72" s="8" t="s">
        <v>165</v>
      </c>
      <c r="D72" s="23">
        <v>584873.69999999995</v>
      </c>
      <c r="E72" s="29">
        <v>6427446.96</v>
      </c>
      <c r="F72" s="33">
        <f t="shared" si="5"/>
        <v>9.0996270158252693E-2</v>
      </c>
      <c r="G72" s="23">
        <v>505277.7</v>
      </c>
      <c r="H72" s="29">
        <v>5116244.74</v>
      </c>
      <c r="I72" s="35">
        <f t="shared" si="6"/>
        <v>9.8759485848990095E-2</v>
      </c>
      <c r="J72" s="23">
        <v>487925.25</v>
      </c>
      <c r="K72" s="29">
        <v>2061799.9</v>
      </c>
      <c r="L72" s="35">
        <f t="shared" si="7"/>
        <v>0.23665014728150877</v>
      </c>
      <c r="M72" s="23"/>
      <c r="N72" s="29"/>
      <c r="O72" s="33" t="e">
        <f t="shared" si="8"/>
        <v>#DIV/0!</v>
      </c>
      <c r="P72" s="23"/>
      <c r="Q72" s="29"/>
      <c r="R72" s="33" t="e">
        <f t="shared" si="9"/>
        <v>#DIV/0!</v>
      </c>
    </row>
    <row r="73" spans="1:18" ht="63.75" x14ac:dyDescent="0.25">
      <c r="A73" s="6">
        <v>220</v>
      </c>
      <c r="B73" s="3" t="s">
        <v>166</v>
      </c>
      <c r="C73" s="8" t="s">
        <v>167</v>
      </c>
      <c r="D73" s="23"/>
      <c r="E73" s="30"/>
      <c r="F73" s="33" t="e">
        <f t="shared" si="5"/>
        <v>#DIV/0!</v>
      </c>
      <c r="G73" s="23">
        <v>191079.7</v>
      </c>
      <c r="H73" s="29">
        <v>1078147.01</v>
      </c>
      <c r="I73" s="35">
        <f t="shared" si="6"/>
        <v>0.17722972676982149</v>
      </c>
      <c r="J73" s="23">
        <v>179262.07</v>
      </c>
      <c r="K73" s="29">
        <v>568771.82999999996</v>
      </c>
      <c r="L73" s="35">
        <f t="shared" si="7"/>
        <v>0.31517396000431319</v>
      </c>
      <c r="M73" s="23">
        <v>183014.93</v>
      </c>
      <c r="N73" s="29">
        <v>458702.25</v>
      </c>
      <c r="O73" s="33">
        <f t="shared" si="8"/>
        <v>0.39898415584401425</v>
      </c>
      <c r="P73" s="23"/>
      <c r="Q73" s="29">
        <v>0</v>
      </c>
      <c r="R73" s="33" t="e">
        <f t="shared" si="9"/>
        <v>#DIV/0!</v>
      </c>
    </row>
    <row r="74" spans="1:18" ht="102" x14ac:dyDescent="0.25">
      <c r="A74" s="6">
        <v>223</v>
      </c>
      <c r="B74" s="3" t="s">
        <v>168</v>
      </c>
      <c r="C74" s="8" t="s">
        <v>169</v>
      </c>
      <c r="D74" s="23">
        <v>276886.2</v>
      </c>
      <c r="E74" s="29">
        <v>539317.39</v>
      </c>
      <c r="F74" s="33">
        <f t="shared" si="5"/>
        <v>0.51340120888740493</v>
      </c>
      <c r="G74" s="23">
        <v>165697.9</v>
      </c>
      <c r="H74" s="29">
        <v>978743.1</v>
      </c>
      <c r="I74" s="35">
        <f t="shared" si="6"/>
        <v>0.16929662135038295</v>
      </c>
      <c r="J74" s="23">
        <v>76644.13</v>
      </c>
      <c r="K74" s="29">
        <v>1411033.01</v>
      </c>
      <c r="L74" s="35">
        <f t="shared" si="7"/>
        <v>5.4317744132718768E-2</v>
      </c>
      <c r="M74" s="23">
        <v>76644.13</v>
      </c>
      <c r="N74" s="29">
        <v>1054544.48</v>
      </c>
      <c r="O74" s="33">
        <f t="shared" si="8"/>
        <v>7.2679845614478017E-2</v>
      </c>
      <c r="P74" s="23">
        <v>73319.210000000006</v>
      </c>
      <c r="Q74" s="29">
        <v>828327.45</v>
      </c>
      <c r="R74" s="33">
        <f t="shared" si="9"/>
        <v>8.8514765507288221E-2</v>
      </c>
    </row>
    <row r="75" spans="1:18" ht="38.25" x14ac:dyDescent="0.25">
      <c r="A75" s="6">
        <v>225</v>
      </c>
      <c r="B75" s="3" t="s">
        <v>170</v>
      </c>
      <c r="C75" s="8" t="s">
        <v>171</v>
      </c>
      <c r="D75" s="23">
        <v>19295814.68</v>
      </c>
      <c r="E75" s="29">
        <v>70784106.849999994</v>
      </c>
      <c r="F75" s="33">
        <f t="shared" si="5"/>
        <v>0.27260094869728518</v>
      </c>
      <c r="G75" s="23">
        <v>17987483.379999999</v>
      </c>
      <c r="H75" s="29">
        <v>43445823.93</v>
      </c>
      <c r="I75" s="35">
        <f t="shared" si="6"/>
        <v>0.41402099794404795</v>
      </c>
      <c r="J75" s="23">
        <v>3934174.61</v>
      </c>
      <c r="K75" s="29">
        <v>4769492.0599999996</v>
      </c>
      <c r="L75" s="35">
        <f t="shared" si="7"/>
        <v>0.82486238796673883</v>
      </c>
      <c r="M75" s="23"/>
      <c r="N75" s="30"/>
      <c r="O75" s="33" t="e">
        <f t="shared" si="8"/>
        <v>#DIV/0!</v>
      </c>
      <c r="P75" s="23"/>
      <c r="Q75" s="30"/>
      <c r="R75" s="33" t="e">
        <f t="shared" si="9"/>
        <v>#DIV/0!</v>
      </c>
    </row>
    <row r="76" spans="1:18" ht="38.25" x14ac:dyDescent="0.25">
      <c r="A76" s="6">
        <v>226</v>
      </c>
      <c r="B76" s="3" t="s">
        <v>172</v>
      </c>
      <c r="C76" s="8" t="s">
        <v>173</v>
      </c>
      <c r="D76" s="23">
        <v>2430202.83</v>
      </c>
      <c r="E76" s="29">
        <v>40115592.93</v>
      </c>
      <c r="F76" s="33">
        <f t="shared" si="5"/>
        <v>6.0580005242365495E-2</v>
      </c>
      <c r="G76" s="23">
        <v>2214302.83</v>
      </c>
      <c r="H76" s="29">
        <v>21509382.66</v>
      </c>
      <c r="I76" s="35">
        <f t="shared" si="6"/>
        <v>0.102945903422781</v>
      </c>
      <c r="J76" s="23">
        <v>182771.82</v>
      </c>
      <c r="K76" s="29">
        <v>1742412.88</v>
      </c>
      <c r="L76" s="35">
        <f t="shared" si="7"/>
        <v>0.10489581550843449</v>
      </c>
      <c r="M76" s="23">
        <v>112794.56</v>
      </c>
      <c r="N76" s="29">
        <v>1254427.52</v>
      </c>
      <c r="O76" s="33">
        <f t="shared" si="8"/>
        <v>8.9917159980673886E-2</v>
      </c>
      <c r="P76" s="23"/>
      <c r="Q76" s="30"/>
      <c r="R76" s="33" t="e">
        <f t="shared" si="9"/>
        <v>#DIV/0!</v>
      </c>
    </row>
    <row r="77" spans="1:18" ht="38.25" x14ac:dyDescent="0.25">
      <c r="A77" s="6">
        <v>227</v>
      </c>
      <c r="B77" s="3" t="s">
        <v>174</v>
      </c>
      <c r="C77" s="8" t="s">
        <v>175</v>
      </c>
      <c r="D77" s="23">
        <v>2890527.97</v>
      </c>
      <c r="E77" s="29">
        <v>35035515.219999999</v>
      </c>
      <c r="F77" s="33">
        <f t="shared" si="5"/>
        <v>8.2502796144123619E-2</v>
      </c>
      <c r="G77" s="23">
        <v>2709058.49</v>
      </c>
      <c r="H77" s="29">
        <v>27202865.93</v>
      </c>
      <c r="I77" s="35">
        <f t="shared" si="6"/>
        <v>9.9587245585487483E-2</v>
      </c>
      <c r="J77" s="23"/>
      <c r="K77" s="30"/>
      <c r="L77" s="35" t="e">
        <f t="shared" si="7"/>
        <v>#DIV/0!</v>
      </c>
      <c r="M77" s="23"/>
      <c r="N77" s="30"/>
      <c r="O77" s="33" t="e">
        <f t="shared" si="8"/>
        <v>#DIV/0!</v>
      </c>
      <c r="P77" s="23"/>
      <c r="Q77" s="30"/>
      <c r="R77" s="33" t="e">
        <f t="shared" si="9"/>
        <v>#DIV/0!</v>
      </c>
    </row>
    <row r="78" spans="1:18" ht="38.25" x14ac:dyDescent="0.25">
      <c r="A78" s="6">
        <v>229</v>
      </c>
      <c r="B78" s="3" t="s">
        <v>176</v>
      </c>
      <c r="C78" s="8" t="s">
        <v>177</v>
      </c>
      <c r="D78" s="23">
        <v>1716443.66</v>
      </c>
      <c r="E78" s="29">
        <v>34829502.530000001</v>
      </c>
      <c r="F78" s="33">
        <f t="shared" si="5"/>
        <v>4.9281314268602043E-2</v>
      </c>
      <c r="G78" s="23">
        <v>1502656.22</v>
      </c>
      <c r="H78" s="29">
        <v>31022225.760000002</v>
      </c>
      <c r="I78" s="35">
        <f t="shared" si="6"/>
        <v>4.8438053143740639E-2</v>
      </c>
      <c r="J78" s="23">
        <v>1076886.24</v>
      </c>
      <c r="K78" s="29">
        <v>21826785.440000001</v>
      </c>
      <c r="L78" s="35">
        <f t="shared" si="7"/>
        <v>4.9337830481738586E-2</v>
      </c>
      <c r="M78" s="23">
        <v>727085.81</v>
      </c>
      <c r="N78" s="29">
        <v>16305217.380000001</v>
      </c>
      <c r="O78" s="33">
        <f t="shared" si="8"/>
        <v>4.4592218125950558E-2</v>
      </c>
      <c r="P78" s="23"/>
      <c r="Q78" s="30"/>
      <c r="R78" s="33" t="e">
        <f t="shared" si="9"/>
        <v>#DIV/0!</v>
      </c>
    </row>
    <row r="79" spans="1:18" ht="25.5" x14ac:dyDescent="0.25">
      <c r="A79" s="6">
        <v>230</v>
      </c>
      <c r="B79" s="3" t="s">
        <v>178</v>
      </c>
      <c r="C79" s="8" t="s">
        <v>179</v>
      </c>
      <c r="D79" s="23">
        <v>223346.79</v>
      </c>
      <c r="E79" s="29">
        <v>354466.17</v>
      </c>
      <c r="F79" s="33">
        <f t="shared" si="5"/>
        <v>0.63009338803756654</v>
      </c>
      <c r="G79" s="23">
        <v>263626.67</v>
      </c>
      <c r="H79" s="29">
        <v>400932.15</v>
      </c>
      <c r="I79" s="35">
        <f t="shared" si="6"/>
        <v>0.65753437333473996</v>
      </c>
      <c r="J79" s="23">
        <v>165835.48000000001</v>
      </c>
      <c r="K79" s="29">
        <v>272108.73</v>
      </c>
      <c r="L79" s="35">
        <f t="shared" si="7"/>
        <v>0.60944564329119477</v>
      </c>
      <c r="M79" s="23">
        <v>160266.59</v>
      </c>
      <c r="N79" s="29">
        <v>243512.11</v>
      </c>
      <c r="O79" s="33">
        <f t="shared" si="8"/>
        <v>0.6581462827454454</v>
      </c>
      <c r="P79" s="23">
        <v>150142.88</v>
      </c>
      <c r="Q79" s="29">
        <v>242953.09</v>
      </c>
      <c r="R79" s="33">
        <f t="shared" si="9"/>
        <v>0.6179912344395373</v>
      </c>
    </row>
    <row r="80" spans="1:18" ht="25.5" x14ac:dyDescent="0.25">
      <c r="A80" s="6">
        <v>231</v>
      </c>
      <c r="B80" s="3" t="s">
        <v>180</v>
      </c>
      <c r="C80" s="8" t="s">
        <v>181</v>
      </c>
      <c r="D80" s="23">
        <v>1112138.94</v>
      </c>
      <c r="E80" s="29">
        <v>20623415.809999999</v>
      </c>
      <c r="F80" s="33">
        <f t="shared" si="5"/>
        <v>5.3926030015878347E-2</v>
      </c>
      <c r="G80" s="23">
        <v>811117.5</v>
      </c>
      <c r="H80" s="29">
        <v>15622853.93</v>
      </c>
      <c r="I80" s="35">
        <f t="shared" si="6"/>
        <v>5.1918650947791328E-2</v>
      </c>
      <c r="J80" s="23">
        <v>595562.05000000005</v>
      </c>
      <c r="K80" s="29">
        <v>11745976.26</v>
      </c>
      <c r="L80" s="35">
        <f t="shared" si="7"/>
        <v>5.0703495121826515E-2</v>
      </c>
      <c r="M80" s="23">
        <v>494080.48</v>
      </c>
      <c r="N80" s="29">
        <v>9352438.7799999993</v>
      </c>
      <c r="O80" s="33">
        <f t="shared" si="8"/>
        <v>5.2829052573600488E-2</v>
      </c>
      <c r="P80" s="23">
        <v>495050.19</v>
      </c>
      <c r="Q80" s="29">
        <v>7548783.4000000004</v>
      </c>
      <c r="R80" s="33">
        <f t="shared" si="9"/>
        <v>6.5580129110606081E-2</v>
      </c>
    </row>
    <row r="81" spans="1:18" ht="38.25" x14ac:dyDescent="0.25">
      <c r="A81" s="6">
        <v>240</v>
      </c>
      <c r="B81" s="3" t="s">
        <v>182</v>
      </c>
      <c r="C81" s="8" t="s">
        <v>183</v>
      </c>
      <c r="D81" s="23"/>
      <c r="E81" s="30"/>
      <c r="F81" s="33" t="e">
        <f t="shared" si="5"/>
        <v>#DIV/0!</v>
      </c>
      <c r="G81" s="23">
        <v>457528.73</v>
      </c>
      <c r="H81" s="29">
        <v>16963699.760000002</v>
      </c>
      <c r="I81" s="35">
        <f t="shared" si="6"/>
        <v>2.6971046202954017E-2</v>
      </c>
      <c r="J81" s="23">
        <v>435234.93</v>
      </c>
      <c r="K81" s="29">
        <v>14112466.85</v>
      </c>
      <c r="L81" s="35">
        <f t="shared" si="7"/>
        <v>3.0840457208939343E-2</v>
      </c>
      <c r="M81" s="23">
        <v>294260.40000000002</v>
      </c>
      <c r="N81" s="29">
        <v>9776036.7100000009</v>
      </c>
      <c r="O81" s="33">
        <f t="shared" si="8"/>
        <v>3.0100173386112417E-2</v>
      </c>
      <c r="P81" s="23">
        <v>300849.37</v>
      </c>
      <c r="Q81" s="29">
        <v>9371590.4399999995</v>
      </c>
      <c r="R81" s="33">
        <f t="shared" si="9"/>
        <v>3.2102274627357701E-2</v>
      </c>
    </row>
    <row r="82" spans="1:18" ht="51" x14ac:dyDescent="0.25">
      <c r="A82" s="6">
        <v>243</v>
      </c>
      <c r="B82" s="3" t="s">
        <v>185</v>
      </c>
      <c r="C82" s="8" t="s">
        <v>186</v>
      </c>
      <c r="D82" s="23"/>
      <c r="E82" s="30"/>
      <c r="F82" s="33" t="e">
        <f t="shared" si="5"/>
        <v>#DIV/0!</v>
      </c>
      <c r="G82" s="23"/>
      <c r="H82" s="30"/>
      <c r="I82" s="35" t="e">
        <f t="shared" si="6"/>
        <v>#DIV/0!</v>
      </c>
      <c r="J82" s="23">
        <v>87090223.879999995</v>
      </c>
      <c r="K82" s="29">
        <v>156516050.13999999</v>
      </c>
      <c r="L82" s="35">
        <f t="shared" si="7"/>
        <v>0.55642998786450215</v>
      </c>
      <c r="M82" s="23">
        <v>72673286.390000001</v>
      </c>
      <c r="N82" s="29">
        <v>121303167.75</v>
      </c>
      <c r="O82" s="33">
        <f t="shared" si="8"/>
        <v>0.59910460491663464</v>
      </c>
      <c r="P82" s="23">
        <v>16443269.33</v>
      </c>
      <c r="Q82" s="29">
        <v>16472255.029999999</v>
      </c>
      <c r="R82" s="33">
        <f t="shared" si="9"/>
        <v>0.99824033200389328</v>
      </c>
    </row>
    <row r="83" spans="1:18" ht="51" x14ac:dyDescent="0.25">
      <c r="A83" s="6">
        <v>247</v>
      </c>
      <c r="B83" s="3" t="s">
        <v>187</v>
      </c>
      <c r="C83" s="8" t="s">
        <v>188</v>
      </c>
      <c r="D83" s="23"/>
      <c r="E83" s="30"/>
      <c r="F83" s="33" t="e">
        <f t="shared" si="5"/>
        <v>#DIV/0!</v>
      </c>
      <c r="G83" s="23"/>
      <c r="H83" s="30"/>
      <c r="I83" s="35" t="e">
        <f t="shared" si="6"/>
        <v>#DIV/0!</v>
      </c>
      <c r="J83" s="23"/>
      <c r="K83" s="30"/>
      <c r="L83" s="35" t="e">
        <f t="shared" si="7"/>
        <v>#DIV/0!</v>
      </c>
      <c r="M83" s="23">
        <v>0</v>
      </c>
      <c r="N83" s="29">
        <v>456634.88</v>
      </c>
      <c r="O83" s="33">
        <f t="shared" si="8"/>
        <v>0</v>
      </c>
      <c r="P83" s="23">
        <v>0</v>
      </c>
      <c r="Q83" s="29">
        <v>237619.86</v>
      </c>
      <c r="R83" s="33">
        <f t="shared" si="9"/>
        <v>0</v>
      </c>
    </row>
    <row r="84" spans="1:18" ht="38.25" x14ac:dyDescent="0.25">
      <c r="A84" s="6">
        <v>248</v>
      </c>
      <c r="B84" s="3" t="s">
        <v>189</v>
      </c>
      <c r="C84" s="8" t="s">
        <v>190</v>
      </c>
      <c r="D84" s="23"/>
      <c r="E84" s="30"/>
      <c r="F84" s="33" t="e">
        <f t="shared" si="5"/>
        <v>#DIV/0!</v>
      </c>
      <c r="G84" s="23"/>
      <c r="H84" s="30"/>
      <c r="I84" s="35" t="e">
        <f t="shared" si="6"/>
        <v>#DIV/0!</v>
      </c>
      <c r="J84" s="23"/>
      <c r="K84" s="30"/>
      <c r="L84" s="35" t="e">
        <f t="shared" si="7"/>
        <v>#DIV/0!</v>
      </c>
      <c r="M84" s="23">
        <v>697706.6</v>
      </c>
      <c r="N84" s="29">
        <v>64736493.049999997</v>
      </c>
      <c r="O84" s="33">
        <f t="shared" si="8"/>
        <v>1.0777639738085874E-2</v>
      </c>
      <c r="P84" s="23">
        <v>572325.84</v>
      </c>
      <c r="Q84" s="29">
        <v>45119481.229999997</v>
      </c>
      <c r="R84" s="33">
        <f t="shared" si="9"/>
        <v>1.2684672438553212E-2</v>
      </c>
    </row>
    <row r="85" spans="1:18" ht="38.25" x14ac:dyDescent="0.25">
      <c r="A85" s="6">
        <v>250</v>
      </c>
      <c r="B85" s="3" t="s">
        <v>191</v>
      </c>
      <c r="C85" s="8" t="s">
        <v>192</v>
      </c>
      <c r="D85" s="23"/>
      <c r="E85" s="30"/>
      <c r="F85" s="33" t="e">
        <f t="shared" si="5"/>
        <v>#DIV/0!</v>
      </c>
      <c r="G85" s="23">
        <v>387099.63</v>
      </c>
      <c r="H85" s="29">
        <v>1023367.58</v>
      </c>
      <c r="I85" s="35">
        <f t="shared" si="6"/>
        <v>0.37826059527897105</v>
      </c>
      <c r="J85" s="23">
        <v>357511.28</v>
      </c>
      <c r="K85" s="29">
        <v>786271.96</v>
      </c>
      <c r="L85" s="35">
        <f t="shared" si="7"/>
        <v>0.45469163112468114</v>
      </c>
      <c r="M85" s="23">
        <v>251198.85</v>
      </c>
      <c r="N85" s="29">
        <v>2023087.34</v>
      </c>
      <c r="O85" s="33">
        <f t="shared" si="8"/>
        <v>0.1241660926018152</v>
      </c>
      <c r="P85" s="23">
        <v>244821.05</v>
      </c>
      <c r="Q85" s="29">
        <v>6131727.21</v>
      </c>
      <c r="R85" s="33">
        <f t="shared" si="9"/>
        <v>3.9926931126474559E-2</v>
      </c>
    </row>
    <row r="86" spans="1:18" ht="38.25" x14ac:dyDescent="0.25">
      <c r="A86" s="6">
        <v>254</v>
      </c>
      <c r="B86" s="3" t="s">
        <v>193</v>
      </c>
      <c r="C86" s="8" t="s">
        <v>194</v>
      </c>
      <c r="D86" s="23"/>
      <c r="E86" s="30"/>
      <c r="F86" s="33" t="e">
        <f t="shared" si="5"/>
        <v>#DIV/0!</v>
      </c>
      <c r="G86" s="23"/>
      <c r="H86" s="30"/>
      <c r="I86" s="35" t="e">
        <f t="shared" si="6"/>
        <v>#DIV/0!</v>
      </c>
      <c r="J86" s="23"/>
      <c r="K86" s="30"/>
      <c r="L86" s="35" t="e">
        <f t="shared" si="7"/>
        <v>#DIV/0!</v>
      </c>
      <c r="M86" s="23">
        <v>195228</v>
      </c>
      <c r="N86" s="29">
        <v>5223976.74</v>
      </c>
      <c r="O86" s="33">
        <f t="shared" si="8"/>
        <v>3.7371529338011564E-2</v>
      </c>
      <c r="P86" s="23">
        <v>168371</v>
      </c>
      <c r="Q86" s="29">
        <v>4145706.56</v>
      </c>
      <c r="R86" s="33">
        <f t="shared" si="9"/>
        <v>4.0613342397296928E-2</v>
      </c>
    </row>
    <row r="87" spans="1:18" ht="38.25" x14ac:dyDescent="0.25">
      <c r="A87" s="6">
        <v>302</v>
      </c>
      <c r="B87" s="3" t="s">
        <v>195</v>
      </c>
      <c r="C87" s="8" t="s">
        <v>196</v>
      </c>
      <c r="D87" s="23">
        <v>580801.47</v>
      </c>
      <c r="E87" s="29">
        <v>4639105.45</v>
      </c>
      <c r="F87" s="33">
        <f t="shared" si="5"/>
        <v>0.12519686742624053</v>
      </c>
      <c r="G87" s="23">
        <v>10971861.619999999</v>
      </c>
      <c r="H87" s="29">
        <v>74190771.939999998</v>
      </c>
      <c r="I87" s="35">
        <f t="shared" si="6"/>
        <v>0.14788714732437652</v>
      </c>
      <c r="J87" s="23">
        <v>10401595.74</v>
      </c>
      <c r="K87" s="29">
        <v>59763735.960000001</v>
      </c>
      <c r="L87" s="35">
        <f t="shared" si="7"/>
        <v>0.17404527298898803</v>
      </c>
      <c r="M87" s="23"/>
      <c r="N87" s="30"/>
      <c r="O87" s="33" t="e">
        <f t="shared" si="8"/>
        <v>#DIV/0!</v>
      </c>
      <c r="P87" s="23">
        <v>7426920.4900000002</v>
      </c>
      <c r="Q87" s="29">
        <v>31674443.59</v>
      </c>
      <c r="R87" s="33">
        <f t="shared" si="9"/>
        <v>0.23447674680999819</v>
      </c>
    </row>
    <row r="88" spans="1:18" ht="51" x14ac:dyDescent="0.25">
      <c r="A88" s="6">
        <v>303</v>
      </c>
      <c r="B88" s="3" t="s">
        <v>197</v>
      </c>
      <c r="C88" s="8" t="s">
        <v>198</v>
      </c>
      <c r="D88" s="23">
        <v>12113382.51</v>
      </c>
      <c r="E88" s="29">
        <v>78707373.810000002</v>
      </c>
      <c r="F88" s="33">
        <f t="shared" si="5"/>
        <v>0.15390403622463336</v>
      </c>
      <c r="G88" s="23">
        <v>10975376.279999999</v>
      </c>
      <c r="H88" s="29">
        <v>69098174.609999999</v>
      </c>
      <c r="I88" s="35">
        <f t="shared" si="6"/>
        <v>0.15883742721058255</v>
      </c>
      <c r="J88" s="23">
        <v>12489480.07</v>
      </c>
      <c r="K88" s="29">
        <v>65549748.159999996</v>
      </c>
      <c r="L88" s="35">
        <f t="shared" si="7"/>
        <v>0.19053437153586772</v>
      </c>
      <c r="M88" s="23">
        <v>14325595.27</v>
      </c>
      <c r="N88" s="29">
        <v>63246783.390000001</v>
      </c>
      <c r="O88" s="33">
        <f t="shared" si="8"/>
        <v>0.22650314375141853</v>
      </c>
      <c r="P88" s="23">
        <v>16251663</v>
      </c>
      <c r="Q88" s="29">
        <v>59811093</v>
      </c>
      <c r="R88" s="33">
        <f t="shared" si="9"/>
        <v>0.27171653592754108</v>
      </c>
    </row>
    <row r="89" spans="1:18" ht="63.75" x14ac:dyDescent="0.25">
      <c r="A89" s="6">
        <v>304</v>
      </c>
      <c r="B89" s="3" t="s">
        <v>199</v>
      </c>
      <c r="C89" s="8" t="s">
        <v>200</v>
      </c>
      <c r="D89" s="23">
        <v>1099853.5900000001</v>
      </c>
      <c r="E89" s="29">
        <v>15041049.699999999</v>
      </c>
      <c r="F89" s="33">
        <f t="shared" si="5"/>
        <v>7.3123459594711671E-2</v>
      </c>
      <c r="G89" s="23">
        <v>1065122.8</v>
      </c>
      <c r="H89" s="29">
        <v>12798912.890000001</v>
      </c>
      <c r="I89" s="35">
        <f t="shared" si="6"/>
        <v>8.3219786645489083E-2</v>
      </c>
      <c r="J89" s="23">
        <v>979777.38</v>
      </c>
      <c r="K89" s="29">
        <v>9979147.3599999994</v>
      </c>
      <c r="L89" s="35">
        <f t="shared" si="7"/>
        <v>9.8182474379253981E-2</v>
      </c>
      <c r="M89" s="23">
        <v>997721.43</v>
      </c>
      <c r="N89" s="29">
        <v>7767285.9299999997</v>
      </c>
      <c r="O89" s="33">
        <f t="shared" si="8"/>
        <v>0.12845174479111779</v>
      </c>
      <c r="P89" s="23">
        <v>1007841.82</v>
      </c>
      <c r="Q89" s="29">
        <v>6881448.4500000002</v>
      </c>
      <c r="R89" s="33">
        <f t="shared" si="9"/>
        <v>0.14645780279005069</v>
      </c>
    </row>
    <row r="90" spans="1:18" ht="51" x14ac:dyDescent="0.25">
      <c r="A90" s="6">
        <v>307</v>
      </c>
      <c r="B90" s="3" t="s">
        <v>201</v>
      </c>
      <c r="C90" s="8" t="s">
        <v>202</v>
      </c>
      <c r="D90" s="23">
        <v>177640.67</v>
      </c>
      <c r="E90" s="29">
        <v>420826.1</v>
      </c>
      <c r="F90" s="33">
        <f t="shared" si="5"/>
        <v>0.42212369907664954</v>
      </c>
      <c r="G90" s="23"/>
      <c r="H90" s="30"/>
      <c r="I90" s="35" t="e">
        <f t="shared" si="6"/>
        <v>#DIV/0!</v>
      </c>
      <c r="J90" s="23"/>
      <c r="K90" s="30"/>
      <c r="L90" s="35" t="e">
        <f t="shared" si="7"/>
        <v>#DIV/0!</v>
      </c>
      <c r="M90" s="23"/>
      <c r="N90" s="30"/>
      <c r="O90" s="33" t="e">
        <f t="shared" si="8"/>
        <v>#DIV/0!</v>
      </c>
      <c r="P90" s="23"/>
      <c r="Q90" s="30"/>
      <c r="R90" s="33" t="e">
        <f t="shared" si="9"/>
        <v>#DIV/0!</v>
      </c>
    </row>
    <row r="91" spans="1:18" ht="51" x14ac:dyDescent="0.25">
      <c r="A91" s="6">
        <v>320</v>
      </c>
      <c r="B91" s="3" t="s">
        <v>203</v>
      </c>
      <c r="C91" s="8" t="s">
        <v>204</v>
      </c>
      <c r="D91" s="23">
        <v>43399999.579999998</v>
      </c>
      <c r="E91" s="29">
        <v>55786284.399999999</v>
      </c>
      <c r="F91" s="33">
        <f t="shared" si="5"/>
        <v>0.77796899447205337</v>
      </c>
      <c r="G91" s="23">
        <v>39486043.390000001</v>
      </c>
      <c r="H91" s="29">
        <v>49424952.520000003</v>
      </c>
      <c r="I91" s="35">
        <f t="shared" si="6"/>
        <v>0.7989090808741155</v>
      </c>
      <c r="J91" s="23">
        <v>34746110.100000001</v>
      </c>
      <c r="K91" s="29">
        <v>44455778.590000004</v>
      </c>
      <c r="L91" s="35">
        <f t="shared" si="7"/>
        <v>0.78158815798618986</v>
      </c>
      <c r="M91" s="23">
        <v>30819642.379999999</v>
      </c>
      <c r="N91" s="30">
        <v>38920023.979999997</v>
      </c>
      <c r="O91" s="33">
        <f t="shared" si="8"/>
        <v>0.79187110459740273</v>
      </c>
      <c r="P91" s="23">
        <v>28454323.59</v>
      </c>
      <c r="Q91" s="30">
        <v>36813350.759999998</v>
      </c>
      <c r="R91" s="33">
        <f t="shared" si="9"/>
        <v>0.77293490004494236</v>
      </c>
    </row>
    <row r="92" spans="1:18" ht="38.25" x14ac:dyDescent="0.25">
      <c r="A92" s="6">
        <v>322</v>
      </c>
      <c r="B92" s="3" t="s">
        <v>205</v>
      </c>
      <c r="C92" s="8" t="s">
        <v>206</v>
      </c>
      <c r="D92" s="23"/>
      <c r="E92" s="30"/>
      <c r="F92" s="33" t="e">
        <f t="shared" si="5"/>
        <v>#DIV/0!</v>
      </c>
      <c r="G92" s="23">
        <v>14459214.960000001</v>
      </c>
      <c r="H92" s="29">
        <v>28910533.870000001</v>
      </c>
      <c r="I92" s="35">
        <f t="shared" si="6"/>
        <v>0.50013656008629082</v>
      </c>
      <c r="J92" s="23"/>
      <c r="K92" s="30"/>
      <c r="L92" s="35" t="e">
        <f t="shared" si="7"/>
        <v>#DIV/0!</v>
      </c>
      <c r="M92" s="23"/>
      <c r="N92" s="30"/>
      <c r="O92" s="33" t="e">
        <f t="shared" si="8"/>
        <v>#DIV/0!</v>
      </c>
      <c r="P92" s="23"/>
      <c r="Q92" s="30"/>
      <c r="R92" s="33" t="e">
        <f t="shared" si="9"/>
        <v>#DIV/0!</v>
      </c>
    </row>
    <row r="93" spans="1:18" ht="51" x14ac:dyDescent="0.25">
      <c r="A93" s="6">
        <v>1</v>
      </c>
      <c r="B93" s="3" t="s">
        <v>207</v>
      </c>
      <c r="C93" s="8" t="s">
        <v>208</v>
      </c>
      <c r="D93" s="23">
        <v>414267.82</v>
      </c>
      <c r="E93" s="29">
        <v>2967654.48</v>
      </c>
      <c r="F93" s="33">
        <f t="shared" si="5"/>
        <v>0.13959435735928397</v>
      </c>
      <c r="G93" s="23">
        <v>316370.12</v>
      </c>
      <c r="H93" s="29">
        <v>2858192.58</v>
      </c>
      <c r="I93" s="35">
        <f t="shared" si="6"/>
        <v>0.11068887457541436</v>
      </c>
      <c r="J93" s="23"/>
      <c r="K93" s="30"/>
      <c r="L93" s="35" t="e">
        <f t="shared" si="7"/>
        <v>#DIV/0!</v>
      </c>
      <c r="M93" s="23">
        <v>168691.75</v>
      </c>
      <c r="N93" s="29">
        <v>1852588.19</v>
      </c>
      <c r="O93" s="33">
        <f t="shared" si="8"/>
        <v>9.1057338544298941E-2</v>
      </c>
      <c r="P93" s="23">
        <v>166775.74</v>
      </c>
      <c r="Q93" s="29">
        <v>2725017.74</v>
      </c>
      <c r="R93" s="33">
        <f t="shared" si="9"/>
        <v>6.120170799328447E-2</v>
      </c>
    </row>
    <row r="94" spans="1:18" ht="38.25" x14ac:dyDescent="0.25">
      <c r="A94" s="6">
        <v>2</v>
      </c>
      <c r="B94" s="3" t="s">
        <v>211</v>
      </c>
      <c r="C94" s="8" t="s">
        <v>212</v>
      </c>
      <c r="D94" s="23">
        <v>1503600.85</v>
      </c>
      <c r="E94" s="29">
        <v>16085025.02</v>
      </c>
      <c r="F94" s="33">
        <f t="shared" si="5"/>
        <v>9.3478303461165535E-2</v>
      </c>
      <c r="G94" s="23">
        <v>1021781.14</v>
      </c>
      <c r="H94" s="29">
        <v>16003736.949999999</v>
      </c>
      <c r="I94" s="35">
        <f t="shared" si="6"/>
        <v>6.3846409322542638E-2</v>
      </c>
      <c r="J94" s="23">
        <v>816936.8</v>
      </c>
      <c r="K94" s="29">
        <v>25881365.690000001</v>
      </c>
      <c r="L94" s="35">
        <f t="shared" si="7"/>
        <v>3.1564671269091751E-2</v>
      </c>
      <c r="M94" s="23"/>
      <c r="N94" s="30"/>
      <c r="O94" s="33" t="e">
        <f t="shared" si="8"/>
        <v>#DIV/0!</v>
      </c>
      <c r="P94" s="23"/>
      <c r="Q94" s="30"/>
      <c r="R94" s="33" t="e">
        <f t="shared" si="9"/>
        <v>#DIV/0!</v>
      </c>
    </row>
    <row r="95" spans="1:18" ht="38.25" x14ac:dyDescent="0.25">
      <c r="A95" s="6">
        <v>5</v>
      </c>
      <c r="B95" s="3" t="s">
        <v>213</v>
      </c>
      <c r="C95" s="8" t="s">
        <v>214</v>
      </c>
      <c r="D95" s="23">
        <v>6412940.4800000004</v>
      </c>
      <c r="E95" s="29">
        <v>10351935.720000001</v>
      </c>
      <c r="F95" s="33">
        <f t="shared" si="5"/>
        <v>0.61949191469670373</v>
      </c>
      <c r="G95" s="23">
        <v>6230080</v>
      </c>
      <c r="H95" s="29">
        <v>9135242.8300000001</v>
      </c>
      <c r="I95" s="35">
        <f t="shared" si="6"/>
        <v>0.6819829659634784</v>
      </c>
      <c r="J95" s="23">
        <v>5950509.0199999996</v>
      </c>
      <c r="K95" s="29">
        <v>9795085.4900000002</v>
      </c>
      <c r="L95" s="35">
        <f t="shared" si="7"/>
        <v>0.60749944715388082</v>
      </c>
      <c r="M95" s="23">
        <v>6160989.5199999996</v>
      </c>
      <c r="N95" s="29">
        <v>9173464.1500000004</v>
      </c>
      <c r="O95" s="33">
        <f t="shared" si="8"/>
        <v>0.67160991957438443</v>
      </c>
      <c r="P95" s="23">
        <v>6564337.6299999999</v>
      </c>
      <c r="Q95" s="29">
        <v>9756822.9399999995</v>
      </c>
      <c r="R95" s="33">
        <f t="shared" si="9"/>
        <v>0.67279458388941515</v>
      </c>
    </row>
    <row r="96" spans="1:18" ht="38.25" x14ac:dyDescent="0.25">
      <c r="A96" s="6">
        <v>6</v>
      </c>
      <c r="B96" s="3" t="s">
        <v>216</v>
      </c>
      <c r="C96" s="8" t="s">
        <v>217</v>
      </c>
      <c r="D96" s="23">
        <v>9261845</v>
      </c>
      <c r="E96" s="29">
        <v>14467721.060000001</v>
      </c>
      <c r="F96" s="33">
        <f t="shared" si="5"/>
        <v>0.64017304187643775</v>
      </c>
      <c r="G96" s="23">
        <v>6131098.9299999997</v>
      </c>
      <c r="H96" s="29">
        <v>11432217.619999999</v>
      </c>
      <c r="I96" s="35">
        <f t="shared" si="6"/>
        <v>0.53630005426716154</v>
      </c>
      <c r="J96" s="23">
        <v>6152254</v>
      </c>
      <c r="K96" s="29">
        <v>10717549.800000001</v>
      </c>
      <c r="L96" s="35">
        <f t="shared" si="7"/>
        <v>0.57403549456798419</v>
      </c>
      <c r="M96" s="23">
        <v>5553975.3799999999</v>
      </c>
      <c r="N96" s="29">
        <v>10009110.789999999</v>
      </c>
      <c r="O96" s="33">
        <f t="shared" si="8"/>
        <v>0.55489198756286329</v>
      </c>
      <c r="P96" s="23"/>
      <c r="Q96" s="30"/>
      <c r="R96" s="33" t="e">
        <f t="shared" si="9"/>
        <v>#DIV/0!</v>
      </c>
    </row>
    <row r="97" spans="1:18" ht="51" x14ac:dyDescent="0.25">
      <c r="A97" s="6">
        <v>51</v>
      </c>
      <c r="B97" s="3" t="s">
        <v>218</v>
      </c>
      <c r="C97" s="8" t="s">
        <v>219</v>
      </c>
      <c r="D97" s="23">
        <v>1988464.25</v>
      </c>
      <c r="E97" s="29">
        <v>67704085.700000003</v>
      </c>
      <c r="F97" s="33">
        <f t="shared" si="5"/>
        <v>2.9369929885930058E-2</v>
      </c>
      <c r="G97" s="23">
        <v>1828336.35</v>
      </c>
      <c r="H97" s="29">
        <v>52940787.030000001</v>
      </c>
      <c r="I97" s="35">
        <f t="shared" si="6"/>
        <v>3.4535496213230363E-2</v>
      </c>
      <c r="J97" s="23">
        <v>2091892.16</v>
      </c>
      <c r="K97" s="29">
        <v>41449346.630000003</v>
      </c>
      <c r="L97" s="35">
        <f t="shared" si="7"/>
        <v>5.046864016153009E-2</v>
      </c>
      <c r="M97" s="23">
        <v>2130640.9900000002</v>
      </c>
      <c r="N97" s="29">
        <v>31592374.550000001</v>
      </c>
      <c r="O97" s="33">
        <f t="shared" si="8"/>
        <v>6.7441622237920704E-2</v>
      </c>
      <c r="P97" s="23"/>
      <c r="Q97" s="30"/>
      <c r="R97" s="33" t="e">
        <f t="shared" si="9"/>
        <v>#DIV/0!</v>
      </c>
    </row>
    <row r="98" spans="1:18" ht="63.75" x14ac:dyDescent="0.25">
      <c r="A98" s="6">
        <v>90</v>
      </c>
      <c r="B98" s="3" t="s">
        <v>221</v>
      </c>
      <c r="C98" s="8" t="s">
        <v>222</v>
      </c>
      <c r="D98" s="23"/>
      <c r="E98" s="30"/>
      <c r="F98" s="33" t="e">
        <f t="shared" si="5"/>
        <v>#DIV/0!</v>
      </c>
      <c r="G98" s="23">
        <v>877944.37</v>
      </c>
      <c r="H98" s="29">
        <v>10421682.789999999</v>
      </c>
      <c r="I98" s="35">
        <f t="shared" si="6"/>
        <v>8.4242092922116277E-2</v>
      </c>
      <c r="J98" s="23">
        <v>1105870.42</v>
      </c>
      <c r="K98" s="29">
        <v>13965504.039999999</v>
      </c>
      <c r="L98" s="35">
        <f t="shared" si="7"/>
        <v>7.9185858013614524E-2</v>
      </c>
      <c r="M98" s="23">
        <v>341716.37</v>
      </c>
      <c r="N98" s="29">
        <v>1139395.27</v>
      </c>
      <c r="O98" s="33">
        <f t="shared" si="8"/>
        <v>0.29991029364199484</v>
      </c>
      <c r="P98" s="23"/>
      <c r="Q98" s="30"/>
      <c r="R98" s="33" t="e">
        <f t="shared" si="9"/>
        <v>#DIV/0!</v>
      </c>
    </row>
    <row r="99" spans="1:18" ht="76.5" x14ac:dyDescent="0.25">
      <c r="A99" s="6">
        <v>94</v>
      </c>
      <c r="B99" s="3" t="s">
        <v>224</v>
      </c>
      <c r="C99" s="8" t="s">
        <v>225</v>
      </c>
      <c r="D99" s="23"/>
      <c r="E99" s="30"/>
      <c r="F99" s="33" t="e">
        <f t="shared" si="5"/>
        <v>#DIV/0!</v>
      </c>
      <c r="G99" s="23">
        <v>959252.58</v>
      </c>
      <c r="H99" s="29">
        <v>2121811.33</v>
      </c>
      <c r="I99" s="35">
        <f t="shared" si="6"/>
        <v>0.45209136478689643</v>
      </c>
      <c r="J99" s="23">
        <v>911599.93</v>
      </c>
      <c r="K99" s="29">
        <v>1571167.29</v>
      </c>
      <c r="L99" s="35">
        <f t="shared" si="7"/>
        <v>0.58020551713497037</v>
      </c>
      <c r="M99" s="23"/>
      <c r="N99" s="30"/>
      <c r="O99" s="33" t="e">
        <f t="shared" si="8"/>
        <v>#DIV/0!</v>
      </c>
      <c r="P99" s="23">
        <v>550168.5</v>
      </c>
      <c r="Q99" s="29">
        <v>1417533.01</v>
      </c>
      <c r="R99" s="33">
        <f t="shared" si="9"/>
        <v>0.38811688766246083</v>
      </c>
    </row>
    <row r="100" spans="1:18" ht="38.25" x14ac:dyDescent="0.25">
      <c r="A100" s="6">
        <v>106</v>
      </c>
      <c r="B100" s="3" t="s">
        <v>226</v>
      </c>
      <c r="C100" s="8" t="s">
        <v>227</v>
      </c>
      <c r="D100" s="23">
        <v>7154955.4900000002</v>
      </c>
      <c r="E100" s="29">
        <v>17872699.77</v>
      </c>
      <c r="F100" s="33">
        <f t="shared" si="5"/>
        <v>0.40032874619255132</v>
      </c>
      <c r="G100" s="23">
        <v>5442594.04</v>
      </c>
      <c r="H100" s="29">
        <v>13534644.98</v>
      </c>
      <c r="I100" s="35">
        <f t="shared" si="6"/>
        <v>0.40212314752566192</v>
      </c>
      <c r="J100" s="23">
        <v>5942311.1500000004</v>
      </c>
      <c r="K100" s="29">
        <v>9220529.0600000005</v>
      </c>
      <c r="L100" s="35">
        <f t="shared" si="7"/>
        <v>0.64446531336022927</v>
      </c>
      <c r="M100" s="23">
        <v>6273476.0899999999</v>
      </c>
      <c r="N100" s="29">
        <v>10828866.02</v>
      </c>
      <c r="O100" s="33">
        <f t="shared" si="8"/>
        <v>0.57932899699870888</v>
      </c>
      <c r="P100" s="23">
        <v>6865657.5099999998</v>
      </c>
      <c r="Q100" s="29">
        <v>11617465.710000001</v>
      </c>
      <c r="R100" s="33">
        <f t="shared" si="9"/>
        <v>0.59097721322217689</v>
      </c>
    </row>
    <row r="101" spans="1:18" ht="38.25" x14ac:dyDescent="0.25">
      <c r="A101" s="6">
        <v>107</v>
      </c>
      <c r="B101" s="3" t="s">
        <v>229</v>
      </c>
      <c r="C101" s="8" t="s">
        <v>230</v>
      </c>
      <c r="D101" s="23">
        <v>5822234.3899999997</v>
      </c>
      <c r="E101" s="29">
        <v>10528865.4</v>
      </c>
      <c r="F101" s="33">
        <f t="shared" si="5"/>
        <v>0.55297832851011652</v>
      </c>
      <c r="G101" s="23">
        <v>5638526.1500000004</v>
      </c>
      <c r="H101" s="29">
        <v>10039889.08</v>
      </c>
      <c r="I101" s="35">
        <f t="shared" si="6"/>
        <v>0.56161239482538194</v>
      </c>
      <c r="J101" s="23">
        <v>5467900</v>
      </c>
      <c r="K101" s="29">
        <v>10379931.68</v>
      </c>
      <c r="L101" s="35">
        <f t="shared" si="7"/>
        <v>0.52677610687318133</v>
      </c>
      <c r="M101" s="23"/>
      <c r="N101" s="29"/>
      <c r="O101" s="33" t="e">
        <f t="shared" si="8"/>
        <v>#DIV/0!</v>
      </c>
      <c r="P101" s="23"/>
      <c r="R101" s="33" t="e">
        <f t="shared" si="9"/>
        <v>#DIV/0!</v>
      </c>
    </row>
    <row r="102" spans="1:18" ht="38.25" x14ac:dyDescent="0.25">
      <c r="A102" s="6">
        <v>109</v>
      </c>
      <c r="B102" s="3" t="s">
        <v>231</v>
      </c>
      <c r="C102" s="8" t="s">
        <v>232</v>
      </c>
      <c r="D102" s="23">
        <v>6349879.0599999996</v>
      </c>
      <c r="E102" s="29">
        <v>13220501.189999999</v>
      </c>
      <c r="F102" s="33">
        <f t="shared" si="5"/>
        <v>0.48030547168688692</v>
      </c>
      <c r="G102" s="23">
        <v>5670812.5899999999</v>
      </c>
      <c r="H102" s="29">
        <v>13979350.15</v>
      </c>
      <c r="I102" s="35">
        <f t="shared" si="6"/>
        <v>0.40565638095845247</v>
      </c>
      <c r="J102" s="23">
        <v>4471411.83</v>
      </c>
      <c r="K102" s="29">
        <v>12703604</v>
      </c>
      <c r="L102" s="35">
        <f t="shared" si="7"/>
        <v>0.35197978699587928</v>
      </c>
      <c r="M102" s="23">
        <v>2146328.15</v>
      </c>
      <c r="N102" s="29">
        <v>2817978.31</v>
      </c>
      <c r="O102" s="33">
        <f t="shared" si="8"/>
        <v>0.76165531238599204</v>
      </c>
      <c r="P102" s="23">
        <v>1987621.41</v>
      </c>
      <c r="Q102" s="29">
        <v>2486357.17</v>
      </c>
      <c r="R102" s="33">
        <f t="shared" si="9"/>
        <v>0.79941105565295756</v>
      </c>
    </row>
    <row r="103" spans="1:18" ht="38.25" x14ac:dyDescent="0.25">
      <c r="A103" s="6">
        <v>110</v>
      </c>
      <c r="B103" s="3" t="s">
        <v>233</v>
      </c>
      <c r="C103" s="8" t="s">
        <v>234</v>
      </c>
      <c r="D103" s="23"/>
      <c r="E103" s="30"/>
      <c r="F103" s="33" t="e">
        <f t="shared" si="5"/>
        <v>#DIV/0!</v>
      </c>
      <c r="G103" s="23"/>
      <c r="H103" s="30"/>
      <c r="I103" s="35" t="e">
        <f t="shared" si="6"/>
        <v>#DIV/0!</v>
      </c>
      <c r="J103" s="23">
        <v>6999971.54</v>
      </c>
      <c r="K103" s="29">
        <v>9773723.5999999996</v>
      </c>
      <c r="L103" s="35">
        <f t="shared" si="7"/>
        <v>0.71620314083774583</v>
      </c>
      <c r="M103" s="23"/>
      <c r="N103" s="29"/>
      <c r="O103" s="33" t="e">
        <f t="shared" si="8"/>
        <v>#DIV/0!</v>
      </c>
      <c r="P103" s="23"/>
      <c r="Q103" s="29"/>
      <c r="R103" s="33" t="e">
        <f t="shared" si="9"/>
        <v>#DIV/0!</v>
      </c>
    </row>
    <row r="104" spans="1:18" ht="51" x14ac:dyDescent="0.25">
      <c r="A104" s="6">
        <v>112</v>
      </c>
      <c r="B104" s="3" t="s">
        <v>235</v>
      </c>
      <c r="C104" s="8" t="s">
        <v>236</v>
      </c>
      <c r="D104" s="23">
        <v>8474582.1600000001</v>
      </c>
      <c r="E104" s="29">
        <v>14570622.199999999</v>
      </c>
      <c r="F104" s="33">
        <f t="shared" si="5"/>
        <v>0.58162115822342852</v>
      </c>
      <c r="G104" s="23">
        <v>7939776.54</v>
      </c>
      <c r="H104" s="29">
        <v>14496003.869999999</v>
      </c>
      <c r="I104" s="35">
        <f t="shared" si="6"/>
        <v>0.54772174533090823</v>
      </c>
      <c r="J104" s="23">
        <v>7493066.7699999996</v>
      </c>
      <c r="K104" s="29">
        <v>13302299.970000001</v>
      </c>
      <c r="L104" s="35">
        <f t="shared" si="7"/>
        <v>0.56329106898045689</v>
      </c>
      <c r="M104" s="23">
        <v>7597253.21</v>
      </c>
      <c r="N104" s="29">
        <v>12107615.609999999</v>
      </c>
      <c r="O104" s="33">
        <f t="shared" si="8"/>
        <v>0.62747723868316629</v>
      </c>
      <c r="P104" s="23">
        <v>7217762.1399999997</v>
      </c>
      <c r="Q104" s="29">
        <v>11136573.52</v>
      </c>
      <c r="R104" s="33">
        <f t="shared" si="9"/>
        <v>0.64811336512417694</v>
      </c>
    </row>
    <row r="105" spans="1:18" ht="38.25" x14ac:dyDescent="0.25">
      <c r="A105" s="6">
        <v>113</v>
      </c>
      <c r="B105" s="3" t="s">
        <v>237</v>
      </c>
      <c r="C105" s="8" t="s">
        <v>238</v>
      </c>
      <c r="D105" s="23">
        <v>6733446.1600000001</v>
      </c>
      <c r="E105" s="29">
        <v>13337957.939999999</v>
      </c>
      <c r="F105" s="33">
        <f t="shared" si="5"/>
        <v>0.50483336281985614</v>
      </c>
      <c r="G105" s="23"/>
      <c r="H105" s="30"/>
      <c r="I105" s="35" t="e">
        <f t="shared" si="6"/>
        <v>#DIV/0!</v>
      </c>
      <c r="J105" s="23"/>
      <c r="K105" s="30"/>
      <c r="L105" s="35" t="e">
        <f t="shared" si="7"/>
        <v>#DIV/0!</v>
      </c>
      <c r="M105" s="23"/>
      <c r="N105" s="30"/>
      <c r="O105" s="33" t="e">
        <f t="shared" si="8"/>
        <v>#DIV/0!</v>
      </c>
      <c r="P105" s="23"/>
      <c r="Q105" s="30"/>
      <c r="R105" s="33" t="e">
        <f t="shared" si="9"/>
        <v>#DIV/0!</v>
      </c>
    </row>
    <row r="106" spans="1:18" ht="51" x14ac:dyDescent="0.25">
      <c r="A106" s="6">
        <v>117</v>
      </c>
      <c r="B106" s="3" t="s">
        <v>239</v>
      </c>
      <c r="C106" s="8" t="s">
        <v>240</v>
      </c>
      <c r="D106" s="23">
        <v>118595.19</v>
      </c>
      <c r="E106" s="29">
        <v>15145280.949999999</v>
      </c>
      <c r="F106" s="33">
        <f t="shared" si="5"/>
        <v>7.8305044582220179E-3</v>
      </c>
      <c r="G106" s="23">
        <v>7727823.4900000002</v>
      </c>
      <c r="H106" s="29">
        <v>13032703.24</v>
      </c>
      <c r="I106" s="35">
        <f t="shared" si="6"/>
        <v>0.59295629983208309</v>
      </c>
      <c r="J106" s="23">
        <v>4862613.2699999996</v>
      </c>
      <c r="K106" s="29">
        <v>8874101.6300000008</v>
      </c>
      <c r="L106" s="35">
        <f t="shared" si="7"/>
        <v>0.54795555344569558</v>
      </c>
      <c r="M106" s="23">
        <v>1670297.31</v>
      </c>
      <c r="N106" s="29">
        <v>2611999.75</v>
      </c>
      <c r="O106" s="33">
        <f t="shared" si="8"/>
        <v>0.63947070056189714</v>
      </c>
      <c r="P106" s="23"/>
      <c r="Q106" s="30"/>
      <c r="R106" s="33" t="e">
        <f t="shared" si="9"/>
        <v>#DIV/0!</v>
      </c>
    </row>
    <row r="107" spans="1:18" ht="25.5" x14ac:dyDescent="0.25">
      <c r="A107" s="6">
        <v>130</v>
      </c>
      <c r="B107" s="3" t="s">
        <v>241</v>
      </c>
      <c r="C107" s="8" t="s">
        <v>242</v>
      </c>
      <c r="D107" s="23"/>
      <c r="E107" s="30"/>
      <c r="F107" s="33" t="e">
        <f t="shared" si="5"/>
        <v>#DIV/0!</v>
      </c>
      <c r="G107" s="23"/>
      <c r="H107" s="30"/>
      <c r="I107" s="35" t="e">
        <f t="shared" si="6"/>
        <v>#DIV/0!</v>
      </c>
      <c r="J107" s="23">
        <v>1414603.74</v>
      </c>
      <c r="K107" s="29">
        <v>2360649.4500000002</v>
      </c>
      <c r="L107" s="35">
        <f t="shared" si="7"/>
        <v>0.59924345819325264</v>
      </c>
      <c r="M107" s="23">
        <v>1262330.47</v>
      </c>
      <c r="N107" s="29">
        <v>1862371.4</v>
      </c>
      <c r="O107" s="33">
        <f t="shared" si="8"/>
        <v>0.67780812677857916</v>
      </c>
      <c r="P107" s="23"/>
      <c r="Q107" s="30"/>
      <c r="R107" s="33" t="e">
        <f t="shared" si="9"/>
        <v>#DIV/0!</v>
      </c>
    </row>
    <row r="108" spans="1:18" ht="51" x14ac:dyDescent="0.25">
      <c r="A108" s="6">
        <v>200</v>
      </c>
      <c r="B108" s="3" t="s">
        <v>244</v>
      </c>
      <c r="C108" s="8" t="s">
        <v>245</v>
      </c>
      <c r="D108" s="23"/>
      <c r="E108" s="30"/>
      <c r="F108" s="33" t="e">
        <f t="shared" si="5"/>
        <v>#DIV/0!</v>
      </c>
      <c r="G108" s="23"/>
      <c r="H108" s="30"/>
      <c r="I108" s="35" t="e">
        <f t="shared" si="6"/>
        <v>#DIV/0!</v>
      </c>
      <c r="J108" s="23"/>
      <c r="K108" s="30"/>
      <c r="L108" s="35" t="e">
        <f t="shared" si="7"/>
        <v>#DIV/0!</v>
      </c>
      <c r="M108" s="23"/>
      <c r="N108" s="30"/>
      <c r="O108" s="33" t="e">
        <f t="shared" si="8"/>
        <v>#DIV/0!</v>
      </c>
      <c r="P108" s="23">
        <v>75891.86</v>
      </c>
      <c r="Q108" s="29">
        <v>1110474.02</v>
      </c>
      <c r="R108" s="33">
        <f t="shared" si="9"/>
        <v>6.8341859992366139E-2</v>
      </c>
    </row>
    <row r="109" spans="1:18" ht="38.25" x14ac:dyDescent="0.25">
      <c r="A109" s="6">
        <v>205</v>
      </c>
      <c r="B109" s="3" t="s">
        <v>247</v>
      </c>
      <c r="C109" s="8" t="s">
        <v>248</v>
      </c>
      <c r="D109" s="23">
        <v>2986627.95</v>
      </c>
      <c r="E109" s="29">
        <v>8078849.75</v>
      </c>
      <c r="F109" s="33">
        <f t="shared" si="5"/>
        <v>0.36968479949760175</v>
      </c>
      <c r="G109" s="23">
        <v>3972054.91</v>
      </c>
      <c r="H109" s="29">
        <v>8523055.8200000003</v>
      </c>
      <c r="I109" s="35">
        <f t="shared" si="6"/>
        <v>0.46603647727840414</v>
      </c>
      <c r="J109" s="23">
        <v>1412983.88</v>
      </c>
      <c r="K109" s="29">
        <v>10511481.890000001</v>
      </c>
      <c r="L109" s="35">
        <f t="shared" si="7"/>
        <v>0.13442290009976887</v>
      </c>
      <c r="M109" s="23">
        <v>392369.54</v>
      </c>
      <c r="N109" s="29">
        <v>6840879.8700000001</v>
      </c>
      <c r="O109" s="33">
        <f t="shared" si="8"/>
        <v>5.735658971599511E-2</v>
      </c>
      <c r="P109" s="23">
        <v>246548.36</v>
      </c>
      <c r="Q109" s="29">
        <v>598784.42000000004</v>
      </c>
      <c r="R109" s="33">
        <f t="shared" si="9"/>
        <v>0.41174812130215405</v>
      </c>
    </row>
    <row r="110" spans="1:18" ht="63.75" x14ac:dyDescent="0.25">
      <c r="A110" s="6">
        <v>206</v>
      </c>
      <c r="B110" s="3" t="s">
        <v>249</v>
      </c>
      <c r="C110" s="8" t="s">
        <v>250</v>
      </c>
      <c r="D110" s="23">
        <v>553831.36</v>
      </c>
      <c r="E110" s="29">
        <v>1234412.05</v>
      </c>
      <c r="F110" s="33">
        <f t="shared" si="5"/>
        <v>0.44866004021914724</v>
      </c>
      <c r="G110" s="23">
        <v>442169.73</v>
      </c>
      <c r="H110" s="29">
        <v>810580.59</v>
      </c>
      <c r="I110" s="35">
        <f t="shared" si="6"/>
        <v>0.54549755503027775</v>
      </c>
      <c r="J110" s="23">
        <v>491646.5</v>
      </c>
      <c r="K110" s="29">
        <v>811760.32</v>
      </c>
      <c r="L110" s="35">
        <f t="shared" si="7"/>
        <v>0.60565475779845956</v>
      </c>
      <c r="M110" s="23">
        <v>444843.95</v>
      </c>
      <c r="N110" s="29">
        <v>651035.64</v>
      </c>
      <c r="O110" s="33">
        <f t="shared" si="8"/>
        <v>0.68328663235702425</v>
      </c>
      <c r="P110" s="23">
        <v>499276.58</v>
      </c>
      <c r="Q110" s="29">
        <v>733338.51</v>
      </c>
      <c r="R110" s="33">
        <f t="shared" si="9"/>
        <v>0.680826893981062</v>
      </c>
    </row>
    <row r="111" spans="1:18" ht="38.25" x14ac:dyDescent="0.25">
      <c r="A111" s="6">
        <v>208</v>
      </c>
      <c r="B111" s="3" t="s">
        <v>251</v>
      </c>
      <c r="C111" s="8" t="s">
        <v>252</v>
      </c>
      <c r="D111" s="23">
        <v>2548605.9</v>
      </c>
      <c r="E111" s="29">
        <v>16380706.67</v>
      </c>
      <c r="F111" s="33">
        <f t="shared" si="5"/>
        <v>0.1555858334651444</v>
      </c>
      <c r="G111" s="23">
        <v>2569733.66</v>
      </c>
      <c r="H111" s="29">
        <v>14774949.119999999</v>
      </c>
      <c r="I111" s="35">
        <f t="shared" si="6"/>
        <v>0.17392504293104463</v>
      </c>
      <c r="J111" s="23">
        <v>2359467.42</v>
      </c>
      <c r="K111" s="29">
        <v>15383182.34</v>
      </c>
      <c r="L111" s="35">
        <f t="shared" si="7"/>
        <v>0.15337966929409744</v>
      </c>
      <c r="M111" s="23">
        <v>2314873.29</v>
      </c>
      <c r="N111" s="29">
        <v>12804600.630000001</v>
      </c>
      <c r="O111" s="33">
        <f t="shared" si="8"/>
        <v>0.18078449745449029</v>
      </c>
      <c r="P111" s="23">
        <v>2478142.7200000002</v>
      </c>
      <c r="Q111" s="29">
        <v>13668611.970000001</v>
      </c>
      <c r="R111" s="33">
        <f t="shared" si="9"/>
        <v>0.18130170974485568</v>
      </c>
    </row>
    <row r="112" spans="1:18" ht="38.25" x14ac:dyDescent="0.25">
      <c r="A112" s="6">
        <v>264</v>
      </c>
      <c r="B112" s="10" t="s">
        <v>253</v>
      </c>
      <c r="C112" s="8" t="s">
        <v>254</v>
      </c>
      <c r="D112" s="23">
        <v>2477651.83</v>
      </c>
      <c r="E112" s="29">
        <v>22442561.5</v>
      </c>
      <c r="F112" s="33">
        <f t="shared" si="5"/>
        <v>0.11039968989279589</v>
      </c>
      <c r="G112" s="23"/>
      <c r="H112" s="30"/>
      <c r="I112" s="35" t="e">
        <f t="shared" si="6"/>
        <v>#DIV/0!</v>
      </c>
      <c r="J112" s="23">
        <v>1778554.44</v>
      </c>
      <c r="K112" s="29">
        <v>21407563.780000001</v>
      </c>
      <c r="L112" s="35">
        <f t="shared" si="7"/>
        <v>8.3080655897034533E-2</v>
      </c>
      <c r="M112" s="23">
        <v>1445164.54</v>
      </c>
      <c r="N112" s="29">
        <v>12645350.75</v>
      </c>
      <c r="O112" s="33">
        <f t="shared" si="8"/>
        <v>0.11428425897953048</v>
      </c>
      <c r="P112" s="23">
        <v>1005022.05</v>
      </c>
      <c r="Q112" s="29">
        <v>7960553.2699999996</v>
      </c>
      <c r="R112" s="33">
        <f t="shared" si="9"/>
        <v>0.12625027632030406</v>
      </c>
    </row>
    <row r="113" spans="1:18" ht="51" x14ac:dyDescent="0.25">
      <c r="A113" s="6">
        <v>300</v>
      </c>
      <c r="B113" s="3" t="s">
        <v>256</v>
      </c>
      <c r="C113" s="8" t="s">
        <v>257</v>
      </c>
      <c r="D113" s="23"/>
      <c r="E113" s="30"/>
      <c r="F113" s="33" t="e">
        <f t="shared" si="5"/>
        <v>#DIV/0!</v>
      </c>
      <c r="G113" s="23"/>
      <c r="H113" s="30"/>
      <c r="I113" s="35" t="e">
        <f t="shared" si="6"/>
        <v>#DIV/0!</v>
      </c>
      <c r="J113" s="23">
        <v>372667.82</v>
      </c>
      <c r="K113" s="29">
        <v>1034491.58</v>
      </c>
      <c r="L113" s="35">
        <f t="shared" si="7"/>
        <v>0.36024248742556225</v>
      </c>
      <c r="M113" s="23">
        <v>318756.27</v>
      </c>
      <c r="N113" s="29">
        <v>564072.25</v>
      </c>
      <c r="O113" s="33">
        <f t="shared" si="8"/>
        <v>0.56509830079391432</v>
      </c>
      <c r="P113" s="23">
        <v>201598.62</v>
      </c>
      <c r="Q113" s="29">
        <v>462282.36</v>
      </c>
      <c r="R113" s="33">
        <f t="shared" si="9"/>
        <v>0.43609412221569521</v>
      </c>
    </row>
    <row r="114" spans="1:18" ht="38.25" x14ac:dyDescent="0.25">
      <c r="A114" s="6">
        <v>13</v>
      </c>
      <c r="B114" s="3" t="s">
        <v>258</v>
      </c>
      <c r="C114" s="8" t="s">
        <v>259</v>
      </c>
      <c r="D114" s="23">
        <v>357387.04</v>
      </c>
      <c r="E114" s="29">
        <v>6110722.3300000001</v>
      </c>
      <c r="F114" s="33">
        <f t="shared" si="5"/>
        <v>5.8485236392667179E-2</v>
      </c>
      <c r="G114" s="23">
        <v>357387.04</v>
      </c>
      <c r="H114" s="29">
        <v>5170551.49</v>
      </c>
      <c r="I114" s="35">
        <f t="shared" si="6"/>
        <v>6.9119713959177681E-2</v>
      </c>
      <c r="J114" s="23"/>
      <c r="K114" s="30"/>
      <c r="L114" s="35" t="e">
        <f t="shared" si="7"/>
        <v>#DIV/0!</v>
      </c>
      <c r="M114" s="23"/>
      <c r="N114" s="30"/>
      <c r="O114" s="33" t="e">
        <f t="shared" si="8"/>
        <v>#DIV/0!</v>
      </c>
      <c r="P114" s="23"/>
      <c r="Q114" s="30"/>
      <c r="R114" s="33" t="e">
        <f t="shared" si="9"/>
        <v>#DIV/0!</v>
      </c>
    </row>
    <row r="115" spans="1:18" ht="51" x14ac:dyDescent="0.25">
      <c r="A115" s="6">
        <v>17</v>
      </c>
      <c r="B115" s="3" t="s">
        <v>262</v>
      </c>
      <c r="C115" s="8" t="s">
        <v>263</v>
      </c>
      <c r="D115" s="23"/>
      <c r="E115" s="30"/>
      <c r="F115" s="33" t="e">
        <f t="shared" si="5"/>
        <v>#DIV/0!</v>
      </c>
      <c r="G115" s="23"/>
      <c r="H115" s="30"/>
      <c r="I115" s="35" t="e">
        <f t="shared" si="6"/>
        <v>#DIV/0!</v>
      </c>
      <c r="J115" s="23">
        <v>853715.14</v>
      </c>
      <c r="K115" s="29">
        <v>6064945.5800000001</v>
      </c>
      <c r="L115" s="35">
        <f t="shared" si="7"/>
        <v>0.14076220944426018</v>
      </c>
      <c r="M115" s="23">
        <v>682867.28</v>
      </c>
      <c r="N115" s="29">
        <v>1356552.64</v>
      </c>
      <c r="O115" s="33">
        <f t="shared" si="8"/>
        <v>0.50338428444619743</v>
      </c>
      <c r="P115" s="23">
        <v>295105.34999999998</v>
      </c>
      <c r="Q115" s="29">
        <v>1502593.18</v>
      </c>
      <c r="R115" s="33">
        <f t="shared" si="9"/>
        <v>0.19639737084391665</v>
      </c>
    </row>
    <row r="116" spans="1:18" ht="38.25" x14ac:dyDescent="0.25">
      <c r="A116" s="6">
        <v>84</v>
      </c>
      <c r="B116" s="3" t="s">
        <v>265</v>
      </c>
      <c r="C116" s="8" t="s">
        <v>266</v>
      </c>
      <c r="D116" s="23">
        <v>961654.04</v>
      </c>
      <c r="E116" s="29">
        <v>1173493.21</v>
      </c>
      <c r="F116" s="33">
        <f t="shared" si="5"/>
        <v>0.81947985024983661</v>
      </c>
      <c r="G116" s="23">
        <v>768584.35</v>
      </c>
      <c r="H116" s="29">
        <v>1011290.12</v>
      </c>
      <c r="I116" s="35">
        <f t="shared" si="6"/>
        <v>0.76000381572006259</v>
      </c>
      <c r="J116" s="23"/>
      <c r="K116" s="30"/>
      <c r="L116" s="35" t="e">
        <f t="shared" si="7"/>
        <v>#DIV/0!</v>
      </c>
      <c r="M116" s="23"/>
      <c r="N116" s="30"/>
      <c r="O116" s="33" t="e">
        <f t="shared" si="8"/>
        <v>#DIV/0!</v>
      </c>
      <c r="P116" s="23"/>
      <c r="Q116" s="30"/>
      <c r="R116" s="33" t="e">
        <f t="shared" si="9"/>
        <v>#DIV/0!</v>
      </c>
    </row>
    <row r="117" spans="1:18" ht="38.25" x14ac:dyDescent="0.25">
      <c r="A117" s="6">
        <v>184</v>
      </c>
      <c r="B117" s="3" t="s">
        <v>268</v>
      </c>
      <c r="C117" s="8" t="s">
        <v>269</v>
      </c>
      <c r="D117" s="23">
        <v>205281.39</v>
      </c>
      <c r="E117" s="29">
        <v>514793.77</v>
      </c>
      <c r="F117" s="33">
        <f t="shared" si="5"/>
        <v>0.39876432459545891</v>
      </c>
      <c r="G117" s="23">
        <v>210358.83</v>
      </c>
      <c r="H117" s="29">
        <v>441637.75</v>
      </c>
      <c r="I117" s="35">
        <f t="shared" si="6"/>
        <v>0.47631532856962516</v>
      </c>
      <c r="J117" s="23">
        <v>142128.06</v>
      </c>
      <c r="K117" s="29">
        <v>327263.43</v>
      </c>
      <c r="L117" s="35">
        <f t="shared" si="7"/>
        <v>0.43429252086003012</v>
      </c>
      <c r="M117" s="23">
        <v>119291.37</v>
      </c>
      <c r="N117" s="29">
        <v>273460.7</v>
      </c>
      <c r="O117" s="33">
        <f t="shared" si="8"/>
        <v>0.43622856958970702</v>
      </c>
      <c r="P117" s="23">
        <v>87759.15</v>
      </c>
      <c r="Q117" s="29">
        <v>220786.31</v>
      </c>
      <c r="R117" s="33">
        <f t="shared" si="9"/>
        <v>0.39748456324126252</v>
      </c>
    </row>
    <row r="118" spans="1:18" ht="38.25" x14ac:dyDescent="0.25">
      <c r="A118" s="6">
        <v>185</v>
      </c>
      <c r="B118" s="3" t="s">
        <v>271</v>
      </c>
      <c r="C118" s="8" t="s">
        <v>272</v>
      </c>
      <c r="D118" s="23">
        <v>340362.02</v>
      </c>
      <c r="E118" s="29">
        <v>11422814.07</v>
      </c>
      <c r="F118" s="33">
        <f t="shared" si="5"/>
        <v>2.9796687393687044E-2</v>
      </c>
      <c r="G118" s="23">
        <v>308942.69</v>
      </c>
      <c r="H118" s="29">
        <v>6973753.4199999999</v>
      </c>
      <c r="I118" s="35">
        <f t="shared" si="6"/>
        <v>4.4300776266907357E-2</v>
      </c>
      <c r="J118" s="23">
        <v>311257.24</v>
      </c>
      <c r="K118" s="29">
        <v>5017915.29</v>
      </c>
      <c r="L118" s="35">
        <f t="shared" si="7"/>
        <v>6.2029193800918064E-2</v>
      </c>
      <c r="M118" s="23">
        <v>307273.7</v>
      </c>
      <c r="N118" s="29">
        <v>3887224.78</v>
      </c>
      <c r="O118" s="33">
        <f t="shared" si="8"/>
        <v>7.9047062464959905E-2</v>
      </c>
      <c r="P118" s="23"/>
      <c r="Q118" s="30"/>
      <c r="R118" s="33" t="e">
        <f t="shared" si="9"/>
        <v>#DIV/0!</v>
      </c>
    </row>
    <row r="119" spans="1:18" ht="38.25" x14ac:dyDescent="0.25">
      <c r="A119" s="6">
        <v>186</v>
      </c>
      <c r="B119" s="3" t="s">
        <v>273</v>
      </c>
      <c r="C119" s="8" t="s">
        <v>274</v>
      </c>
      <c r="D119" s="23">
        <v>556020.38</v>
      </c>
      <c r="E119" s="29">
        <v>3931410.51</v>
      </c>
      <c r="F119" s="33">
        <f t="shared" si="5"/>
        <v>0.14143025221754318</v>
      </c>
      <c r="G119" s="23"/>
      <c r="H119" s="30"/>
      <c r="I119" s="35" t="e">
        <f t="shared" si="6"/>
        <v>#DIV/0!</v>
      </c>
      <c r="J119" s="23"/>
      <c r="K119" s="30"/>
      <c r="L119" s="35" t="e">
        <f t="shared" si="7"/>
        <v>#DIV/0!</v>
      </c>
      <c r="M119" s="23"/>
      <c r="N119" s="30"/>
      <c r="O119" s="33" t="e">
        <f t="shared" si="8"/>
        <v>#DIV/0!</v>
      </c>
      <c r="P119" s="23"/>
      <c r="Q119" s="30"/>
      <c r="R119" s="33" t="e">
        <f t="shared" si="9"/>
        <v>#DIV/0!</v>
      </c>
    </row>
    <row r="120" spans="1:18" ht="51" x14ac:dyDescent="0.25">
      <c r="A120" s="6">
        <v>187</v>
      </c>
      <c r="B120" s="3" t="s">
        <v>275</v>
      </c>
      <c r="C120" s="8" t="s">
        <v>276</v>
      </c>
      <c r="D120" s="23">
        <v>2032493.41</v>
      </c>
      <c r="E120" s="29">
        <v>95259926.25</v>
      </c>
      <c r="F120" s="33">
        <f t="shared" si="5"/>
        <v>2.1336289980594017E-2</v>
      </c>
      <c r="G120" s="23">
        <v>1882613.47</v>
      </c>
      <c r="H120" s="29">
        <v>69204744.629999995</v>
      </c>
      <c r="I120" s="35">
        <f t="shared" si="6"/>
        <v>2.7203531781893088E-2</v>
      </c>
      <c r="J120" s="23">
        <v>1594659.51</v>
      </c>
      <c r="K120" s="29">
        <v>51360303.880000003</v>
      </c>
      <c r="L120" s="35">
        <f t="shared" si="7"/>
        <v>3.1048482768439568E-2</v>
      </c>
      <c r="M120" s="23">
        <v>1424296.15</v>
      </c>
      <c r="N120" s="29">
        <v>35096168.25</v>
      </c>
      <c r="O120" s="33">
        <f t="shared" si="8"/>
        <v>4.058266816634605E-2</v>
      </c>
      <c r="P120" s="23">
        <v>1471545.36</v>
      </c>
      <c r="Q120" s="29">
        <v>28894773.489999998</v>
      </c>
      <c r="R120" s="33">
        <f t="shared" si="9"/>
        <v>5.0927734751382549E-2</v>
      </c>
    </row>
    <row r="121" spans="1:18" ht="51" x14ac:dyDescent="0.25">
      <c r="A121" s="6">
        <v>191</v>
      </c>
      <c r="B121" s="3" t="s">
        <v>277</v>
      </c>
      <c r="C121" s="8" t="s">
        <v>278</v>
      </c>
      <c r="D121" s="23"/>
      <c r="E121" s="30"/>
      <c r="F121" s="33" t="e">
        <f t="shared" si="5"/>
        <v>#DIV/0!</v>
      </c>
      <c r="G121" s="23">
        <v>136050.54</v>
      </c>
      <c r="H121" s="29">
        <v>1273238.4099999999</v>
      </c>
      <c r="I121" s="35">
        <f t="shared" si="6"/>
        <v>0.10685393947548284</v>
      </c>
      <c r="J121" s="23">
        <v>236113.24</v>
      </c>
      <c r="K121" s="29">
        <v>1862838.65</v>
      </c>
      <c r="L121" s="35">
        <f t="shared" si="7"/>
        <v>0.12674916316558066</v>
      </c>
      <c r="M121" s="23">
        <v>162215.39000000001</v>
      </c>
      <c r="N121" s="29">
        <v>2455348.44</v>
      </c>
      <c r="O121" s="33">
        <f t="shared" si="8"/>
        <v>6.6066138458132653E-2</v>
      </c>
      <c r="P121" s="23">
        <v>154332.09</v>
      </c>
      <c r="Q121" s="29">
        <v>1341272.75</v>
      </c>
      <c r="R121" s="33">
        <f t="shared" si="9"/>
        <v>0.11506391224305422</v>
      </c>
    </row>
    <row r="122" spans="1:18" ht="39" thickBot="1" x14ac:dyDescent="0.3">
      <c r="A122" s="12">
        <v>299</v>
      </c>
      <c r="B122" s="13" t="s">
        <v>279</v>
      </c>
      <c r="C122" s="16" t="s">
        <v>280</v>
      </c>
      <c r="D122" s="23">
        <v>1569917.7</v>
      </c>
      <c r="E122" s="29">
        <v>7224214.9400000004</v>
      </c>
      <c r="F122" s="33">
        <f t="shared" si="5"/>
        <v>0.21731326006199919</v>
      </c>
      <c r="G122" s="23"/>
      <c r="H122" s="30"/>
      <c r="I122" s="35" t="e">
        <f t="shared" si="6"/>
        <v>#DIV/0!</v>
      </c>
      <c r="J122" s="23"/>
      <c r="K122" s="30"/>
      <c r="L122" s="35" t="e">
        <f t="shared" si="7"/>
        <v>#DIV/0!</v>
      </c>
      <c r="M122" s="23"/>
      <c r="N122" s="30"/>
      <c r="O122" s="33" t="e">
        <f t="shared" si="8"/>
        <v>#DIV/0!</v>
      </c>
      <c r="P122" s="23"/>
      <c r="Q122" s="30"/>
      <c r="R122" s="33" t="e">
        <f t="shared" si="9"/>
        <v>#DIV/0!</v>
      </c>
    </row>
  </sheetData>
  <mergeCells count="8">
    <mergeCell ref="A2:A3"/>
    <mergeCell ref="B2:B3"/>
    <mergeCell ref="C2:C3"/>
    <mergeCell ref="D2:F2"/>
    <mergeCell ref="P2:R2"/>
    <mergeCell ref="M2:O2"/>
    <mergeCell ref="J2:L2"/>
    <mergeCell ref="G2:I2"/>
  </mergeCells>
  <conditionalFormatting sqref="E61:E122">
    <cfRule type="cellIs" dxfId="4" priority="6" operator="lessThan">
      <formula>0</formula>
    </cfRule>
  </conditionalFormatting>
  <conditionalFormatting sqref="H61:H122">
    <cfRule type="cellIs" dxfId="3" priority="5" operator="lessThan">
      <formula>0</formula>
    </cfRule>
  </conditionalFormatting>
  <conditionalFormatting sqref="K61:K122">
    <cfRule type="cellIs" dxfId="2" priority="1" operator="lessThan">
      <formula>0</formula>
    </cfRule>
  </conditionalFormatting>
  <conditionalFormatting sqref="N61:N122">
    <cfRule type="cellIs" dxfId="1" priority="3" operator="lessThan">
      <formula>0</formula>
    </cfRule>
  </conditionalFormatting>
  <conditionalFormatting sqref="Q61:Q122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Fatores determinantes</vt:lpstr>
      <vt:lpstr>Dados</vt:lpstr>
      <vt:lpstr>Despesa com pessoal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Flávia Duque</dc:creator>
  <cp:keywords/>
  <dc:description/>
  <cp:lastModifiedBy>Flávia Duque</cp:lastModifiedBy>
  <cp:revision/>
  <dcterms:created xsi:type="dcterms:W3CDTF">2026-02-09T23:58:16Z</dcterms:created>
  <dcterms:modified xsi:type="dcterms:W3CDTF">2026-02-19T15:00:33Z</dcterms:modified>
  <cp:category/>
  <cp:contentStatus/>
</cp:coreProperties>
</file>